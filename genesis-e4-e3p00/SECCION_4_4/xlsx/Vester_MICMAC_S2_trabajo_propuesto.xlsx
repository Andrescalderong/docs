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600" yWindow="620" windowWidth="25600" windowHeight="20980" tabRatio="600" firstSheet="0" activeTab="0" autoFilterDateGrouping="1"/>
  </bookViews>
  <sheets>
    <sheet xmlns:r="http://schemas.openxmlformats.org/officeDocument/2006/relationships" name="Resultados" sheetId="1" state="visible" r:id="rId1"/>
    <sheet xmlns:r="http://schemas.openxmlformats.org/officeDocument/2006/relationships" name="M" sheetId="2" state="visible" r:id="rId2"/>
    <sheet xmlns:r="http://schemas.openxmlformats.org/officeDocument/2006/relationships" name="M1" sheetId="3" state="visible" r:id="rId3"/>
    <sheet xmlns:r="http://schemas.openxmlformats.org/officeDocument/2006/relationships" name="M2" sheetId="4" state="visible" r:id="rId4"/>
    <sheet xmlns:r="http://schemas.openxmlformats.org/officeDocument/2006/relationships" name="M3" sheetId="5" state="visible" r:id="rId5"/>
    <sheet xmlns:r="http://schemas.openxmlformats.org/officeDocument/2006/relationships" name="M4" sheetId="6" state="visible" r:id="rId6"/>
    <sheet xmlns:r="http://schemas.openxmlformats.org/officeDocument/2006/relationships" name="M5" sheetId="7" state="visible" r:id="rId7"/>
    <sheet xmlns:r="http://schemas.openxmlformats.org/officeDocument/2006/relationships" name="M6" sheetId="8" state="visible" r:id="rId8"/>
    <sheet xmlns:r="http://schemas.openxmlformats.org/officeDocument/2006/relationships" name="Evolución" sheetId="9" state="visible" r:id="rId9"/>
    <sheet xmlns:r="http://schemas.openxmlformats.org/officeDocument/2006/relationships" name="Árbol de Problemas" sheetId="10" state="visible" r:id="rId10"/>
    <sheet xmlns:r="http://schemas.openxmlformats.org/officeDocument/2006/relationships" name="SVG" sheetId="11" state="visible" r:id="rId11"/>
    <sheet xmlns:r="http://schemas.openxmlformats.org/officeDocument/2006/relationships" name="Paso a paso" sheetId="12" state="visible" r:id="rId12"/>
    <sheet xmlns:r="http://schemas.openxmlformats.org/officeDocument/2006/relationships" name="Guía Excel" sheetId="13" state="visible" r:id="rId13"/>
    <sheet xmlns:r="http://schemas.openxmlformats.org/officeDocument/2006/relationships" name="Comprobaciones" sheetId="14" state="visible" r:id="rId14"/>
    <sheet xmlns:r="http://schemas.openxmlformats.org/officeDocument/2006/relationships" name="aux_SVG" sheetId="15" state="visible" r:id="rId15"/>
    <sheet xmlns:r="http://schemas.openxmlformats.org/officeDocument/2006/relationships" name="aux_Árbol" sheetId="16" state="visible" r:id="rId16"/>
  </sheets>
  <definedNames>
    <definedName name="matrizOK">M!$C$6</definedName>
    <definedName name="nombreEstudio">M!$G$6</definedName>
    <definedName name="nVariables">M!$C$4</definedName>
    <definedName name="_xlnm.Print_Area" localSheetId="0">'Resultados'!$A$1:$L$164</definedName>
    <definedName name="_xlnm.Print_Area" localSheetId="1">'M'!$A$1:$AQ$56</definedName>
    <definedName name="_xlnm.Print_Area" localSheetId="2">'M1'!$A$1:$AZ$57</definedName>
    <definedName name="_xlnm.Print_Area" localSheetId="3">'M2'!$A$1:$AZ$57</definedName>
    <definedName name="_xlnm.Print_Area" localSheetId="4">'M3'!$A$1:$AZ$57</definedName>
    <definedName name="_xlnm.Print_Area" localSheetId="5">'M4'!$A$1:$AZ$57</definedName>
    <definedName name="_xlnm.Print_Area" localSheetId="6">'M5'!$A$1:$AZ$57</definedName>
    <definedName name="_xlnm.Print_Area" localSheetId="7">'M6'!$A$1:$AZ$57</definedName>
    <definedName name="_xlnm.Print_Area" localSheetId="12">'Guía Excel'!$A$1:$H$74</definedName>
    <definedName name="_xlnm.Print_Area" localSheetId="13">'Comprobaciones'!$A$1:$H$39</definedName>
    <definedName name="_xlnm.Print_Area" localSheetId="14">'aux_SVG'!$A$1:$F$2</definedName>
    <definedName name="_xlnm.Print_Area" localSheetId="15">'aux_Árbol'!$A$1:$F$2</definedName>
  </definedNames>
  <calcPr calcId="191029" fullCalcOnLoad="1"/>
</workbook>
</file>

<file path=xl/styles.xml><?xml version="1.0" encoding="utf-8"?>
<styleSheet xmlns="http://schemas.openxmlformats.org/spreadsheetml/2006/main">
  <numFmts count="4">
    <numFmt numFmtId="164" formatCode="0.0000%"/>
    <numFmt numFmtId="165" formatCode="#,##0.0"/>
    <numFmt numFmtId="166" formatCode="[&gt;=1000000000]0.00E+00;#,##0"/>
    <numFmt numFmtId="167" formatCode="0.000000%"/>
  </numFmts>
  <fonts count="19">
    <font>
      <name val="Calibri"/>
      <family val="2"/>
      <color theme="1"/>
      <sz val="11"/>
      <scheme val="minor"/>
    </font>
    <font>
      <name val="Arial"/>
      <family val="2"/>
      <b val="1"/>
      <color rgb="FF2A3439"/>
      <sz val="17"/>
    </font>
    <font>
      <name val="Arial"/>
      <family val="2"/>
      <color rgb="FF2A3439"/>
      <sz val="10"/>
    </font>
    <font>
      <name val="Arial"/>
      <family val="2"/>
      <b val="1"/>
      <color rgb="FF2A3439"/>
      <sz val="11"/>
    </font>
    <font>
      <name val="Arial"/>
      <family val="2"/>
      <color rgb="FF2A3439"/>
      <sz val="11"/>
    </font>
    <font>
      <name val="Arial"/>
      <family val="2"/>
      <color rgb="FF9EB9D4"/>
      <sz val="8"/>
    </font>
    <font>
      <name val="Arial"/>
      <family val="2"/>
      <b val="1"/>
      <color rgb="FF2A3439"/>
      <sz val="8"/>
    </font>
    <font>
      <name val="Arial"/>
      <family val="2"/>
      <color rgb="FF2A3439"/>
      <sz val="8"/>
    </font>
    <font>
      <name val="Arial"/>
      <family val="2"/>
      <b val="1"/>
      <color rgb="FF2A3439"/>
      <sz val="10"/>
    </font>
    <font>
      <name val="Arial"/>
      <family val="2"/>
      <b val="1"/>
      <color rgb="FF2A3439"/>
      <sz val="9"/>
    </font>
    <font>
      <name val="Arial"/>
      <family val="2"/>
      <b val="1"/>
      <color rgb="FF2A3439"/>
      <sz val="16"/>
    </font>
    <font>
      <name val="Arial"/>
      <family val="2"/>
      <color rgb="FF9EB9D4"/>
      <sz val="10"/>
    </font>
    <font>
      <name val="Arial"/>
      <family val="2"/>
      <b val="1"/>
      <color rgb="FF2A3439"/>
      <sz val="12"/>
    </font>
    <font>
      <name val="Consolas"/>
      <family val="2"/>
      <color rgb="FF2A3439"/>
      <sz val="10"/>
    </font>
    <font>
      <name val="Arial"/>
      <family val="2"/>
      <color rgb="FF9EB9D4"/>
      <sz val="9"/>
    </font>
    <font>
      <name val="Arial"/>
      <family val="2"/>
      <color rgb="FF1B1B1E"/>
      <sz val="14"/>
    </font>
    <font>
      <name val="Arial"/>
      <family val="2"/>
      <color theme="1"/>
      <sz val="14"/>
    </font>
    <font>
      <name val="Arial"/>
      <family val="2"/>
      <b val="1"/>
      <color theme="1"/>
      <sz val="14"/>
    </font>
    <font>
      <name val="Arial"/>
      <family val="2"/>
      <b val="1"/>
      <color rgb="FF1B1B1E"/>
      <sz val="18"/>
    </font>
  </fonts>
  <fills count="8">
    <fill>
      <patternFill/>
    </fill>
    <fill>
      <patternFill patternType="gray125"/>
    </fill>
    <fill>
      <patternFill patternType="solid">
        <fgColor rgb="FFF5F5F5"/>
        <bgColor rgb="FFF5F5F5"/>
      </patternFill>
    </fill>
    <fill>
      <patternFill patternType="solid">
        <fgColor rgb="FF9EB9D4"/>
        <bgColor rgb="FF9EB9D4"/>
      </patternFill>
    </fill>
    <fill>
      <patternFill patternType="solid">
        <fgColor rgb="FFB9D9EB"/>
        <bgColor rgb="FFB9D9EB"/>
      </patternFill>
    </fill>
    <fill>
      <patternFill patternType="solid">
        <fgColor rgb="FFF7F7F7"/>
        <bgColor rgb="FFF7F7F7"/>
      </patternFill>
    </fill>
    <fill>
      <patternFill patternType="solid">
        <fgColor rgb="FF6699CC"/>
        <bgColor rgb="FF6699CC"/>
      </patternFill>
    </fill>
    <fill>
      <patternFill patternType="solid">
        <fgColor rgb="FF2A3439"/>
        <bgColor rgb="FF2A3439"/>
      </patternFill>
    </fill>
  </fills>
  <borders count="6">
    <border>
      <left/>
      <right/>
      <top/>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100">
    <xf numFmtId="0" fontId="0" fillId="0" borderId="0" pivotButton="0" quotePrefix="0" xfId="0"/>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5" fillId="0" borderId="0" applyAlignment="1" pivotButton="0" quotePrefix="0" xfId="0">
      <alignment horizontal="left" vertical="center"/>
    </xf>
    <xf numFmtId="0" fontId="3" fillId="3" borderId="0" applyAlignment="1" pivotButton="0" quotePrefix="0" xfId="0">
      <alignment horizontal="center" vertical="center" wrapText="1"/>
    </xf>
    <xf numFmtId="0" fontId="6" fillId="0" borderId="0" applyAlignment="1" pivotButton="0" quotePrefix="0" xfId="0">
      <alignment horizontal="center" vertical="center" wrapText="1"/>
    </xf>
    <xf numFmtId="1" fontId="2" fillId="0" borderId="0" applyAlignment="1" pivotButton="0" quotePrefix="0" xfId="0">
      <alignment horizontal="center" vertical="center" wrapText="1"/>
    </xf>
    <xf numFmtId="0" fontId="4" fillId="0" borderId="0" applyAlignment="1" pivotButton="0" quotePrefix="0" xfId="0">
      <alignment horizontal="left" vertical="center" wrapText="1"/>
    </xf>
    <xf numFmtId="10" fontId="4" fillId="0" borderId="0" applyAlignment="1" pivotButton="0" quotePrefix="0" xfId="0">
      <alignment horizontal="center" vertical="center" wrapText="1"/>
    </xf>
    <xf numFmtId="1" fontId="4" fillId="0" borderId="0" applyAlignment="1" pivotButton="0" quotePrefix="0" xfId="0">
      <alignment horizontal="center" vertical="center" wrapText="1"/>
    </xf>
    <xf numFmtId="0" fontId="3" fillId="0" borderId="0" applyAlignment="1" pivotButton="0" quotePrefix="0" xfId="0">
      <alignment horizontal="center" vertical="center" wrapText="1"/>
    </xf>
    <xf numFmtId="164" fontId="7" fillId="0" borderId="0" pivotButton="0" quotePrefix="0" xfId="0"/>
    <xf numFmtId="0" fontId="8" fillId="2" borderId="0" applyAlignment="1" pivotButton="0" quotePrefix="0" xfId="0">
      <alignment horizontal="left" vertical="center" wrapText="1"/>
    </xf>
    <xf numFmtId="0"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8" fillId="3"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2" borderId="0" pivotButton="0" quotePrefix="0" xfId="0"/>
    <xf numFmtId="1" fontId="8" fillId="0" borderId="0" applyAlignment="1" pivotButton="0" quotePrefix="0" xfId="0">
      <alignment horizontal="center" vertical="center" wrapText="1"/>
    </xf>
    <xf numFmtId="1" fontId="4" fillId="0" borderId="0" applyAlignment="1" pivotButton="0" quotePrefix="0" xfId="0">
      <alignment horizontal="center" vertical="center"/>
    </xf>
    <xf numFmtId="165" fontId="3" fillId="2" borderId="1" applyAlignment="1" pivotButton="0" quotePrefix="0" xfId="0">
      <alignment horizontal="center" vertical="center" wrapText="1"/>
    </xf>
    <xf numFmtId="166" fontId="3" fillId="2" borderId="1" applyAlignment="1" pivotButton="0" quotePrefix="0" xfId="0">
      <alignment horizontal="center" vertical="center" wrapText="1"/>
    </xf>
    <xf numFmtId="166" fontId="3" fillId="2" borderId="0" applyAlignment="1" pivotButton="0" quotePrefix="0" xfId="0">
      <alignment horizontal="center" vertical="center" wrapText="1"/>
    </xf>
    <xf numFmtId="166" fontId="8" fillId="0" borderId="0" applyAlignment="1" pivotButton="0" quotePrefix="0" xfId="0">
      <alignment horizontal="center" vertical="center" wrapText="1"/>
    </xf>
    <xf numFmtId="166" fontId="4" fillId="0" borderId="0" applyAlignment="1" pivotButton="0" quotePrefix="0" xfId="0">
      <alignment horizontal="center" vertical="center" wrapText="1"/>
    </xf>
    <xf numFmtId="164" fontId="4" fillId="0" borderId="0" applyAlignment="1" pivotButton="0" quotePrefix="0" xfId="0">
      <alignment horizontal="center" vertical="center" wrapText="1"/>
    </xf>
    <xf numFmtId="166" fontId="4" fillId="0" borderId="0" applyAlignment="1" pivotButton="0" quotePrefix="0" xfId="0">
      <alignment horizontal="right" vertical="center"/>
    </xf>
    <xf numFmtId="165" fontId="3" fillId="2" borderId="0" applyAlignment="1" pivotButton="0" quotePrefix="0" xfId="0">
      <alignment horizontal="center" vertical="center" wrapText="1"/>
    </xf>
    <xf numFmtId="164" fontId="3" fillId="2" borderId="0" applyAlignment="1" pivotButton="0" quotePrefix="0" xfId="0">
      <alignment horizontal="center" vertical="center" wrapText="1"/>
    </xf>
    <xf numFmtId="0" fontId="4" fillId="5" borderId="0" applyAlignment="1" pivotButton="0" quotePrefix="0" xfId="0">
      <alignment horizontal="center" vertical="center" wrapText="1"/>
    </xf>
    <xf numFmtId="0" fontId="4" fillId="5" borderId="0" applyAlignment="1" pivotButton="0" quotePrefix="0" xfId="0">
      <alignment horizontal="left" vertical="center" wrapText="1"/>
    </xf>
    <xf numFmtId="1" fontId="4" fillId="5" borderId="0" applyAlignment="1" pivotButton="0" quotePrefix="0" xfId="0">
      <alignment horizontal="center" vertical="center" wrapText="1"/>
    </xf>
    <xf numFmtId="0" fontId="2" fillId="5" borderId="0" applyAlignment="1" pivotButton="0" quotePrefix="0" xfId="0">
      <alignment horizontal="left" vertical="center" wrapText="1"/>
    </xf>
    <xf numFmtId="1" fontId="3" fillId="5" borderId="0" applyAlignment="1" pivotButton="0" quotePrefix="0" xfId="0">
      <alignment horizontal="center" vertical="center" wrapText="1"/>
    </xf>
    <xf numFmtId="3" fontId="4" fillId="5" borderId="0" applyAlignment="1" pivotButton="0" quotePrefix="0" xfId="0">
      <alignment horizontal="center" vertical="center" wrapText="1"/>
    </xf>
    <xf numFmtId="165" fontId="4" fillId="5" borderId="0" applyAlignment="1" pivotButton="0" quotePrefix="0" xfId="0">
      <alignment horizontal="center" vertical="center" wrapText="1"/>
    </xf>
    <xf numFmtId="0" fontId="3" fillId="0" borderId="0" applyAlignment="1" pivotButton="0" quotePrefix="0" xfId="0">
      <alignment horizontal="left" vertical="center" wrapText="1"/>
    </xf>
    <xf numFmtId="0" fontId="3" fillId="4" borderId="0" applyAlignment="1" pivotButton="0" quotePrefix="0" xfId="0">
      <alignment horizontal="left" vertical="center" wrapText="1"/>
    </xf>
    <xf numFmtId="0" fontId="3" fillId="3" borderId="0" applyAlignment="1" pivotButton="0" quotePrefix="0" xfId="0">
      <alignment horizontal="left" vertical="center" wrapText="1"/>
    </xf>
    <xf numFmtId="0" fontId="3" fillId="6" borderId="0" applyAlignment="1" pivotButton="0" quotePrefix="0" xfId="0">
      <alignment horizontal="left" vertical="center" wrapText="1"/>
    </xf>
    <xf numFmtId="0" fontId="0" fillId="7" borderId="0" pivotButton="0" quotePrefix="0" xfId="0"/>
    <xf numFmtId="0" fontId="11" fillId="0" borderId="0" applyAlignment="1" pivotButton="0" quotePrefix="0" xfId="0">
      <alignment horizontal="center" vertical="center" wrapText="1"/>
    </xf>
    <xf numFmtId="0" fontId="3" fillId="5" borderId="0" applyAlignment="1" pivotButton="0" quotePrefix="0" xfId="0">
      <alignment horizontal="left" vertical="center" wrapText="1"/>
    </xf>
    <xf numFmtId="0" fontId="7" fillId="5" borderId="1" applyAlignment="1" pivotButton="0" quotePrefix="0" xfId="0">
      <alignment horizontal="left" vertical="center"/>
    </xf>
    <xf numFmtId="0" fontId="3" fillId="5" borderId="0" applyAlignment="1" pivotButton="0" quotePrefix="0" xfId="0">
      <alignment horizontal="center" vertical="center" wrapText="1"/>
    </xf>
    <xf numFmtId="1" fontId="12" fillId="4" borderId="1" applyAlignment="1" pivotButton="0" quotePrefix="0" xfId="0">
      <alignment horizontal="center" vertical="center" wrapText="1"/>
    </xf>
    <xf numFmtId="3" fontId="4" fillId="0" borderId="0" applyAlignment="1" pivotButton="0" quotePrefix="0" xfId="0">
      <alignment horizontal="center" vertical="center" wrapText="1"/>
    </xf>
    <xf numFmtId="3" fontId="3" fillId="0" borderId="0" applyAlignment="1" pivotButton="0" quotePrefix="0" xfId="0">
      <alignment horizontal="center" vertical="center" wrapText="1"/>
    </xf>
    <xf numFmtId="3" fontId="3" fillId="2" borderId="0" applyAlignment="1" pivotButton="0" quotePrefix="0" xfId="0">
      <alignment horizontal="center" vertical="center" wrapText="1"/>
    </xf>
    <xf numFmtId="3" fontId="3" fillId="5" borderId="0" applyAlignment="1" pivotButton="0" quotePrefix="0" xfId="0">
      <alignment horizontal="center" vertical="center" wrapText="1"/>
    </xf>
    <xf numFmtId="167" fontId="4" fillId="5" borderId="0" applyAlignment="1" pivotButton="0" quotePrefix="0" xfId="0">
      <alignment horizontal="center" vertical="center" wrapText="1"/>
    </xf>
    <xf numFmtId="0" fontId="0" fillId="5" borderId="0" pivotButton="0" quotePrefix="0" xfId="0"/>
    <xf numFmtId="0" fontId="14" fillId="0" borderId="0" applyAlignment="1" pivotButton="0" quotePrefix="0" xfId="0">
      <alignment horizontal="right" vertical="center" wrapText="1"/>
    </xf>
    <xf numFmtId="0" fontId="14" fillId="0" borderId="0" applyAlignment="1" pivotButton="0" quotePrefix="0" xfId="0">
      <alignment horizontal="center" vertical="center" wrapText="1"/>
    </xf>
    <xf numFmtId="1" fontId="3" fillId="2" borderId="0" applyAlignment="1" pivotButton="0" quotePrefix="0" xfId="0">
      <alignment horizontal="center" vertical="center" wrapText="1"/>
    </xf>
    <xf numFmtId="0" fontId="8" fillId="0" borderId="0" pivotButton="0" quotePrefix="0" xfId="0"/>
    <xf numFmtId="0" fontId="7" fillId="0" borderId="0" pivotButton="0" quotePrefix="0" xfId="0"/>
    <xf numFmtId="0" fontId="7" fillId="0" borderId="0" applyAlignment="1" pivotButton="0" quotePrefix="0" xfId="0">
      <alignment vertical="top"/>
    </xf>
    <xf numFmtId="0" fontId="6" fillId="0" borderId="0" pivotButton="0" quotePrefix="0" xfId="0"/>
    <xf numFmtId="0" fontId="3" fillId="2" borderId="0" applyAlignment="1" pivotButton="0" quotePrefix="0" xfId="0">
      <alignment horizontal="left" vertical="center" wrapText="1"/>
    </xf>
    <xf numFmtId="0" fontId="0" fillId="0" borderId="0" pivotButton="0" quotePrefix="0" xfId="0"/>
    <xf numFmtId="0" fontId="2" fillId="0" borderId="0" applyAlignment="1" pivotButton="0" quotePrefix="0" xfId="0">
      <alignment horizontal="left" vertical="center" wrapText="1"/>
    </xf>
    <xf numFmtId="0" fontId="8" fillId="2" borderId="0" applyAlignment="1" pivotButton="0" quotePrefix="0" xfId="0">
      <alignment horizontal="left" vertical="center" wrapText="1"/>
    </xf>
    <xf numFmtId="0" fontId="1" fillId="0" borderId="0" applyAlignment="1" pivotButton="0" quotePrefix="0" xfId="0">
      <alignment horizontal="left" vertical="center" wrapText="1"/>
    </xf>
    <xf numFmtId="0" fontId="4" fillId="4" borderId="1" applyAlignment="1" pivotButton="0" quotePrefix="0" xfId="0">
      <alignment horizontal="left" vertical="center" wrapText="1"/>
    </xf>
    <xf numFmtId="0" fontId="0" fillId="4" borderId="1" pivotButton="0" quotePrefix="0" xfId="0"/>
    <xf numFmtId="0" fontId="4" fillId="5"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3" borderId="0" applyAlignment="1" pivotButton="0" quotePrefix="0" xfId="0">
      <alignment horizontal="left" vertical="center"/>
    </xf>
    <xf numFmtId="0" fontId="2" fillId="2" borderId="0" applyAlignment="1" pivotButton="0" quotePrefix="0" xfId="0">
      <alignment horizontal="left" vertical="center" wrapText="1"/>
    </xf>
    <xf numFmtId="0" fontId="0" fillId="2" borderId="0" pivotButton="0" quotePrefix="0" xfId="0"/>
    <xf numFmtId="0" fontId="10" fillId="0" borderId="0" applyAlignment="1" pivotButton="0" quotePrefix="0" xfId="0">
      <alignment horizontal="left" vertical="center" wrapText="1"/>
    </xf>
    <xf numFmtId="0" fontId="2" fillId="3" borderId="0" applyAlignment="1" pivotButton="0" quotePrefix="0" xfId="0">
      <alignment horizontal="left" vertical="center" wrapText="1"/>
    </xf>
    <xf numFmtId="0" fontId="0" fillId="3" borderId="0" pivotButton="0" quotePrefix="0" xfId="0"/>
    <xf numFmtId="0" fontId="2" fillId="4" borderId="0" applyAlignment="1" pivotButton="0" quotePrefix="0" xfId="0">
      <alignment horizontal="left" vertical="center" wrapText="1"/>
    </xf>
    <xf numFmtId="0" fontId="0" fillId="4" borderId="0" pivotButton="0" quotePrefix="0" xfId="0"/>
    <xf numFmtId="0" fontId="3" fillId="4" borderId="1" applyAlignment="1" pivotButton="0" quotePrefix="0" xfId="0">
      <alignment horizontal="left" vertical="center" wrapText="1"/>
    </xf>
    <xf numFmtId="0" fontId="2" fillId="6" borderId="0" applyAlignment="1" pivotButton="0" quotePrefix="0" xfId="0">
      <alignment horizontal="left" vertical="center" wrapText="1"/>
    </xf>
    <xf numFmtId="0" fontId="0" fillId="6" borderId="0" pivotButton="0" quotePrefix="0" xfId="0"/>
    <xf numFmtId="0" fontId="4" fillId="0" borderId="0" applyAlignment="1" pivotButton="0" quotePrefix="0" xfId="0">
      <alignment horizontal="left" vertical="center" wrapText="1"/>
    </xf>
    <xf numFmtId="0" fontId="12" fillId="3" borderId="0" applyAlignment="1" pivotButton="0" quotePrefix="0" xfId="0">
      <alignment horizontal="left" vertical="center" wrapText="1"/>
    </xf>
    <xf numFmtId="0" fontId="8" fillId="0" borderId="0" applyAlignment="1" pivotButton="0" quotePrefix="0" xfId="0">
      <alignment horizontal="left" vertical="center" wrapText="1"/>
    </xf>
    <xf numFmtId="0" fontId="13" fillId="5" borderId="0" applyAlignment="1" pivotButton="0" quotePrefix="0" xfId="0">
      <alignment horizontal="left" vertical="center" wrapText="1"/>
    </xf>
    <xf numFmtId="0" fontId="16" fillId="0" borderId="0" pivotButton="0" quotePrefix="0" xfId="0"/>
    <xf numFmtId="0" fontId="16" fillId="0" borderId="0" applyAlignment="1" pivotButton="0" quotePrefix="0" xfId="0">
      <alignment wrapText="1"/>
    </xf>
    <xf numFmtId="0" fontId="15" fillId="0" borderId="0" pivotButton="0" quotePrefix="0" xfId="0"/>
    <xf numFmtId="0" fontId="17" fillId="0" borderId="0" pivotButton="0" quotePrefix="0" xfId="0"/>
    <xf numFmtId="0" fontId="18" fillId="0" borderId="0" pivotButton="0" quotePrefix="0" xfId="0"/>
    <xf numFmtId="0" fontId="0" fillId="0" borderId="4" pivotButton="0" quotePrefix="0" xfId="0"/>
    <xf numFmtId="0" fontId="0" fillId="0" borderId="5" pivotButton="0" quotePrefix="0" xfId="0"/>
    <xf numFmtId="165" fontId="3" fillId="2" borderId="1" applyAlignment="1" pivotButton="0" quotePrefix="0" xfId="0">
      <alignment horizontal="center" vertical="center" wrapText="1"/>
    </xf>
    <xf numFmtId="166" fontId="3" fillId="2" borderId="1" applyAlignment="1" pivotButton="0" quotePrefix="0" xfId="0">
      <alignment horizontal="center" vertical="center" wrapText="1"/>
    </xf>
    <xf numFmtId="166" fontId="3" fillId="2" borderId="0" applyAlignment="1" pivotButton="0" quotePrefix="0" xfId="0">
      <alignment horizontal="center" vertical="center" wrapText="1"/>
    </xf>
    <xf numFmtId="166" fontId="8" fillId="0" borderId="0" applyAlignment="1" pivotButton="0" quotePrefix="0" xfId="0">
      <alignment horizontal="center" vertical="center" wrapText="1"/>
    </xf>
    <xf numFmtId="166" fontId="4" fillId="0" borderId="0" applyAlignment="1" pivotButton="0" quotePrefix="0" xfId="0">
      <alignment horizontal="center" vertical="center" wrapText="1"/>
    </xf>
    <xf numFmtId="166" fontId="4" fillId="0" borderId="0" applyAlignment="1" pivotButton="0" quotePrefix="0" xfId="0">
      <alignment horizontal="right" vertical="center"/>
    </xf>
    <xf numFmtId="165" fontId="3" fillId="2" borderId="0" applyAlignment="1" pivotButton="0" quotePrefix="0" xfId="0">
      <alignment horizontal="center" vertical="center" wrapText="1"/>
    </xf>
    <xf numFmtId="165" fontId="4" fillId="5" borderId="0" applyAlignment="1" pivotButton="0" quotePrefix="0" xfId="0">
      <alignment horizontal="center" vertical="center" wrapText="1"/>
    </xf>
  </cellXfs>
  <cellStyles count="1">
    <cellStyle name="Normal" xfId="0" builtinId="0"/>
  </cellStyles>
  <dxfs count="112">
    <dxf>
      <font>
        <b val="1"/>
        <color rgb="FFFFFFFF"/>
      </font>
      <fill>
        <patternFill patternType="solid">
          <fgColor rgb="FF2A3439"/>
          <bgColor rgb="FF2A3439"/>
        </patternFill>
      </fill>
    </dxf>
    <dxf>
      <font>
        <b val="1"/>
        <color rgb="FF2A3439"/>
      </font>
      <fill>
        <patternFill patternType="solid">
          <fgColor rgb="FFB9D9EB"/>
          <bgColor rgb="FFB9D9EB"/>
        </patternFill>
      </fill>
    </dxf>
    <dxf>
      <font>
        <b val="1"/>
        <color rgb="FFFFFFFF"/>
      </font>
      <fill>
        <patternFill patternType="solid">
          <fgColor rgb="FF2A3439"/>
          <bgColor rgb="FF2A3439"/>
        </patternFill>
      </fill>
    </dxf>
    <dxf>
      <fill>
        <patternFill patternType="solid">
          <fgColor rgb="FFF7F7F7"/>
          <bgColor rgb="FFF7F7F7"/>
        </patternFill>
      </fill>
    </dxf>
    <dxf>
      <font>
        <color rgb="FFFFFFFF"/>
      </font>
    </dxf>
    <dxf>
      <font>
        <b val="1"/>
        <color rgb="FFFFFFFF"/>
      </font>
      <fill>
        <patternFill patternType="solid">
          <fgColor rgb="FF2A3439"/>
          <bgColor rgb="FF2A3439"/>
        </patternFill>
      </fill>
    </dxf>
    <dxf>
      <font>
        <b val="1"/>
        <color rgb="FF2A3439"/>
      </font>
      <fill>
        <patternFill patternType="solid">
          <fgColor rgb="FFB9D9EB"/>
          <bgColor rgb="FFB9D9EB"/>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color rgb="FFFFFFFF"/>
      </font>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color rgb="FFFFFFFF"/>
      </font>
    </dxf>
    <dxf>
      <font>
        <color rgb="FFFFFFFF"/>
      </font>
    </dxf>
    <dxf>
      <font>
        <b val="1"/>
      </font>
      <fill>
        <patternFill patternType="solid">
          <fgColor rgb="FF9EB9D4"/>
          <bgColor rgb="FF9EB9D4"/>
        </patternFill>
      </fill>
    </dxf>
    <dxf>
      <font>
        <b val="1"/>
      </font>
      <fill>
        <patternFill patternType="solid">
          <fgColor rgb="FF9EB9D4"/>
          <bgColor rgb="FF9EB9D4"/>
        </patternFill>
      </fill>
    </dxf>
    <dxf>
      <fill>
        <patternFill patternType="solid">
          <fgColor rgb="FFF7F7F7"/>
          <bgColor rgb="FFF7F7F7"/>
        </patternFill>
      </fill>
    </dxf>
    <dxf>
      <font>
        <color rgb="FFFFFFFF"/>
      </font>
    </dxf>
    <dxf>
      <fill>
        <patternFill patternType="solid">
          <fgColor rgb="FFF7F7F7"/>
          <bgColor rgb="FFF7F7F7"/>
        </patternFill>
      </fill>
    </dxf>
    <dxf>
      <font>
        <color rgb="FFFFFFFF"/>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ill>
        <patternFill patternType="solid">
          <fgColor rgb="FFB9D9EB"/>
          <bgColor rgb="FFB9D9EB"/>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border>
        <left style="thin">
          <color rgb="FFFFFFFF"/>
        </left>
        <right style="thin">
          <color rgb="FFFFFFFF"/>
        </right>
        <top style="thin">
          <color rgb="FFFFFFFF"/>
        </top>
        <bottom style="thin">
          <color rgb="FFFFFFFF"/>
        </bottom>
      </border>
    </dxf>
    <dxf>
      <font>
        <b val="1"/>
        <color rgb="FFFFFFFF"/>
      </font>
      <fill>
        <patternFill patternType="solid">
          <fgColor rgb="FF2A3439"/>
          <bgColor rgb="FF2A3439"/>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ill>
        <patternFill patternType="solid">
          <fgColor rgb="FFB9D9EB"/>
          <bgColor rgb="FFB9D9EB"/>
        </patternFill>
      </fill>
      <border>
        <left style="thin">
          <color rgb="FFFFFFFF"/>
        </left>
        <right style="thin">
          <color rgb="FFFFFFFF"/>
        </right>
        <top style="thin">
          <color rgb="FFFFFFFF"/>
        </top>
        <bottom style="thin">
          <color rgb="FFFFFFFF"/>
        </bottom>
      </border>
    </dxf>
    <dxf>
      <font>
        <color rgb="FFB9D9EB"/>
      </font>
    </dxf>
    <dxf>
      <font>
        <color rgb="FFB9D9EB"/>
      </font>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border>
        <bottom style="hair">
          <color rgb="FF9EB9D4"/>
        </bottom>
      </border>
    </dxf>
    <dxf>
      <font>
        <color rgb="FFFFFFFF"/>
      </font>
    </dxf>
    <dxf>
      <fill>
        <patternFill patternType="solid">
          <fgColor rgb="FFF7F7F7"/>
          <bgColor rgb="FFF7F7F7"/>
        </patternFill>
      </fill>
    </dxf>
    <dxf>
      <font>
        <color rgb="FFFFFFFF"/>
      </font>
    </dxf>
    <dxf>
      <fill>
        <patternFill patternType="solid">
          <fgColor rgb="FFF7F7F7"/>
          <bgColor rgb="FFF7F7F7"/>
        </patternFill>
      </fill>
    </dxf>
    <dxf>
      <font>
        <color rgb="FFFFFF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sz="1200" b="1">
                <a:solidFill>
                  <a:srgbClr val="2A3439"/>
                </a:solidFill>
                <a:latin typeface="Arial"/>
                <a:cs typeface="Arial"/>
              </a:rPr>
              <a:t>M1 · Dependencia e influencia</a:t>
            </a:r>
          </a:p>
        </rich>
      </tx>
      <overlay val="0"/>
    </title>
    <plotArea>
      <layout/>
      <scatterChart>
        <scatterStyle val="lineMarker"/>
        <varyColors val="1"/>
        <ser>
          <idx val="0"/>
          <order val="0"/>
          <tx>
            <v>Variables</v>
          </tx>
          <spPr>
            <a:ln xmlns:a="http://schemas.openxmlformats.org/drawingml/2006/main" w="19050">
              <a:noFill/>
              <a:prstDash val="solid"/>
            </a:ln>
          </spPr>
          <marker>
            <symbol val="circle"/>
            <size val="8"/>
            <spPr>
              <a:solidFill xmlns:a="http://schemas.openxmlformats.org/drawingml/2006/main">
                <a:srgbClr val="6699CC"/>
              </a:solidFill>
              <a:ln xmlns:a="http://schemas.openxmlformats.org/drawingml/2006/main" w="9525">
                <a:solidFill>
                  <a:srgbClr val="2A3439"/>
                </a:solidFill>
                <a:prstDash val="solid"/>
              </a:ln>
            </spPr>
          </marker>
          <dLbls>
            <dLbl>
              <idx val="0"/>
              <dLblPos val="r"/>
              <showLegendKey val="0"/>
              <showVal val="1"/>
              <showCatName val="0"/>
              <showSerName val="0"/>
              <showPercent val="0"/>
              <showBubbleSize val="0"/>
            </dLbl>
            <dLbl>
              <idx val="1"/>
              <dLblPos val="r"/>
              <showLegendKey val="0"/>
              <showVal val="1"/>
              <showCatName val="0"/>
              <showSerName val="0"/>
              <showPercent val="0"/>
              <showBubbleSize val="0"/>
            </dLbl>
            <dLbl>
              <idx val="2"/>
              <dLblPos val="r"/>
              <showLegendKey val="0"/>
              <showVal val="1"/>
              <showCatName val="0"/>
              <showSerName val="0"/>
              <showPercent val="0"/>
              <showBubbleSize val="0"/>
            </dLbl>
            <dLbl>
              <idx val="3"/>
              <dLblPos val="r"/>
              <showLegendKey val="0"/>
              <showVal val="1"/>
              <showCatName val="0"/>
              <showSerName val="0"/>
              <showPercent val="0"/>
              <showBubbleSize val="0"/>
            </dLbl>
            <dLbl>
              <idx val="4"/>
              <dLblPos val="r"/>
              <showLegendKey val="0"/>
              <showVal val="1"/>
              <showCatName val="0"/>
              <showSerName val="0"/>
              <showPercent val="0"/>
              <showBubbleSize val="0"/>
            </dLbl>
            <dLbl>
              <idx val="5"/>
              <dLblPos val="r"/>
              <showLegendKey val="0"/>
              <showVal val="1"/>
              <showCatName val="0"/>
              <showSerName val="0"/>
              <showPercent val="0"/>
              <showBubbleSize val="0"/>
            </dLbl>
            <dLbl>
              <idx val="6"/>
              <dLblPos val="r"/>
              <showLegendKey val="0"/>
              <showVal val="1"/>
              <showCatName val="0"/>
              <showSerName val="0"/>
              <showPercent val="0"/>
              <showBubbleSize val="0"/>
            </dLbl>
            <dLbl>
              <idx val="7"/>
              <dLblPos val="r"/>
              <showLegendKey val="0"/>
              <showVal val="1"/>
              <showCatName val="0"/>
              <showSerName val="0"/>
              <showPercent val="0"/>
              <showBubbleSize val="0"/>
            </dLbl>
            <dLbl>
              <idx val="8"/>
              <dLblPos val="r"/>
              <showLegendKey val="0"/>
              <showVal val="1"/>
              <showCatName val="0"/>
              <showSerName val="0"/>
              <showPercent val="0"/>
              <showBubbleSize val="0"/>
            </dLbl>
            <dLbl>
              <idx val="9"/>
              <dLblPos val="r"/>
              <showLegendKey val="0"/>
              <showVal val="1"/>
              <showCatName val="0"/>
              <showSerName val="0"/>
              <showPercent val="0"/>
              <showBubbleSize val="0"/>
            </dLbl>
            <dLbl>
              <idx val="10"/>
              <dLblPos val="r"/>
              <showLegendKey val="0"/>
              <showVal val="1"/>
              <showCatName val="0"/>
              <showSerName val="0"/>
              <showPercent val="0"/>
              <showBubbleSize val="0"/>
            </dLbl>
            <dLbl>
              <idx val="11"/>
              <dLblPos val="r"/>
              <showLegendKey val="0"/>
              <showVal val="1"/>
              <showCatName val="0"/>
              <showSerName val="0"/>
              <showPercent val="0"/>
              <showBubbleSize val="0"/>
            </dLbl>
            <dLbl>
              <idx val="12"/>
              <dLblPos val="r"/>
              <showLegendKey val="0"/>
              <showVal val="1"/>
              <showCatName val="0"/>
              <showSerName val="0"/>
              <showPercent val="0"/>
              <showBubbleSize val="0"/>
            </dLbl>
            <dLbl>
              <idx val="13"/>
              <dLblPos val="r"/>
              <showLegendKey val="0"/>
              <showVal val="1"/>
              <showCatName val="0"/>
              <showSerName val="0"/>
              <showPercent val="0"/>
              <showBubbleSize val="0"/>
            </dLbl>
            <dLbl>
              <idx val="14"/>
              <dLblPos val="r"/>
              <showLegendKey val="0"/>
              <showVal val="1"/>
              <showCatName val="0"/>
              <showSerName val="0"/>
              <showPercent val="0"/>
              <showBubbleSize val="0"/>
            </dLbl>
            <dLbl>
              <idx val="15"/>
              <dLblPos val="r"/>
              <showLegendKey val="0"/>
              <showVal val="1"/>
              <showCatName val="0"/>
              <showSerName val="0"/>
              <showPercent val="0"/>
              <showBubbleSize val="0"/>
            </dLbl>
            <dLbl>
              <idx val="16"/>
              <dLblPos val="r"/>
              <showLegendKey val="0"/>
              <showVal val="1"/>
              <showCatName val="0"/>
              <showSerName val="0"/>
              <showPercent val="0"/>
              <showBubbleSize val="0"/>
            </dLbl>
            <dLbl>
              <idx val="17"/>
              <dLblPos val="r"/>
              <showLegendKey val="0"/>
              <showVal val="1"/>
              <showCatName val="0"/>
              <showSerName val="0"/>
              <showPercent val="0"/>
              <showBubbleSize val="0"/>
            </dLbl>
            <dLbl>
              <idx val="18"/>
              <dLblPos val="r"/>
              <showLegendKey val="0"/>
              <showVal val="1"/>
              <showCatName val="0"/>
              <showSerName val="0"/>
              <showPercent val="0"/>
              <showBubbleSize val="0"/>
            </dLbl>
            <dLbl>
              <idx val="19"/>
              <dLblPos val="r"/>
              <showLegendKey val="0"/>
              <showVal val="1"/>
              <showCatName val="0"/>
              <showSerName val="0"/>
              <showPercent val="0"/>
              <showBubbleSize val="0"/>
            </dLbl>
            <dLbl>
              <idx val="20"/>
              <dLblPos val="r"/>
              <showLegendKey val="0"/>
              <showVal val="1"/>
              <showCatName val="0"/>
              <showSerName val="0"/>
              <showPercent val="0"/>
              <showBubbleSize val="0"/>
            </dLbl>
            <dLbl>
              <idx val="21"/>
              <dLblPos val="r"/>
              <showLegendKey val="0"/>
              <showVal val="1"/>
              <showCatName val="0"/>
              <showSerName val="0"/>
              <showPercent val="0"/>
              <showBubbleSize val="0"/>
            </dLbl>
            <dLbl>
              <idx val="22"/>
              <dLblPos val="r"/>
              <showLegendKey val="0"/>
              <showVal val="1"/>
              <showCatName val="0"/>
              <showSerName val="0"/>
              <showPercent val="0"/>
              <showBubbleSize val="0"/>
            </dLbl>
            <dLbl>
              <idx val="23"/>
              <dLblPos val="r"/>
              <showLegendKey val="0"/>
              <showVal val="1"/>
              <showCatName val="0"/>
              <showSerName val="0"/>
              <showPercent val="0"/>
              <showBubbleSize val="0"/>
            </dLbl>
            <dLbl>
              <idx val="24"/>
              <dLblPos val="r"/>
              <showLegendKey val="0"/>
              <showVal val="1"/>
              <showCatName val="0"/>
              <showSerName val="0"/>
              <showPercent val="0"/>
              <showBubbleSize val="0"/>
            </dLbl>
            <dLbl>
              <idx val="25"/>
              <dLblPos val="r"/>
              <showLegendKey val="0"/>
              <showVal val="1"/>
              <showCatName val="0"/>
              <showSerName val="0"/>
              <showPercent val="0"/>
              <showBubbleSize val="0"/>
            </dLbl>
            <dLbl>
              <idx val="26"/>
              <dLblPos val="r"/>
              <showLegendKey val="0"/>
              <showVal val="1"/>
              <showCatName val="0"/>
              <showSerName val="0"/>
              <showPercent val="0"/>
              <showBubbleSize val="0"/>
            </dLbl>
            <dLbl>
              <idx val="27"/>
              <dLblPos val="r"/>
              <showLegendKey val="0"/>
              <showVal val="1"/>
              <showCatName val="0"/>
              <showSerName val="0"/>
              <showPercent val="0"/>
              <showBubbleSize val="0"/>
            </dLbl>
            <dLbl>
              <idx val="28"/>
              <dLblPos val="r"/>
              <showLegendKey val="0"/>
              <showVal val="1"/>
              <showCatName val="0"/>
              <showSerName val="0"/>
              <showPercent val="0"/>
              <showBubbleSize val="0"/>
            </dLbl>
            <dLbl>
              <idx val="29"/>
              <dLblPos val="r"/>
              <showLegendKey val="0"/>
              <showVal val="1"/>
              <showCatName val="0"/>
              <showSerName val="0"/>
              <showPercent val="0"/>
              <showBubbleSize val="0"/>
            </dLbl>
            <dLbl>
              <idx val="30"/>
              <dLblPos val="r"/>
              <showLegendKey val="0"/>
              <showVal val="1"/>
              <showCatName val="0"/>
              <showSerName val="0"/>
              <showPercent val="0"/>
              <showBubbleSize val="0"/>
            </dLbl>
            <dLbl>
              <idx val="31"/>
              <dLblPos val="r"/>
              <showLegendKey val="0"/>
              <showVal val="1"/>
              <showCatName val="0"/>
              <showSerName val="0"/>
              <showPercent val="0"/>
              <showBubbleSize val="0"/>
            </dLbl>
            <dLbl>
              <idx val="32"/>
              <dLblPos val="r"/>
              <showLegendKey val="0"/>
              <showVal val="1"/>
              <showCatName val="0"/>
              <showSerName val="0"/>
              <showPercent val="0"/>
              <showBubbleSize val="0"/>
            </dLbl>
            <dLbl>
              <idx val="33"/>
              <dLblPos val="r"/>
              <showLegendKey val="0"/>
              <showVal val="1"/>
              <showCatName val="0"/>
              <showSerName val="0"/>
              <showPercent val="0"/>
              <showBubbleSize val="0"/>
            </dLbl>
            <dLbl>
              <idx val="34"/>
              <dLblPos val="r"/>
              <showLegendKey val="0"/>
              <showVal val="1"/>
              <showCatName val="0"/>
              <showSerName val="0"/>
              <showPercent val="0"/>
              <showBubbleSize val="0"/>
            </dLbl>
            <dLbl>
              <idx val="35"/>
              <dLblPos val="r"/>
              <showLegendKey val="0"/>
              <showVal val="1"/>
              <showCatName val="0"/>
              <showSerName val="0"/>
              <showPercent val="0"/>
              <showBubbleSize val="0"/>
            </dLbl>
            <dLbl>
              <idx val="36"/>
              <dLblPos val="r"/>
              <showLegendKey val="0"/>
              <showVal val="1"/>
              <showCatName val="0"/>
              <showSerName val="0"/>
              <showPercent val="0"/>
              <showBubbleSize val="0"/>
            </dLbl>
            <dLbl>
              <idx val="37"/>
              <dLblPos val="r"/>
              <showLegendKey val="0"/>
              <showVal val="1"/>
              <showCatName val="0"/>
              <showSerName val="0"/>
              <showPercent val="0"/>
              <showBubbleSize val="0"/>
            </dLbl>
            <dLbl>
              <idx val="38"/>
              <dLblPos val="r"/>
              <showLegendKey val="0"/>
              <showVal val="1"/>
              <showCatName val="0"/>
              <showSerName val="0"/>
              <showPercent val="0"/>
              <showBubbleSize val="0"/>
            </dLbl>
            <dLbl>
              <idx val="39"/>
              <dLblPos val="r"/>
              <showLegendKey val="0"/>
              <showVal val="1"/>
              <showCatName val="0"/>
              <showSerName val="0"/>
              <showPercent val="0"/>
              <showBubbleSize val="0"/>
            </dLbl>
            <spPr>
              <a:noFill xmlns:a="http://schemas.openxmlformats.org/drawingml/2006/main"/>
              <a:ln xmlns:a="http://schemas.openxmlformats.org/drawingml/2006/main">
                <a:noFill/>
                <a:prstDash val="solid"/>
              </a:ln>
            </spPr>
            <showLegendKey val="0"/>
            <showVal val="0"/>
            <showCatName val="0"/>
            <showSerName val="0"/>
            <showPercent val="0"/>
            <showBubbleSize val="0"/>
          </dLbls>
          <xVal>
            <numRef>
              <f>Resultados!$N$35:$N$74</f>
              <numCache>
                <formatCode>0.0000%</formatCode>
                <ptCount val="40"/>
                <pt idx="0">
                  <v>0.08955223880597014</v>
                </pt>
                <pt idx="1">
                  <v>0.08955223880597014</v>
                </pt>
                <pt idx="2">
                  <v>0</v>
                </pt>
                <pt idx="3">
                  <v>0</v>
                </pt>
                <pt idx="4">
                  <v>0</v>
                </pt>
                <pt idx="5">
                  <v>0.2238805970149254</v>
                </pt>
                <pt idx="6">
                  <v>0.02985074626865672</v>
                </pt>
                <pt idx="7">
                  <v>0.02985074626865672</v>
                </pt>
                <pt idx="8">
                  <v>0.08955223880597014</v>
                </pt>
                <pt idx="9">
                  <v>0.04477611940298507</v>
                </pt>
                <pt idx="10">
                  <v>0.1044776119402985</v>
                </pt>
                <pt idx="11">
                  <v>0.07462686567164178</v>
                </pt>
                <pt idx="12">
                  <v>0.02985074626865672</v>
                </pt>
                <pt idx="13">
                  <v>0.1194029850746269</v>
                </pt>
                <pt idx="14">
                  <v>0.07462686567164178</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xVal>
          <yVal>
            <numRef>
              <f>Resultados!$O$35:$O$74</f>
              <numCache>
                <formatCode>0.0000%</formatCode>
                <ptCount val="40"/>
                <pt idx="0">
                  <v>0.04477611940298507</v>
                </pt>
                <pt idx="1">
                  <v>0.05970149253731343</v>
                </pt>
                <pt idx="2">
                  <v>0.08955223880597014</v>
                </pt>
                <pt idx="3">
                  <v>0.07462686567164178</v>
                </pt>
                <pt idx="4">
                  <v>0.1194029850746269</v>
                </pt>
                <pt idx="5">
                  <v>0.08955223880597014</v>
                </pt>
                <pt idx="6">
                  <v>0.07462686567164178</v>
                </pt>
                <pt idx="7">
                  <v>0.05970149253731343</v>
                </pt>
                <pt idx="8">
                  <v>0.04477611940298507</v>
                </pt>
                <pt idx="9">
                  <v>0.07462686567164178</v>
                </pt>
                <pt idx="10">
                  <v>0.07462686567164178</v>
                </pt>
                <pt idx="11">
                  <v>0.05970149253731343</v>
                </pt>
                <pt idx="12">
                  <v>0.04477611940298507</v>
                </pt>
                <pt idx="13">
                  <v>0.02985074626865672</v>
                </pt>
                <pt idx="14">
                  <v>0.05970149253731343</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yVal>
          <smooth val="0"/>
        </ser>
        <ser>
          <idx val="1"/>
          <order val="1"/>
          <tx>
            <v>Mediana de dependencia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Resultados!$T$35:$T$36</f>
              <numCache>
                <formatCode>0.0000%</formatCode>
                <ptCount val="2"/>
                <pt idx="0">
                  <v>0.07462686567164178</v>
                </pt>
                <pt idx="1">
                  <v>0.07462686567164178</v>
                </pt>
              </numCache>
            </numRef>
          </xVal>
          <yVal>
            <numRef>
              <f>Resultados!$U$35:$U$36</f>
              <numCache>
                <formatCode>0.0000%</formatCode>
                <ptCount val="2"/>
                <pt idx="0">
                  <v>0</v>
                </pt>
                <pt idx="1">
                  <v>0.1313432835820895</v>
                </pt>
              </numCache>
            </numRef>
          </yVal>
          <smooth val="0"/>
        </ser>
        <ser>
          <idx val="2"/>
          <order val="2"/>
          <tx>
            <v>Mediana de influencia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Resultados!$V$35:$V$36</f>
              <numCache>
                <formatCode>0.0000%</formatCode>
                <ptCount val="2"/>
                <pt idx="0">
                  <v>0</v>
                </pt>
                <pt idx="1">
                  <v>0.2462686567164179</v>
                </pt>
              </numCache>
            </numRef>
          </xVal>
          <yVal>
            <numRef>
              <f>Resultados!$W$35:$W$36</f>
              <numCache>
                <formatCode>0.0000%</formatCode>
                <ptCount val="2"/>
                <pt idx="0">
                  <v>0.05970149253731343</v>
                </pt>
                <pt idx="1">
                  <v>0.05970149253731343</v>
                </pt>
              </numCache>
            </numRef>
          </yVal>
          <smooth val="0"/>
        </ser>
        <dLbls>
          <showLegendKey val="0"/>
          <showVal val="0"/>
          <showCatName val="0"/>
          <showSerName val="0"/>
          <showPercent val="0"/>
          <showBubbleSize val="0"/>
        </dLbls>
        <axId val="48650112"/>
        <axId val="48672768"/>
      </scatterChart>
      <valAx>
        <axId val="48650112"/>
        <scaling>
          <orientation val="minMax"/>
          <min val="0"/>
        </scaling>
        <delete val="0"/>
        <axPos val="b"/>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Dependencia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72768"/>
        <crosses val="autoZero"/>
        <crossBetween val="midCat"/>
      </valAx>
      <valAx>
        <axId val="48672768"/>
        <scaling>
          <orientation val="minMax"/>
          <min val="0"/>
        </scaling>
        <delete val="0"/>
        <axPos val="l"/>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Influencia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50112"/>
        <crosses val="autoZero"/>
        <crossBetween val="midCat"/>
      </valAx>
    </plotArea>
    <plotVisOnly val="1"/>
    <dispBlanksAs val="gap"/>
  </chart>
  <spPr>
    <a:noFill xmlns:a="http://schemas.openxmlformats.org/drawingml/2006/main"/>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sz="1200" b="1">
                <a:solidFill>
                  <a:srgbClr val="2A3439"/>
                </a:solidFill>
                <a:latin typeface="Arial"/>
                <a:cs typeface="Arial"/>
              </a:rPr>
              <a:t>M6 · Dependencia e influencia</a:t>
            </a:r>
          </a:p>
        </rich>
      </tx>
      <overlay val="0"/>
    </title>
    <plotArea>
      <layout/>
      <scatterChart>
        <scatterStyle val="lineMarker"/>
        <varyColors val="1"/>
        <ser>
          <idx val="0"/>
          <order val="0"/>
          <tx>
            <v>Variables</v>
          </tx>
          <spPr>
            <a:ln xmlns:a="http://schemas.openxmlformats.org/drawingml/2006/main" w="19050">
              <a:noFill/>
              <a:prstDash val="solid"/>
            </a:ln>
          </spPr>
          <marker>
            <symbol val="circle"/>
            <size val="8"/>
            <spPr>
              <a:solidFill xmlns:a="http://schemas.openxmlformats.org/drawingml/2006/main">
                <a:srgbClr val="6699CC"/>
              </a:solidFill>
              <a:ln xmlns:a="http://schemas.openxmlformats.org/drawingml/2006/main" w="9525">
                <a:solidFill>
                  <a:srgbClr val="2A3439"/>
                </a:solidFill>
                <a:prstDash val="solid"/>
              </a:ln>
            </spPr>
          </marker>
          <dLbls>
            <dLbl>
              <idx val="0"/>
              <dLblPos val="r"/>
              <showLegendKey val="0"/>
              <showVal val="1"/>
              <showCatName val="0"/>
              <showSerName val="0"/>
              <showPercent val="0"/>
              <showBubbleSize val="0"/>
            </dLbl>
            <dLbl>
              <idx val="1"/>
              <dLblPos val="r"/>
              <showLegendKey val="0"/>
              <showVal val="1"/>
              <showCatName val="0"/>
              <showSerName val="0"/>
              <showPercent val="0"/>
              <showBubbleSize val="0"/>
            </dLbl>
            <dLbl>
              <idx val="2"/>
              <dLblPos val="r"/>
              <showLegendKey val="0"/>
              <showVal val="1"/>
              <showCatName val="0"/>
              <showSerName val="0"/>
              <showPercent val="0"/>
              <showBubbleSize val="0"/>
            </dLbl>
            <dLbl>
              <idx val="3"/>
              <dLblPos val="r"/>
              <showLegendKey val="0"/>
              <showVal val="1"/>
              <showCatName val="0"/>
              <showSerName val="0"/>
              <showPercent val="0"/>
              <showBubbleSize val="0"/>
            </dLbl>
            <dLbl>
              <idx val="4"/>
              <dLblPos val="r"/>
              <showLegendKey val="0"/>
              <showVal val="1"/>
              <showCatName val="0"/>
              <showSerName val="0"/>
              <showPercent val="0"/>
              <showBubbleSize val="0"/>
            </dLbl>
            <dLbl>
              <idx val="5"/>
              <dLblPos val="r"/>
              <showLegendKey val="0"/>
              <showVal val="1"/>
              <showCatName val="0"/>
              <showSerName val="0"/>
              <showPercent val="0"/>
              <showBubbleSize val="0"/>
            </dLbl>
            <dLbl>
              <idx val="6"/>
              <dLblPos val="r"/>
              <showLegendKey val="0"/>
              <showVal val="1"/>
              <showCatName val="0"/>
              <showSerName val="0"/>
              <showPercent val="0"/>
              <showBubbleSize val="0"/>
            </dLbl>
            <dLbl>
              <idx val="7"/>
              <dLblPos val="r"/>
              <showLegendKey val="0"/>
              <showVal val="1"/>
              <showCatName val="0"/>
              <showSerName val="0"/>
              <showPercent val="0"/>
              <showBubbleSize val="0"/>
            </dLbl>
            <dLbl>
              <idx val="8"/>
              <dLblPos val="r"/>
              <showLegendKey val="0"/>
              <showVal val="1"/>
              <showCatName val="0"/>
              <showSerName val="0"/>
              <showPercent val="0"/>
              <showBubbleSize val="0"/>
            </dLbl>
            <dLbl>
              <idx val="9"/>
              <dLblPos val="r"/>
              <showLegendKey val="0"/>
              <showVal val="1"/>
              <showCatName val="0"/>
              <showSerName val="0"/>
              <showPercent val="0"/>
              <showBubbleSize val="0"/>
            </dLbl>
            <dLbl>
              <idx val="10"/>
              <dLblPos val="r"/>
              <showLegendKey val="0"/>
              <showVal val="1"/>
              <showCatName val="0"/>
              <showSerName val="0"/>
              <showPercent val="0"/>
              <showBubbleSize val="0"/>
            </dLbl>
            <dLbl>
              <idx val="11"/>
              <dLblPos val="r"/>
              <showLegendKey val="0"/>
              <showVal val="1"/>
              <showCatName val="0"/>
              <showSerName val="0"/>
              <showPercent val="0"/>
              <showBubbleSize val="0"/>
            </dLbl>
            <dLbl>
              <idx val="12"/>
              <dLblPos val="r"/>
              <showLegendKey val="0"/>
              <showVal val="1"/>
              <showCatName val="0"/>
              <showSerName val="0"/>
              <showPercent val="0"/>
              <showBubbleSize val="0"/>
            </dLbl>
            <dLbl>
              <idx val="13"/>
              <dLblPos val="r"/>
              <showLegendKey val="0"/>
              <showVal val="1"/>
              <showCatName val="0"/>
              <showSerName val="0"/>
              <showPercent val="0"/>
              <showBubbleSize val="0"/>
            </dLbl>
            <dLbl>
              <idx val="14"/>
              <dLblPos val="r"/>
              <showLegendKey val="0"/>
              <showVal val="1"/>
              <showCatName val="0"/>
              <showSerName val="0"/>
              <showPercent val="0"/>
              <showBubbleSize val="0"/>
            </dLbl>
            <dLbl>
              <idx val="15"/>
              <dLblPos val="r"/>
              <showLegendKey val="0"/>
              <showVal val="1"/>
              <showCatName val="0"/>
              <showSerName val="0"/>
              <showPercent val="0"/>
              <showBubbleSize val="0"/>
            </dLbl>
            <dLbl>
              <idx val="16"/>
              <dLblPos val="r"/>
              <showLegendKey val="0"/>
              <showVal val="1"/>
              <showCatName val="0"/>
              <showSerName val="0"/>
              <showPercent val="0"/>
              <showBubbleSize val="0"/>
            </dLbl>
            <dLbl>
              <idx val="17"/>
              <dLblPos val="r"/>
              <showLegendKey val="0"/>
              <showVal val="1"/>
              <showCatName val="0"/>
              <showSerName val="0"/>
              <showPercent val="0"/>
              <showBubbleSize val="0"/>
            </dLbl>
            <dLbl>
              <idx val="18"/>
              <dLblPos val="r"/>
              <showLegendKey val="0"/>
              <showVal val="1"/>
              <showCatName val="0"/>
              <showSerName val="0"/>
              <showPercent val="0"/>
              <showBubbleSize val="0"/>
            </dLbl>
            <dLbl>
              <idx val="19"/>
              <dLblPos val="r"/>
              <showLegendKey val="0"/>
              <showVal val="1"/>
              <showCatName val="0"/>
              <showSerName val="0"/>
              <showPercent val="0"/>
              <showBubbleSize val="0"/>
            </dLbl>
            <dLbl>
              <idx val="20"/>
              <dLblPos val="r"/>
              <showLegendKey val="0"/>
              <showVal val="1"/>
              <showCatName val="0"/>
              <showSerName val="0"/>
              <showPercent val="0"/>
              <showBubbleSize val="0"/>
            </dLbl>
            <dLbl>
              <idx val="21"/>
              <dLblPos val="r"/>
              <showLegendKey val="0"/>
              <showVal val="1"/>
              <showCatName val="0"/>
              <showSerName val="0"/>
              <showPercent val="0"/>
              <showBubbleSize val="0"/>
            </dLbl>
            <dLbl>
              <idx val="22"/>
              <dLblPos val="r"/>
              <showLegendKey val="0"/>
              <showVal val="1"/>
              <showCatName val="0"/>
              <showSerName val="0"/>
              <showPercent val="0"/>
              <showBubbleSize val="0"/>
            </dLbl>
            <dLbl>
              <idx val="23"/>
              <dLblPos val="r"/>
              <showLegendKey val="0"/>
              <showVal val="1"/>
              <showCatName val="0"/>
              <showSerName val="0"/>
              <showPercent val="0"/>
              <showBubbleSize val="0"/>
            </dLbl>
            <dLbl>
              <idx val="24"/>
              <dLblPos val="r"/>
              <showLegendKey val="0"/>
              <showVal val="1"/>
              <showCatName val="0"/>
              <showSerName val="0"/>
              <showPercent val="0"/>
              <showBubbleSize val="0"/>
            </dLbl>
            <dLbl>
              <idx val="25"/>
              <dLblPos val="r"/>
              <showLegendKey val="0"/>
              <showVal val="1"/>
              <showCatName val="0"/>
              <showSerName val="0"/>
              <showPercent val="0"/>
              <showBubbleSize val="0"/>
            </dLbl>
            <dLbl>
              <idx val="26"/>
              <dLblPos val="r"/>
              <showLegendKey val="0"/>
              <showVal val="1"/>
              <showCatName val="0"/>
              <showSerName val="0"/>
              <showPercent val="0"/>
              <showBubbleSize val="0"/>
            </dLbl>
            <dLbl>
              <idx val="27"/>
              <dLblPos val="r"/>
              <showLegendKey val="0"/>
              <showVal val="1"/>
              <showCatName val="0"/>
              <showSerName val="0"/>
              <showPercent val="0"/>
              <showBubbleSize val="0"/>
            </dLbl>
            <dLbl>
              <idx val="28"/>
              <dLblPos val="r"/>
              <showLegendKey val="0"/>
              <showVal val="1"/>
              <showCatName val="0"/>
              <showSerName val="0"/>
              <showPercent val="0"/>
              <showBubbleSize val="0"/>
            </dLbl>
            <dLbl>
              <idx val="29"/>
              <dLblPos val="r"/>
              <showLegendKey val="0"/>
              <showVal val="1"/>
              <showCatName val="0"/>
              <showSerName val="0"/>
              <showPercent val="0"/>
              <showBubbleSize val="0"/>
            </dLbl>
            <dLbl>
              <idx val="30"/>
              <dLblPos val="r"/>
              <showLegendKey val="0"/>
              <showVal val="1"/>
              <showCatName val="0"/>
              <showSerName val="0"/>
              <showPercent val="0"/>
              <showBubbleSize val="0"/>
            </dLbl>
            <dLbl>
              <idx val="31"/>
              <dLblPos val="r"/>
              <showLegendKey val="0"/>
              <showVal val="1"/>
              <showCatName val="0"/>
              <showSerName val="0"/>
              <showPercent val="0"/>
              <showBubbleSize val="0"/>
            </dLbl>
            <dLbl>
              <idx val="32"/>
              <dLblPos val="r"/>
              <showLegendKey val="0"/>
              <showVal val="1"/>
              <showCatName val="0"/>
              <showSerName val="0"/>
              <showPercent val="0"/>
              <showBubbleSize val="0"/>
            </dLbl>
            <dLbl>
              <idx val="33"/>
              <dLblPos val="r"/>
              <showLegendKey val="0"/>
              <showVal val="1"/>
              <showCatName val="0"/>
              <showSerName val="0"/>
              <showPercent val="0"/>
              <showBubbleSize val="0"/>
            </dLbl>
            <dLbl>
              <idx val="34"/>
              <dLblPos val="r"/>
              <showLegendKey val="0"/>
              <showVal val="1"/>
              <showCatName val="0"/>
              <showSerName val="0"/>
              <showPercent val="0"/>
              <showBubbleSize val="0"/>
            </dLbl>
            <dLbl>
              <idx val="35"/>
              <dLblPos val="r"/>
              <showLegendKey val="0"/>
              <showVal val="1"/>
              <showCatName val="0"/>
              <showSerName val="0"/>
              <showPercent val="0"/>
              <showBubbleSize val="0"/>
            </dLbl>
            <dLbl>
              <idx val="36"/>
              <dLblPos val="r"/>
              <showLegendKey val="0"/>
              <showVal val="1"/>
              <showCatName val="0"/>
              <showSerName val="0"/>
              <showPercent val="0"/>
              <showBubbleSize val="0"/>
            </dLbl>
            <dLbl>
              <idx val="37"/>
              <dLblPos val="r"/>
              <showLegendKey val="0"/>
              <showVal val="1"/>
              <showCatName val="0"/>
              <showSerName val="0"/>
              <showPercent val="0"/>
              <showBubbleSize val="0"/>
            </dLbl>
            <dLbl>
              <idx val="38"/>
              <dLblPos val="r"/>
              <showLegendKey val="0"/>
              <showVal val="1"/>
              <showCatName val="0"/>
              <showSerName val="0"/>
              <showPercent val="0"/>
              <showBubbleSize val="0"/>
            </dLbl>
            <dLbl>
              <idx val="39"/>
              <dLblPos val="r"/>
              <showLegendKey val="0"/>
              <showVal val="1"/>
              <showCatName val="0"/>
              <showSerName val="0"/>
              <showPercent val="0"/>
              <showBubbleSize val="0"/>
            </dLbl>
            <spPr>
              <a:noFill xmlns:a="http://schemas.openxmlformats.org/drawingml/2006/main"/>
              <a:ln xmlns:a="http://schemas.openxmlformats.org/drawingml/2006/main">
                <a:noFill/>
                <a:prstDash val="solid"/>
              </a:ln>
            </spPr>
            <showLegendKey val="0"/>
            <showVal val="0"/>
            <showCatName val="0"/>
            <showSerName val="0"/>
            <showPercent val="0"/>
            <showBubbleSize val="0"/>
          </dLbls>
          <xVal>
            <numRef>
              <f>Resultados!$Q$35:$Q$74</f>
              <numCache>
                <formatCode>0.0000%</formatCode>
                <ptCount val="40"/>
                <pt idx="0">
                  <v>0</v>
                </pt>
                <pt idx="1">
                  <v>0</v>
                </pt>
                <pt idx="2">
                  <v>0</v>
                </pt>
                <pt idx="3">
                  <v>0</v>
                </pt>
                <pt idx="4">
                  <v>0</v>
                </pt>
                <pt idx="5">
                  <v>0.1407204968944099</v>
                </pt>
                <pt idx="6">
                  <v>0.09108074534161491</v>
                </pt>
                <pt idx="7">
                  <v>0.02847204968944099</v>
                </pt>
                <pt idx="8">
                  <v>0.1195527950310559</v>
                </pt>
                <pt idx="9">
                  <v>0.1044223602484472</v>
                </pt>
                <pt idx="10">
                  <v>0.1663105590062112</v>
                </pt>
                <pt idx="11">
                  <v>0.1322484472049689</v>
                </pt>
                <pt idx="12">
                  <v>0.01267080745341615</v>
                </pt>
                <pt idx="13">
                  <v>0.08638509316770186</v>
                </pt>
                <pt idx="14">
                  <v>0.1181366459627329</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xVal>
          <yVal>
            <numRef>
              <f>Resultados!$R$35:$R$74</f>
              <numCache>
                <formatCode>0.0000%</formatCode>
                <ptCount val="40"/>
                <pt idx="0">
                  <v>0.04829813664596273</v>
                </pt>
                <pt idx="1">
                  <v>0.0676024844720497</v>
                </pt>
                <pt idx="2">
                  <v>0.09766459627329192</v>
                </pt>
                <pt idx="3">
                  <v>0.064</v>
                </pt>
                <pt idx="4">
                  <v>0.1058385093167702</v>
                </pt>
                <pt idx="5">
                  <v>0.09190062111801242</v>
                </pt>
                <pt idx="6">
                  <v>0.0826583850931677</v>
                </pt>
                <pt idx="7">
                  <v>0.05053416149068323</v>
                </pt>
                <pt idx="8">
                  <v>0.05142857142857143</v>
                </pt>
                <pt idx="9">
                  <v>0.0787080745341615</v>
                </pt>
                <pt idx="10">
                  <v>0.06360248447204969</v>
                </pt>
                <pt idx="11">
                  <v>0.06658385093167701</v>
                </pt>
                <pt idx="12">
                  <v>0.02906832298136646</v>
                </pt>
                <pt idx="13">
                  <v>0.03547826086956522</v>
                </pt>
                <pt idx="14">
                  <v>0.0666335403726708</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yVal>
          <smooth val="0"/>
        </ser>
        <ser>
          <idx val="1"/>
          <order val="1"/>
          <tx>
            <v>Mediana de dependencia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Resultados!$Y$35:$Y$36</f>
              <numCache>
                <formatCode>0.0000%</formatCode>
                <ptCount val="2"/>
                <pt idx="0">
                  <v>0.08638509316770186</v>
                </pt>
                <pt idx="1">
                  <v>0.08638509316770186</v>
                </pt>
              </numCache>
            </numRef>
          </xVal>
          <yVal>
            <numRef>
              <f>Resultados!$Z$35:$Z$36</f>
              <numCache>
                <formatCode>0.0000%</formatCode>
                <ptCount val="2"/>
                <pt idx="0">
                  <v>0</v>
                </pt>
                <pt idx="1">
                  <v>0.1164223602484472</v>
                </pt>
              </numCache>
            </numRef>
          </yVal>
          <smooth val="0"/>
        </ser>
        <ser>
          <idx val="2"/>
          <order val="2"/>
          <tx>
            <v>Mediana de influencia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Resultados!$AA$35:$AA$36</f>
              <numCache>
                <formatCode>0.0000%</formatCode>
                <ptCount val="2"/>
                <pt idx="0">
                  <v>0</v>
                </pt>
                <pt idx="1">
                  <v>0.1829416149068323</v>
                </pt>
              </numCache>
            </numRef>
          </xVal>
          <yVal>
            <numRef>
              <f>Resultados!$AB$35:$AB$36</f>
              <numCache>
                <formatCode>0.0000%</formatCode>
                <ptCount val="2"/>
                <pt idx="0">
                  <v>0.06658385093167701</v>
                </pt>
                <pt idx="1">
                  <v>0.06658385093167701</v>
                </pt>
              </numCache>
            </numRef>
          </yVal>
          <smooth val="0"/>
        </ser>
        <dLbls>
          <showLegendKey val="0"/>
          <showVal val="0"/>
          <showCatName val="0"/>
          <showSerName val="0"/>
          <showPercent val="0"/>
          <showBubbleSize val="0"/>
        </dLbls>
        <axId val="48650112"/>
        <axId val="48672768"/>
      </scatterChart>
      <valAx>
        <axId val="48650112"/>
        <scaling>
          <orientation val="minMax"/>
          <min val="0"/>
        </scaling>
        <delete val="0"/>
        <axPos val="b"/>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Dependencia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72768"/>
        <crosses val="autoZero"/>
        <crossBetween val="midCat"/>
      </valAx>
      <valAx>
        <axId val="48672768"/>
        <scaling>
          <orientation val="minMax"/>
          <min val="0"/>
        </scaling>
        <delete val="0"/>
        <axPos val="l"/>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Influencia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50112"/>
        <crosses val="autoZero"/>
        <crossBetween val="midCat"/>
      </valAx>
    </plotArea>
    <plotVisOnly val="1"/>
    <dispBlanksAs val="gap"/>
  </chart>
  <spPr>
    <a:noFill xmlns:a="http://schemas.openxmlformats.org/drawingml/2006/main"/>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editAs="oneCell">
    <from>
      <col>0</col>
      <colOff>0</colOff>
      <row>5</row>
      <rowOff>0</rowOff>
    </from>
    <to>
      <col>6</col>
      <colOff>0</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5</row>
      <rowOff>0</rowOff>
    </from>
    <to>
      <col>12</col>
      <colOff>0</colOff>
      <row>29</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6699CC"/>
    <outlinePr summaryBelow="1" summaryRight="1"/>
    <pageSetUpPr fitToPage="1"/>
  </sheetPr>
  <dimension ref="A1:AB163"/>
  <sheetViews>
    <sheetView showGridLines="0" tabSelected="1" zoomScale="125" workbookViewId="0">
      <selection activeCell="B32" sqref="B32"/>
    </sheetView>
  </sheetViews>
  <sheetFormatPr baseColWidth="10" defaultColWidth="8.83203125" defaultRowHeight="15"/>
  <cols>
    <col width="5" customWidth="1" style="62" min="1" max="1"/>
    <col width="48" customWidth="1" style="62" min="2" max="2"/>
    <col width="15" customWidth="1" style="62" min="3" max="6"/>
    <col width="23" customWidth="1" style="62" min="7" max="7"/>
    <col width="15" customWidth="1" style="62" min="8" max="11"/>
    <col width="23" customWidth="1" style="62" min="12" max="12"/>
    <col width="3" customWidth="1" style="62" min="13" max="13"/>
    <col width="12" customWidth="1" style="62" min="14" max="15"/>
    <col width="2" customWidth="1" style="62" min="16" max="16"/>
    <col width="12" customWidth="1" style="62" min="17" max="18"/>
    <col width="2" customWidth="1" style="62" min="19" max="19"/>
    <col width="12" customWidth="1" style="62" min="20" max="23"/>
    <col width="2" customWidth="1" style="62" min="24" max="24"/>
    <col width="12" customWidth="1" style="62" min="25" max="28"/>
  </cols>
  <sheetData>
    <row r="1" ht="30" customHeight="1" s="62">
      <c r="A1" s="65">
        <f>"Resultados  |  De las relaciones directas a los recorridos de seis vínculos"&amp;IF(nombreEstudio&lt;&gt;""," · "&amp;nombreEstudio,"")</f>
        <v/>
      </c>
    </row>
    <row r="2" ht="32" customHeight="1" s="62">
      <c r="A2" s="63" t="inlineStr">
        <is>
          <t>Única entrada: hoja M (nombres y celdas azul claro). Todo lo demás se calcula solo. Primero comprenda una celda en Paso a paso; después compare M1 a M6 en Evolución. Los gráficos vectoriales (SVG) están en la hoja SVG.</t>
        </is>
      </c>
    </row>
    <row r="3" ht="26" customHeight="1" s="62">
      <c r="A3" s="61">
        <f>IF(matrizOK,IF('M1'!$C$9=0,"M contiene solo ceros. No hay relaciones para clasificar.","M completa: "&amp;nVariables&amp;" variables. Los resultados siguientes proceden de sus valoraciones actuales."),"REVISE M: resultados suspendidos hasta completar las valoraciones válidas (vea el panel de la hoja M).")</f>
        <v/>
      </c>
    </row>
    <row r="4" ht="20" customHeight="1" s="62">
      <c r="A4" s="63" t="inlineStr">
        <is>
          <t>I = influencia ejercida; D = dependencia recibida. Los porcentajes son participaciones del total de cada potencia. Los rangos conservan empates.</t>
        </is>
      </c>
    </row>
    <row r="33">
      <c r="N33" s="3" t="inlineStr">
        <is>
          <t>Auxiliar para los gráficos nativos de Excel (no edite). Un valor negativo (-1) significa «sin dato»: queda fuera de los ejes y Excel no dibuja ese punto.</t>
        </is>
      </c>
    </row>
    <row r="34" ht="38" customHeight="1" s="62">
      <c r="A34" s="69" t="inlineStr">
        <is>
          <t>N.º</t>
        </is>
      </c>
      <c r="B34" s="69" t="inlineStr">
        <is>
          <t>Variable</t>
        </is>
      </c>
      <c r="C34" s="69" t="inlineStr">
        <is>
          <t>I directa %</t>
        </is>
      </c>
      <c r="D34" s="69" t="inlineStr">
        <is>
          <t>D directa %</t>
        </is>
      </c>
      <c r="E34" s="69" t="inlineStr">
        <is>
          <t>Rango I M1</t>
        </is>
      </c>
      <c r="F34" s="69" t="inlineStr">
        <is>
          <t>Rango D M1</t>
        </is>
      </c>
      <c r="G34" s="69" t="inlineStr">
        <is>
          <t>Papel en M1</t>
        </is>
      </c>
      <c r="H34" s="69" t="inlineStr">
        <is>
          <t>I en M6 %</t>
        </is>
      </c>
      <c r="I34" s="69" t="inlineStr">
        <is>
          <t>D en M6 %</t>
        </is>
      </c>
      <c r="J34" s="69" t="inlineStr">
        <is>
          <t>Rango I M6</t>
        </is>
      </c>
      <c r="K34" s="69" t="inlineStr">
        <is>
          <t>Rango D M6</t>
        </is>
      </c>
      <c r="L34" s="69" t="inlineStr">
        <is>
          <t>Papel en M6</t>
        </is>
      </c>
      <c r="N34" s="5" t="inlineStr">
        <is>
          <t>Dependencia M1</t>
        </is>
      </c>
      <c r="O34" s="5" t="inlineStr">
        <is>
          <t>Influencia M1</t>
        </is>
      </c>
      <c r="Q34" s="5" t="inlineStr">
        <is>
          <t>Dependencia M6</t>
        </is>
      </c>
      <c r="R34" s="5" t="inlineStr">
        <is>
          <t>Influencia M6</t>
        </is>
      </c>
      <c r="T34" s="5" t="inlineStr">
        <is>
          <t>Corte D · x</t>
        </is>
      </c>
      <c r="U34" s="5" t="inlineStr">
        <is>
          <t>Corte D · y</t>
        </is>
      </c>
      <c r="V34" s="5" t="inlineStr">
        <is>
          <t>Corte I · x</t>
        </is>
      </c>
      <c r="W34" s="5" t="inlineStr">
        <is>
          <t>Corte I · y</t>
        </is>
      </c>
      <c r="Y34" s="5" t="inlineStr">
        <is>
          <t>Corte D · x</t>
        </is>
      </c>
      <c r="Z34" s="5" t="inlineStr">
        <is>
          <t>Corte D · y</t>
        </is>
      </c>
      <c r="AA34" s="5" t="inlineStr">
        <is>
          <t>Corte I · x</t>
        </is>
      </c>
      <c r="AB34" s="5" t="inlineStr">
        <is>
          <t>Corte I · y</t>
        </is>
      </c>
    </row>
    <row r="35" ht="24" customHeight="1" s="62">
      <c r="A35" s="6" t="n">
        <v>1</v>
      </c>
      <c r="B35" s="81">
        <f>IF($A35&lt;=nVariables,M!B10,"")</f>
        <v/>
      </c>
      <c r="C35" s="8">
        <f>IF(AND(matrizOK,$A35&lt;=nVariables,'M1'!$C$9&gt;0),'M1'!E10,IF(AND(matrizOK,$A35&lt;=nVariables),"Sin recorridos",""))</f>
        <v/>
      </c>
      <c r="D35" s="8">
        <f>IF(AND(matrizOK,$A35&lt;=nVariables,'M1'!$C$9&gt;0),'M1'!F10,IF(AND(matrizOK,$A35&lt;=nVariables),"Sin recorridos",""))</f>
        <v/>
      </c>
      <c r="E35" s="9">
        <f>IF(AND(matrizOK,$A35&lt;=nVariables,'M1'!$C$9&gt;0),'M1'!G10,IF(AND(matrizOK,$A35&lt;=nVariables),"Sin recorridos",""))</f>
        <v/>
      </c>
      <c r="F35" s="9">
        <f>IF(AND(matrizOK,$A35&lt;=nVariables,'M1'!$C$9&gt;0),'M1'!H10,IF(AND(matrizOK,$A35&lt;=nVariables),"Sin recorridos",""))</f>
        <v/>
      </c>
      <c r="G35" s="10">
        <f>IF(AND(matrizOK,$A35&lt;=nVariables,'M1'!$C$9&gt;0),'M1'!I10,IF(AND(matrizOK,$A35&lt;=nVariables),"Sin recorridos",""))</f>
        <v/>
      </c>
      <c r="H35" s="8">
        <f>IF(AND(matrizOK,$A35&lt;=nVariables,'M6'!$C$9&gt;0),'M6'!E10,IF(AND(matrizOK,$A35&lt;=nVariables),"Sin recorridos",""))</f>
        <v/>
      </c>
      <c r="I35" s="8">
        <f>IF(AND(matrizOK,$A35&lt;=nVariables,'M6'!$C$9&gt;0),'M6'!F10,IF(AND(matrizOK,$A35&lt;=nVariables),"Sin recorridos",""))</f>
        <v/>
      </c>
      <c r="J35" s="9">
        <f>IF(AND(matrizOK,$A35&lt;=nVariables,'M6'!$C$9&gt;0),'M6'!G10,IF(AND(matrizOK,$A35&lt;=nVariables),"Sin recorridos",""))</f>
        <v/>
      </c>
      <c r="K35" s="9">
        <f>IF(AND(matrizOK,$A35&lt;=nVariables,'M6'!$C$9&gt;0),'M6'!H10,IF(AND(matrizOK,$A35&lt;=nVariables),"Sin recorridos",""))</f>
        <v/>
      </c>
      <c r="L35" s="10">
        <f>IF(AND(matrizOK,$A35&lt;=nVariables,'M6'!$C$9&gt;0),'M6'!I10,IF(AND(matrizOK,$A35&lt;=nVariables),"Sin recorridos",""))</f>
        <v/>
      </c>
      <c r="N35" s="11">
        <f>IF(AND(matrizOK,$A35&lt;=nVariables,'M1'!$C$9&gt;0),'M1'!F10,-1)</f>
        <v/>
      </c>
      <c r="O35" s="11">
        <f>IF(AND(matrizOK,$A35&lt;=nVariables,'M1'!$C$9&gt;0),'M1'!E10,-1)</f>
        <v/>
      </c>
      <c r="Q35" s="11">
        <f>IF(AND(matrizOK,$A35&lt;=nVariables,'M6'!$C$9&gt;0),'M6'!F10,-1)</f>
        <v/>
      </c>
      <c r="R35" s="11">
        <f>IF(AND(matrizOK,$A35&lt;=nVariables,'M6'!$C$9&gt;0),'M6'!E10,-1)</f>
        <v/>
      </c>
      <c r="T35" s="11">
        <f>IF(AND(matrizOK,'M1'!$C$9&gt;0,N('M1'!$C$51)&gt;0,N('M1'!$D$51)&gt;0),'M1'!$F$51,-1)</f>
        <v/>
      </c>
      <c r="U35" s="11">
        <f>IF(AND(matrizOK,'M1'!$C$9&gt;0,N('M1'!$C$51)&gt;0,N('M1'!$D$51)&gt;0),0,-1)</f>
        <v/>
      </c>
      <c r="V35" s="11">
        <f>IF(AND(matrizOK,'M1'!$C$9&gt;0,N('M1'!$C$51)&gt;0,N('M1'!$D$51)&gt;0),0,-1)</f>
        <v/>
      </c>
      <c r="W35" s="11">
        <f>IF(AND(matrizOK,'M1'!$C$9&gt;0,N('M1'!$C$51)&gt;0,N('M1'!$D$51)&gt;0),'M1'!$E$51,-1)</f>
        <v/>
      </c>
      <c r="Y35" s="11">
        <f>IF(AND(matrizOK,'M6'!$C$9&gt;0,N('M6'!$C$51)&gt;0,N('M6'!$D$51)&gt;0),'M6'!$F$51,-1)</f>
        <v/>
      </c>
      <c r="Z35" s="11">
        <f>IF(AND(matrizOK,'M6'!$C$9&gt;0,N('M6'!$C$51)&gt;0,N('M6'!$D$51)&gt;0),0,-1)</f>
        <v/>
      </c>
      <c r="AA35" s="11">
        <f>IF(AND(matrizOK,'M6'!$C$9&gt;0,N('M6'!$C$51)&gt;0,N('M6'!$D$51)&gt;0),0,-1)</f>
        <v/>
      </c>
      <c r="AB35" s="11">
        <f>IF(AND(matrizOK,'M6'!$C$9&gt;0,N('M6'!$C$51)&gt;0,N('M6'!$D$51)&gt;0),'M6'!$E$51,-1)</f>
        <v/>
      </c>
    </row>
    <row r="36" ht="24" customHeight="1" s="62">
      <c r="A36" s="6" t="n">
        <v>2</v>
      </c>
      <c r="B36" s="81">
        <f>IF($A36&lt;=nVariables,M!B11,"")</f>
        <v/>
      </c>
      <c r="C36" s="8">
        <f>IF(AND(matrizOK,$A36&lt;=nVariables,'M1'!$C$9&gt;0),'M1'!E11,IF(AND(matrizOK,$A36&lt;=nVariables),"Sin recorridos",""))</f>
        <v/>
      </c>
      <c r="D36" s="8">
        <f>IF(AND(matrizOK,$A36&lt;=nVariables,'M1'!$C$9&gt;0),'M1'!F11,IF(AND(matrizOK,$A36&lt;=nVariables),"Sin recorridos",""))</f>
        <v/>
      </c>
      <c r="E36" s="9">
        <f>IF(AND(matrizOK,$A36&lt;=nVariables,'M1'!$C$9&gt;0),'M1'!G11,IF(AND(matrizOK,$A36&lt;=nVariables),"Sin recorridos",""))</f>
        <v/>
      </c>
      <c r="F36" s="9">
        <f>IF(AND(matrizOK,$A36&lt;=nVariables,'M1'!$C$9&gt;0),'M1'!H11,IF(AND(matrizOK,$A36&lt;=nVariables),"Sin recorridos",""))</f>
        <v/>
      </c>
      <c r="G36" s="10">
        <f>IF(AND(matrizOK,$A36&lt;=nVariables,'M1'!$C$9&gt;0),'M1'!I11,IF(AND(matrizOK,$A36&lt;=nVariables),"Sin recorridos",""))</f>
        <v/>
      </c>
      <c r="H36" s="8">
        <f>IF(AND(matrizOK,$A36&lt;=nVariables,'M6'!$C$9&gt;0),'M6'!E11,IF(AND(matrizOK,$A36&lt;=nVariables),"Sin recorridos",""))</f>
        <v/>
      </c>
      <c r="I36" s="8">
        <f>IF(AND(matrizOK,$A36&lt;=nVariables,'M6'!$C$9&gt;0),'M6'!F11,IF(AND(matrizOK,$A36&lt;=nVariables),"Sin recorridos",""))</f>
        <v/>
      </c>
      <c r="J36" s="9">
        <f>IF(AND(matrizOK,$A36&lt;=nVariables,'M6'!$C$9&gt;0),'M6'!G11,IF(AND(matrizOK,$A36&lt;=nVariables),"Sin recorridos",""))</f>
        <v/>
      </c>
      <c r="K36" s="9">
        <f>IF(AND(matrizOK,$A36&lt;=nVariables,'M6'!$C$9&gt;0),'M6'!H11,IF(AND(matrizOK,$A36&lt;=nVariables),"Sin recorridos",""))</f>
        <v/>
      </c>
      <c r="L36" s="10">
        <f>IF(AND(matrizOK,$A36&lt;=nVariables,'M6'!$C$9&gt;0),'M6'!I11,IF(AND(matrizOK,$A36&lt;=nVariables),"Sin recorridos",""))</f>
        <v/>
      </c>
      <c r="N36" s="11">
        <f>IF(AND(matrizOK,$A36&lt;=nVariables,'M1'!$C$9&gt;0),'M1'!F11,-1)</f>
        <v/>
      </c>
      <c r="O36" s="11">
        <f>IF(AND(matrizOK,$A36&lt;=nVariables,'M1'!$C$9&gt;0),'M1'!E11,-1)</f>
        <v/>
      </c>
      <c r="Q36" s="11">
        <f>IF(AND(matrizOK,$A36&lt;=nVariables,'M6'!$C$9&gt;0),'M6'!F11,-1)</f>
        <v/>
      </c>
      <c r="R36" s="11">
        <f>IF(AND(matrizOK,$A36&lt;=nVariables,'M6'!$C$9&gt;0),'M6'!E11,-1)</f>
        <v/>
      </c>
      <c r="T36" s="11">
        <f>IF(AND(matrizOK,'M1'!$C$9&gt;0,N('M1'!$C$51)&gt;0,N('M1'!$D$51)&gt;0),'M1'!$F$51,-1)</f>
        <v/>
      </c>
      <c r="U36" s="11">
        <f>IF(AND(matrizOK,'M1'!$C$9&gt;0,N('M1'!$C$51)&gt;0,N('M1'!$D$51)&gt;0),MAX('M1'!$E$10:$E$49)*1.1,-1)</f>
        <v/>
      </c>
      <c r="V36" s="11">
        <f>IF(AND(matrizOK,'M1'!$C$9&gt;0,N('M1'!$C$51)&gt;0,N('M1'!$D$51)&gt;0),MAX('M1'!$F$10:$F$49)*1.1,-1)</f>
        <v/>
      </c>
      <c r="W36" s="11">
        <f>IF(AND(matrizOK,'M1'!$C$9&gt;0,N('M1'!$C$51)&gt;0,N('M1'!$D$51)&gt;0),'M1'!$E$51,-1)</f>
        <v/>
      </c>
      <c r="Y36" s="11">
        <f>IF(AND(matrizOK,'M6'!$C$9&gt;0,N('M6'!$C$51)&gt;0,N('M6'!$D$51)&gt;0),'M6'!$F$51,-1)</f>
        <v/>
      </c>
      <c r="Z36" s="11">
        <f>IF(AND(matrizOK,'M6'!$C$9&gt;0,N('M6'!$C$51)&gt;0,N('M6'!$D$51)&gt;0),MAX('M6'!$E$10:$E$49)*1.1,-1)</f>
        <v/>
      </c>
      <c r="AA36" s="11">
        <f>IF(AND(matrizOK,'M6'!$C$9&gt;0,N('M6'!$C$51)&gt;0,N('M6'!$D$51)&gt;0),MAX('M6'!$F$10:$F$49)*1.1,-1)</f>
        <v/>
      </c>
      <c r="AB36" s="11">
        <f>IF(AND(matrizOK,'M6'!$C$9&gt;0,N('M6'!$C$51)&gt;0,N('M6'!$D$51)&gt;0),'M6'!$E$51,-1)</f>
        <v/>
      </c>
    </row>
    <row r="37" ht="24" customHeight="1" s="62">
      <c r="A37" s="6" t="n">
        <v>3</v>
      </c>
      <c r="B37" s="81">
        <f>IF($A37&lt;=nVariables,M!B12,"")</f>
        <v/>
      </c>
      <c r="C37" s="8">
        <f>IF(AND(matrizOK,$A37&lt;=nVariables,'M1'!$C$9&gt;0),'M1'!E12,IF(AND(matrizOK,$A37&lt;=nVariables),"Sin recorridos",""))</f>
        <v/>
      </c>
      <c r="D37" s="8">
        <f>IF(AND(matrizOK,$A37&lt;=nVariables,'M1'!$C$9&gt;0),'M1'!F12,IF(AND(matrizOK,$A37&lt;=nVariables),"Sin recorridos",""))</f>
        <v/>
      </c>
      <c r="E37" s="9">
        <f>IF(AND(matrizOK,$A37&lt;=nVariables,'M1'!$C$9&gt;0),'M1'!G12,IF(AND(matrizOK,$A37&lt;=nVariables),"Sin recorridos",""))</f>
        <v/>
      </c>
      <c r="F37" s="9">
        <f>IF(AND(matrizOK,$A37&lt;=nVariables,'M1'!$C$9&gt;0),'M1'!H12,IF(AND(matrizOK,$A37&lt;=nVariables),"Sin recorridos",""))</f>
        <v/>
      </c>
      <c r="G37" s="10">
        <f>IF(AND(matrizOK,$A37&lt;=nVariables,'M1'!$C$9&gt;0),'M1'!I12,IF(AND(matrizOK,$A37&lt;=nVariables),"Sin recorridos",""))</f>
        <v/>
      </c>
      <c r="H37" s="8">
        <f>IF(AND(matrizOK,$A37&lt;=nVariables,'M6'!$C$9&gt;0),'M6'!E12,IF(AND(matrizOK,$A37&lt;=nVariables),"Sin recorridos",""))</f>
        <v/>
      </c>
      <c r="I37" s="8">
        <f>IF(AND(matrizOK,$A37&lt;=nVariables,'M6'!$C$9&gt;0),'M6'!F12,IF(AND(matrizOK,$A37&lt;=nVariables),"Sin recorridos",""))</f>
        <v/>
      </c>
      <c r="J37" s="9">
        <f>IF(AND(matrizOK,$A37&lt;=nVariables,'M6'!$C$9&gt;0),'M6'!G12,IF(AND(matrizOK,$A37&lt;=nVariables),"Sin recorridos",""))</f>
        <v/>
      </c>
      <c r="K37" s="9">
        <f>IF(AND(matrizOK,$A37&lt;=nVariables,'M6'!$C$9&gt;0),'M6'!H12,IF(AND(matrizOK,$A37&lt;=nVariables),"Sin recorridos",""))</f>
        <v/>
      </c>
      <c r="L37" s="10">
        <f>IF(AND(matrizOK,$A37&lt;=nVariables,'M6'!$C$9&gt;0),'M6'!I12,IF(AND(matrizOK,$A37&lt;=nVariables),"Sin recorridos",""))</f>
        <v/>
      </c>
      <c r="N37" s="11">
        <f>IF(AND(matrizOK,$A37&lt;=nVariables,'M1'!$C$9&gt;0),'M1'!F12,-1)</f>
        <v/>
      </c>
      <c r="O37" s="11">
        <f>IF(AND(matrizOK,$A37&lt;=nVariables,'M1'!$C$9&gt;0),'M1'!E12,-1)</f>
        <v/>
      </c>
      <c r="Q37" s="11">
        <f>IF(AND(matrizOK,$A37&lt;=nVariables,'M6'!$C$9&gt;0),'M6'!F12,-1)</f>
        <v/>
      </c>
      <c r="R37" s="11">
        <f>IF(AND(matrizOK,$A37&lt;=nVariables,'M6'!$C$9&gt;0),'M6'!E12,-1)</f>
        <v/>
      </c>
    </row>
    <row r="38" ht="24" customHeight="1" s="62">
      <c r="A38" s="6" t="n">
        <v>4</v>
      </c>
      <c r="B38" s="81">
        <f>IF($A38&lt;=nVariables,M!B13,"")</f>
        <v/>
      </c>
      <c r="C38" s="8">
        <f>IF(AND(matrizOK,$A38&lt;=nVariables,'M1'!$C$9&gt;0),'M1'!E13,IF(AND(matrizOK,$A38&lt;=nVariables),"Sin recorridos",""))</f>
        <v/>
      </c>
      <c r="D38" s="8">
        <f>IF(AND(matrizOK,$A38&lt;=nVariables,'M1'!$C$9&gt;0),'M1'!F13,IF(AND(matrizOK,$A38&lt;=nVariables),"Sin recorridos",""))</f>
        <v/>
      </c>
      <c r="E38" s="9">
        <f>IF(AND(matrizOK,$A38&lt;=nVariables,'M1'!$C$9&gt;0),'M1'!G13,IF(AND(matrizOK,$A38&lt;=nVariables),"Sin recorridos",""))</f>
        <v/>
      </c>
      <c r="F38" s="9">
        <f>IF(AND(matrizOK,$A38&lt;=nVariables,'M1'!$C$9&gt;0),'M1'!H13,IF(AND(matrizOK,$A38&lt;=nVariables),"Sin recorridos",""))</f>
        <v/>
      </c>
      <c r="G38" s="10">
        <f>IF(AND(matrizOK,$A38&lt;=nVariables,'M1'!$C$9&gt;0),'M1'!I13,IF(AND(matrizOK,$A38&lt;=nVariables),"Sin recorridos",""))</f>
        <v/>
      </c>
      <c r="H38" s="8">
        <f>IF(AND(matrizOK,$A38&lt;=nVariables,'M6'!$C$9&gt;0),'M6'!E13,IF(AND(matrizOK,$A38&lt;=nVariables),"Sin recorridos",""))</f>
        <v/>
      </c>
      <c r="I38" s="8">
        <f>IF(AND(matrizOK,$A38&lt;=nVariables,'M6'!$C$9&gt;0),'M6'!F13,IF(AND(matrizOK,$A38&lt;=nVariables),"Sin recorridos",""))</f>
        <v/>
      </c>
      <c r="J38" s="9">
        <f>IF(AND(matrizOK,$A38&lt;=nVariables,'M6'!$C$9&gt;0),'M6'!G13,IF(AND(matrizOK,$A38&lt;=nVariables),"Sin recorridos",""))</f>
        <v/>
      </c>
      <c r="K38" s="9">
        <f>IF(AND(matrizOK,$A38&lt;=nVariables,'M6'!$C$9&gt;0),'M6'!H13,IF(AND(matrizOK,$A38&lt;=nVariables),"Sin recorridos",""))</f>
        <v/>
      </c>
      <c r="L38" s="10">
        <f>IF(AND(matrizOK,$A38&lt;=nVariables,'M6'!$C$9&gt;0),'M6'!I13,IF(AND(matrizOK,$A38&lt;=nVariables),"Sin recorridos",""))</f>
        <v/>
      </c>
      <c r="N38" s="11">
        <f>IF(AND(matrizOK,$A38&lt;=nVariables,'M1'!$C$9&gt;0),'M1'!F13,-1)</f>
        <v/>
      </c>
      <c r="O38" s="11">
        <f>IF(AND(matrizOK,$A38&lt;=nVariables,'M1'!$C$9&gt;0),'M1'!E13,-1)</f>
        <v/>
      </c>
      <c r="Q38" s="11">
        <f>IF(AND(matrizOK,$A38&lt;=nVariables,'M6'!$C$9&gt;0),'M6'!F13,-1)</f>
        <v/>
      </c>
      <c r="R38" s="11">
        <f>IF(AND(matrizOK,$A38&lt;=nVariables,'M6'!$C$9&gt;0),'M6'!E13,-1)</f>
        <v/>
      </c>
    </row>
    <row r="39" ht="24" customHeight="1" s="62">
      <c r="A39" s="6" t="n">
        <v>5</v>
      </c>
      <c r="B39" s="81">
        <f>IF($A39&lt;=nVariables,M!B14,"")</f>
        <v/>
      </c>
      <c r="C39" s="8">
        <f>IF(AND(matrizOK,$A39&lt;=nVariables,'M1'!$C$9&gt;0),'M1'!E14,IF(AND(matrizOK,$A39&lt;=nVariables),"Sin recorridos",""))</f>
        <v/>
      </c>
      <c r="D39" s="8">
        <f>IF(AND(matrizOK,$A39&lt;=nVariables,'M1'!$C$9&gt;0),'M1'!F14,IF(AND(matrizOK,$A39&lt;=nVariables),"Sin recorridos",""))</f>
        <v/>
      </c>
      <c r="E39" s="9">
        <f>IF(AND(matrizOK,$A39&lt;=nVariables,'M1'!$C$9&gt;0),'M1'!G14,IF(AND(matrizOK,$A39&lt;=nVariables),"Sin recorridos",""))</f>
        <v/>
      </c>
      <c r="F39" s="9">
        <f>IF(AND(matrizOK,$A39&lt;=nVariables,'M1'!$C$9&gt;0),'M1'!H14,IF(AND(matrizOK,$A39&lt;=nVariables),"Sin recorridos",""))</f>
        <v/>
      </c>
      <c r="G39" s="10">
        <f>IF(AND(matrizOK,$A39&lt;=nVariables,'M1'!$C$9&gt;0),'M1'!I14,IF(AND(matrizOK,$A39&lt;=nVariables),"Sin recorridos",""))</f>
        <v/>
      </c>
      <c r="H39" s="8">
        <f>IF(AND(matrizOK,$A39&lt;=nVariables,'M6'!$C$9&gt;0),'M6'!E14,IF(AND(matrizOK,$A39&lt;=nVariables),"Sin recorridos",""))</f>
        <v/>
      </c>
      <c r="I39" s="8">
        <f>IF(AND(matrizOK,$A39&lt;=nVariables,'M6'!$C$9&gt;0),'M6'!F14,IF(AND(matrizOK,$A39&lt;=nVariables),"Sin recorridos",""))</f>
        <v/>
      </c>
      <c r="J39" s="9">
        <f>IF(AND(matrizOK,$A39&lt;=nVariables,'M6'!$C$9&gt;0),'M6'!G14,IF(AND(matrizOK,$A39&lt;=nVariables),"Sin recorridos",""))</f>
        <v/>
      </c>
      <c r="K39" s="9">
        <f>IF(AND(matrizOK,$A39&lt;=nVariables,'M6'!$C$9&gt;0),'M6'!H14,IF(AND(matrizOK,$A39&lt;=nVariables),"Sin recorridos",""))</f>
        <v/>
      </c>
      <c r="L39" s="10">
        <f>IF(AND(matrizOK,$A39&lt;=nVariables,'M6'!$C$9&gt;0),'M6'!I14,IF(AND(matrizOK,$A39&lt;=nVariables),"Sin recorridos",""))</f>
        <v/>
      </c>
      <c r="N39" s="11">
        <f>IF(AND(matrizOK,$A39&lt;=nVariables,'M1'!$C$9&gt;0),'M1'!F14,-1)</f>
        <v/>
      </c>
      <c r="O39" s="11">
        <f>IF(AND(matrizOK,$A39&lt;=nVariables,'M1'!$C$9&gt;0),'M1'!E14,-1)</f>
        <v/>
      </c>
      <c r="Q39" s="11">
        <f>IF(AND(matrizOK,$A39&lt;=nVariables,'M6'!$C$9&gt;0),'M6'!F14,-1)</f>
        <v/>
      </c>
      <c r="R39" s="11">
        <f>IF(AND(matrizOK,$A39&lt;=nVariables,'M6'!$C$9&gt;0),'M6'!E14,-1)</f>
        <v/>
      </c>
    </row>
    <row r="40" ht="24" customHeight="1" s="62">
      <c r="A40" s="6" t="n">
        <v>6</v>
      </c>
      <c r="B40" s="81">
        <f>IF($A40&lt;=nVariables,M!B15,"")</f>
        <v/>
      </c>
      <c r="C40" s="8">
        <f>IF(AND(matrizOK,$A40&lt;=nVariables,'M1'!$C$9&gt;0),'M1'!E15,IF(AND(matrizOK,$A40&lt;=nVariables),"Sin recorridos",""))</f>
        <v/>
      </c>
      <c r="D40" s="8">
        <f>IF(AND(matrizOK,$A40&lt;=nVariables,'M1'!$C$9&gt;0),'M1'!F15,IF(AND(matrizOK,$A40&lt;=nVariables),"Sin recorridos",""))</f>
        <v/>
      </c>
      <c r="E40" s="9">
        <f>IF(AND(matrizOK,$A40&lt;=nVariables,'M1'!$C$9&gt;0),'M1'!G15,IF(AND(matrizOK,$A40&lt;=nVariables),"Sin recorridos",""))</f>
        <v/>
      </c>
      <c r="F40" s="9">
        <f>IF(AND(matrizOK,$A40&lt;=nVariables,'M1'!$C$9&gt;0),'M1'!H15,IF(AND(matrizOK,$A40&lt;=nVariables),"Sin recorridos",""))</f>
        <v/>
      </c>
      <c r="G40" s="10">
        <f>IF(AND(matrizOK,$A40&lt;=nVariables,'M1'!$C$9&gt;0),'M1'!I15,IF(AND(matrizOK,$A40&lt;=nVariables),"Sin recorridos",""))</f>
        <v/>
      </c>
      <c r="H40" s="8">
        <f>IF(AND(matrizOK,$A40&lt;=nVariables,'M6'!$C$9&gt;0),'M6'!E15,IF(AND(matrizOK,$A40&lt;=nVariables),"Sin recorridos",""))</f>
        <v/>
      </c>
      <c r="I40" s="8">
        <f>IF(AND(matrizOK,$A40&lt;=nVariables,'M6'!$C$9&gt;0),'M6'!F15,IF(AND(matrizOK,$A40&lt;=nVariables),"Sin recorridos",""))</f>
        <v/>
      </c>
      <c r="J40" s="9">
        <f>IF(AND(matrizOK,$A40&lt;=nVariables,'M6'!$C$9&gt;0),'M6'!G15,IF(AND(matrizOK,$A40&lt;=nVariables),"Sin recorridos",""))</f>
        <v/>
      </c>
      <c r="K40" s="9">
        <f>IF(AND(matrizOK,$A40&lt;=nVariables,'M6'!$C$9&gt;0),'M6'!H15,IF(AND(matrizOK,$A40&lt;=nVariables),"Sin recorridos",""))</f>
        <v/>
      </c>
      <c r="L40" s="10">
        <f>IF(AND(matrizOK,$A40&lt;=nVariables,'M6'!$C$9&gt;0),'M6'!I15,IF(AND(matrizOK,$A40&lt;=nVariables),"Sin recorridos",""))</f>
        <v/>
      </c>
      <c r="N40" s="11">
        <f>IF(AND(matrizOK,$A40&lt;=nVariables,'M1'!$C$9&gt;0),'M1'!F15,-1)</f>
        <v/>
      </c>
      <c r="O40" s="11">
        <f>IF(AND(matrizOK,$A40&lt;=nVariables,'M1'!$C$9&gt;0),'M1'!E15,-1)</f>
        <v/>
      </c>
      <c r="Q40" s="11">
        <f>IF(AND(matrizOK,$A40&lt;=nVariables,'M6'!$C$9&gt;0),'M6'!F15,-1)</f>
        <v/>
      </c>
      <c r="R40" s="11">
        <f>IF(AND(matrizOK,$A40&lt;=nVariables,'M6'!$C$9&gt;0),'M6'!E15,-1)</f>
        <v/>
      </c>
    </row>
    <row r="41" ht="24" customHeight="1" s="62">
      <c r="A41" s="6" t="n">
        <v>7</v>
      </c>
      <c r="B41" s="81">
        <f>IF($A41&lt;=nVariables,M!B16,"")</f>
        <v/>
      </c>
      <c r="C41" s="8">
        <f>IF(AND(matrizOK,$A41&lt;=nVariables,'M1'!$C$9&gt;0),'M1'!E16,IF(AND(matrizOK,$A41&lt;=nVariables),"Sin recorridos",""))</f>
        <v/>
      </c>
      <c r="D41" s="8">
        <f>IF(AND(matrizOK,$A41&lt;=nVariables,'M1'!$C$9&gt;0),'M1'!F16,IF(AND(matrizOK,$A41&lt;=nVariables),"Sin recorridos",""))</f>
        <v/>
      </c>
      <c r="E41" s="9">
        <f>IF(AND(matrizOK,$A41&lt;=nVariables,'M1'!$C$9&gt;0),'M1'!G16,IF(AND(matrizOK,$A41&lt;=nVariables),"Sin recorridos",""))</f>
        <v/>
      </c>
      <c r="F41" s="9">
        <f>IF(AND(matrizOK,$A41&lt;=nVariables,'M1'!$C$9&gt;0),'M1'!H16,IF(AND(matrizOK,$A41&lt;=nVariables),"Sin recorridos",""))</f>
        <v/>
      </c>
      <c r="G41" s="10">
        <f>IF(AND(matrizOK,$A41&lt;=nVariables,'M1'!$C$9&gt;0),'M1'!I16,IF(AND(matrizOK,$A41&lt;=nVariables),"Sin recorridos",""))</f>
        <v/>
      </c>
      <c r="H41" s="8">
        <f>IF(AND(matrizOK,$A41&lt;=nVariables,'M6'!$C$9&gt;0),'M6'!E16,IF(AND(matrizOK,$A41&lt;=nVariables),"Sin recorridos",""))</f>
        <v/>
      </c>
      <c r="I41" s="8">
        <f>IF(AND(matrizOK,$A41&lt;=nVariables,'M6'!$C$9&gt;0),'M6'!F16,IF(AND(matrizOK,$A41&lt;=nVariables),"Sin recorridos",""))</f>
        <v/>
      </c>
      <c r="J41" s="9">
        <f>IF(AND(matrizOK,$A41&lt;=nVariables,'M6'!$C$9&gt;0),'M6'!G16,IF(AND(matrizOK,$A41&lt;=nVariables),"Sin recorridos",""))</f>
        <v/>
      </c>
      <c r="K41" s="9">
        <f>IF(AND(matrizOK,$A41&lt;=nVariables,'M6'!$C$9&gt;0),'M6'!H16,IF(AND(matrizOK,$A41&lt;=nVariables),"Sin recorridos",""))</f>
        <v/>
      </c>
      <c r="L41" s="10">
        <f>IF(AND(matrizOK,$A41&lt;=nVariables,'M6'!$C$9&gt;0),'M6'!I16,IF(AND(matrizOK,$A41&lt;=nVariables),"Sin recorridos",""))</f>
        <v/>
      </c>
      <c r="N41" s="11">
        <f>IF(AND(matrizOK,$A41&lt;=nVariables,'M1'!$C$9&gt;0),'M1'!F16,-1)</f>
        <v/>
      </c>
      <c r="O41" s="11">
        <f>IF(AND(matrizOK,$A41&lt;=nVariables,'M1'!$C$9&gt;0),'M1'!E16,-1)</f>
        <v/>
      </c>
      <c r="Q41" s="11">
        <f>IF(AND(matrizOK,$A41&lt;=nVariables,'M6'!$C$9&gt;0),'M6'!F16,-1)</f>
        <v/>
      </c>
      <c r="R41" s="11">
        <f>IF(AND(matrizOK,$A41&lt;=nVariables,'M6'!$C$9&gt;0),'M6'!E16,-1)</f>
        <v/>
      </c>
    </row>
    <row r="42" ht="24" customHeight="1" s="62">
      <c r="A42" s="6" t="n">
        <v>8</v>
      </c>
      <c r="B42" s="81">
        <f>IF($A42&lt;=nVariables,M!B17,"")</f>
        <v/>
      </c>
      <c r="C42" s="8">
        <f>IF(AND(matrizOK,$A42&lt;=nVariables,'M1'!$C$9&gt;0),'M1'!E17,IF(AND(matrizOK,$A42&lt;=nVariables),"Sin recorridos",""))</f>
        <v/>
      </c>
      <c r="D42" s="8">
        <f>IF(AND(matrizOK,$A42&lt;=nVariables,'M1'!$C$9&gt;0),'M1'!F17,IF(AND(matrizOK,$A42&lt;=nVariables),"Sin recorridos",""))</f>
        <v/>
      </c>
      <c r="E42" s="9">
        <f>IF(AND(matrizOK,$A42&lt;=nVariables,'M1'!$C$9&gt;0),'M1'!G17,IF(AND(matrizOK,$A42&lt;=nVariables),"Sin recorridos",""))</f>
        <v/>
      </c>
      <c r="F42" s="9">
        <f>IF(AND(matrizOK,$A42&lt;=nVariables,'M1'!$C$9&gt;0),'M1'!H17,IF(AND(matrizOK,$A42&lt;=nVariables),"Sin recorridos",""))</f>
        <v/>
      </c>
      <c r="G42" s="10">
        <f>IF(AND(matrizOK,$A42&lt;=nVariables,'M1'!$C$9&gt;0),'M1'!I17,IF(AND(matrizOK,$A42&lt;=nVariables),"Sin recorridos",""))</f>
        <v/>
      </c>
      <c r="H42" s="8">
        <f>IF(AND(matrizOK,$A42&lt;=nVariables,'M6'!$C$9&gt;0),'M6'!E17,IF(AND(matrizOK,$A42&lt;=nVariables),"Sin recorridos",""))</f>
        <v/>
      </c>
      <c r="I42" s="8">
        <f>IF(AND(matrizOK,$A42&lt;=nVariables,'M6'!$C$9&gt;0),'M6'!F17,IF(AND(matrizOK,$A42&lt;=nVariables),"Sin recorridos",""))</f>
        <v/>
      </c>
      <c r="J42" s="9">
        <f>IF(AND(matrizOK,$A42&lt;=nVariables,'M6'!$C$9&gt;0),'M6'!G17,IF(AND(matrizOK,$A42&lt;=nVariables),"Sin recorridos",""))</f>
        <v/>
      </c>
      <c r="K42" s="9">
        <f>IF(AND(matrizOK,$A42&lt;=nVariables,'M6'!$C$9&gt;0),'M6'!H17,IF(AND(matrizOK,$A42&lt;=nVariables),"Sin recorridos",""))</f>
        <v/>
      </c>
      <c r="L42" s="10">
        <f>IF(AND(matrizOK,$A42&lt;=nVariables,'M6'!$C$9&gt;0),'M6'!I17,IF(AND(matrizOK,$A42&lt;=nVariables),"Sin recorridos",""))</f>
        <v/>
      </c>
      <c r="N42" s="11">
        <f>IF(AND(matrizOK,$A42&lt;=nVariables,'M1'!$C$9&gt;0),'M1'!F17,-1)</f>
        <v/>
      </c>
      <c r="O42" s="11">
        <f>IF(AND(matrizOK,$A42&lt;=nVariables,'M1'!$C$9&gt;0),'M1'!E17,-1)</f>
        <v/>
      </c>
      <c r="Q42" s="11">
        <f>IF(AND(matrizOK,$A42&lt;=nVariables,'M6'!$C$9&gt;0),'M6'!F17,-1)</f>
        <v/>
      </c>
      <c r="R42" s="11">
        <f>IF(AND(matrizOK,$A42&lt;=nVariables,'M6'!$C$9&gt;0),'M6'!E17,-1)</f>
        <v/>
      </c>
    </row>
    <row r="43" ht="24" customHeight="1" s="62">
      <c r="A43" s="6" t="n">
        <v>9</v>
      </c>
      <c r="B43" s="81">
        <f>IF($A43&lt;=nVariables,M!B18,"")</f>
        <v/>
      </c>
      <c r="C43" s="8">
        <f>IF(AND(matrizOK,$A43&lt;=nVariables,'M1'!$C$9&gt;0),'M1'!E18,IF(AND(matrizOK,$A43&lt;=nVariables),"Sin recorridos",""))</f>
        <v/>
      </c>
      <c r="D43" s="8">
        <f>IF(AND(matrizOK,$A43&lt;=nVariables,'M1'!$C$9&gt;0),'M1'!F18,IF(AND(matrizOK,$A43&lt;=nVariables),"Sin recorridos",""))</f>
        <v/>
      </c>
      <c r="E43" s="9">
        <f>IF(AND(matrizOK,$A43&lt;=nVariables,'M1'!$C$9&gt;0),'M1'!G18,IF(AND(matrizOK,$A43&lt;=nVariables),"Sin recorridos",""))</f>
        <v/>
      </c>
      <c r="F43" s="9">
        <f>IF(AND(matrizOK,$A43&lt;=nVariables,'M1'!$C$9&gt;0),'M1'!H18,IF(AND(matrizOK,$A43&lt;=nVariables),"Sin recorridos",""))</f>
        <v/>
      </c>
      <c r="G43" s="10">
        <f>IF(AND(matrizOK,$A43&lt;=nVariables,'M1'!$C$9&gt;0),'M1'!I18,IF(AND(matrizOK,$A43&lt;=nVariables),"Sin recorridos",""))</f>
        <v/>
      </c>
      <c r="H43" s="8">
        <f>IF(AND(matrizOK,$A43&lt;=nVariables,'M6'!$C$9&gt;0),'M6'!E18,IF(AND(matrizOK,$A43&lt;=nVariables),"Sin recorridos",""))</f>
        <v/>
      </c>
      <c r="I43" s="8">
        <f>IF(AND(matrizOK,$A43&lt;=nVariables,'M6'!$C$9&gt;0),'M6'!F18,IF(AND(matrizOK,$A43&lt;=nVariables),"Sin recorridos",""))</f>
        <v/>
      </c>
      <c r="J43" s="9">
        <f>IF(AND(matrizOK,$A43&lt;=nVariables,'M6'!$C$9&gt;0),'M6'!G18,IF(AND(matrizOK,$A43&lt;=nVariables),"Sin recorridos",""))</f>
        <v/>
      </c>
      <c r="K43" s="9">
        <f>IF(AND(matrizOK,$A43&lt;=nVariables,'M6'!$C$9&gt;0),'M6'!H18,IF(AND(matrizOK,$A43&lt;=nVariables),"Sin recorridos",""))</f>
        <v/>
      </c>
      <c r="L43" s="10">
        <f>IF(AND(matrizOK,$A43&lt;=nVariables,'M6'!$C$9&gt;0),'M6'!I18,IF(AND(matrizOK,$A43&lt;=nVariables),"Sin recorridos",""))</f>
        <v/>
      </c>
      <c r="N43" s="11">
        <f>IF(AND(matrizOK,$A43&lt;=nVariables,'M1'!$C$9&gt;0),'M1'!F18,-1)</f>
        <v/>
      </c>
      <c r="O43" s="11">
        <f>IF(AND(matrizOK,$A43&lt;=nVariables,'M1'!$C$9&gt;0),'M1'!E18,-1)</f>
        <v/>
      </c>
      <c r="Q43" s="11">
        <f>IF(AND(matrizOK,$A43&lt;=nVariables,'M6'!$C$9&gt;0),'M6'!F18,-1)</f>
        <v/>
      </c>
      <c r="R43" s="11">
        <f>IF(AND(matrizOK,$A43&lt;=nVariables,'M6'!$C$9&gt;0),'M6'!E18,-1)</f>
        <v/>
      </c>
    </row>
    <row r="44" ht="24" customHeight="1" s="62">
      <c r="A44" s="6" t="n">
        <v>10</v>
      </c>
      <c r="B44" s="81">
        <f>IF($A44&lt;=nVariables,M!B19,"")</f>
        <v/>
      </c>
      <c r="C44" s="8">
        <f>IF(AND(matrizOK,$A44&lt;=nVariables,'M1'!$C$9&gt;0),'M1'!E19,IF(AND(matrizOK,$A44&lt;=nVariables),"Sin recorridos",""))</f>
        <v/>
      </c>
      <c r="D44" s="8">
        <f>IF(AND(matrizOK,$A44&lt;=nVariables,'M1'!$C$9&gt;0),'M1'!F19,IF(AND(matrizOK,$A44&lt;=nVariables),"Sin recorridos",""))</f>
        <v/>
      </c>
      <c r="E44" s="9">
        <f>IF(AND(matrizOK,$A44&lt;=nVariables,'M1'!$C$9&gt;0),'M1'!G19,IF(AND(matrizOK,$A44&lt;=nVariables),"Sin recorridos",""))</f>
        <v/>
      </c>
      <c r="F44" s="9">
        <f>IF(AND(matrizOK,$A44&lt;=nVariables,'M1'!$C$9&gt;0),'M1'!H19,IF(AND(matrizOK,$A44&lt;=nVariables),"Sin recorridos",""))</f>
        <v/>
      </c>
      <c r="G44" s="10">
        <f>IF(AND(matrizOK,$A44&lt;=nVariables,'M1'!$C$9&gt;0),'M1'!I19,IF(AND(matrizOK,$A44&lt;=nVariables),"Sin recorridos",""))</f>
        <v/>
      </c>
      <c r="H44" s="8">
        <f>IF(AND(matrizOK,$A44&lt;=nVariables,'M6'!$C$9&gt;0),'M6'!E19,IF(AND(matrizOK,$A44&lt;=nVariables),"Sin recorridos",""))</f>
        <v/>
      </c>
      <c r="I44" s="8">
        <f>IF(AND(matrizOK,$A44&lt;=nVariables,'M6'!$C$9&gt;0),'M6'!F19,IF(AND(matrizOK,$A44&lt;=nVariables),"Sin recorridos",""))</f>
        <v/>
      </c>
      <c r="J44" s="9">
        <f>IF(AND(matrizOK,$A44&lt;=nVariables,'M6'!$C$9&gt;0),'M6'!G19,IF(AND(matrizOK,$A44&lt;=nVariables),"Sin recorridos",""))</f>
        <v/>
      </c>
      <c r="K44" s="9">
        <f>IF(AND(matrizOK,$A44&lt;=nVariables,'M6'!$C$9&gt;0),'M6'!H19,IF(AND(matrizOK,$A44&lt;=nVariables),"Sin recorridos",""))</f>
        <v/>
      </c>
      <c r="L44" s="10">
        <f>IF(AND(matrizOK,$A44&lt;=nVariables,'M6'!$C$9&gt;0),'M6'!I19,IF(AND(matrizOK,$A44&lt;=nVariables),"Sin recorridos",""))</f>
        <v/>
      </c>
      <c r="N44" s="11">
        <f>IF(AND(matrizOK,$A44&lt;=nVariables,'M1'!$C$9&gt;0),'M1'!F19,-1)</f>
        <v/>
      </c>
      <c r="O44" s="11">
        <f>IF(AND(matrizOK,$A44&lt;=nVariables,'M1'!$C$9&gt;0),'M1'!E19,-1)</f>
        <v/>
      </c>
      <c r="Q44" s="11">
        <f>IF(AND(matrizOK,$A44&lt;=nVariables,'M6'!$C$9&gt;0),'M6'!F19,-1)</f>
        <v/>
      </c>
      <c r="R44" s="11">
        <f>IF(AND(matrizOK,$A44&lt;=nVariables,'M6'!$C$9&gt;0),'M6'!E19,-1)</f>
        <v/>
      </c>
    </row>
    <row r="45" ht="24" customHeight="1" s="62">
      <c r="A45" s="6" t="n">
        <v>11</v>
      </c>
      <c r="B45" s="81">
        <f>IF($A45&lt;=nVariables,M!B20,"")</f>
        <v/>
      </c>
      <c r="C45" s="8">
        <f>IF(AND(matrizOK,$A45&lt;=nVariables,'M1'!$C$9&gt;0),'M1'!E20,IF(AND(matrizOK,$A45&lt;=nVariables),"Sin recorridos",""))</f>
        <v/>
      </c>
      <c r="D45" s="8">
        <f>IF(AND(matrizOK,$A45&lt;=nVariables,'M1'!$C$9&gt;0),'M1'!F20,IF(AND(matrizOK,$A45&lt;=nVariables),"Sin recorridos",""))</f>
        <v/>
      </c>
      <c r="E45" s="9">
        <f>IF(AND(matrizOK,$A45&lt;=nVariables,'M1'!$C$9&gt;0),'M1'!G20,IF(AND(matrizOK,$A45&lt;=nVariables),"Sin recorridos",""))</f>
        <v/>
      </c>
      <c r="F45" s="9">
        <f>IF(AND(matrizOK,$A45&lt;=nVariables,'M1'!$C$9&gt;0),'M1'!H20,IF(AND(matrizOK,$A45&lt;=nVariables),"Sin recorridos",""))</f>
        <v/>
      </c>
      <c r="G45" s="10">
        <f>IF(AND(matrizOK,$A45&lt;=nVariables,'M1'!$C$9&gt;0),'M1'!I20,IF(AND(matrizOK,$A45&lt;=nVariables),"Sin recorridos",""))</f>
        <v/>
      </c>
      <c r="H45" s="8">
        <f>IF(AND(matrizOK,$A45&lt;=nVariables,'M6'!$C$9&gt;0),'M6'!E20,IF(AND(matrizOK,$A45&lt;=nVariables),"Sin recorridos",""))</f>
        <v/>
      </c>
      <c r="I45" s="8">
        <f>IF(AND(matrizOK,$A45&lt;=nVariables,'M6'!$C$9&gt;0),'M6'!F20,IF(AND(matrizOK,$A45&lt;=nVariables),"Sin recorridos",""))</f>
        <v/>
      </c>
      <c r="J45" s="9">
        <f>IF(AND(matrizOK,$A45&lt;=nVariables,'M6'!$C$9&gt;0),'M6'!G20,IF(AND(matrizOK,$A45&lt;=nVariables),"Sin recorridos",""))</f>
        <v/>
      </c>
      <c r="K45" s="9">
        <f>IF(AND(matrizOK,$A45&lt;=nVariables,'M6'!$C$9&gt;0),'M6'!H20,IF(AND(matrizOK,$A45&lt;=nVariables),"Sin recorridos",""))</f>
        <v/>
      </c>
      <c r="L45" s="10">
        <f>IF(AND(matrizOK,$A45&lt;=nVariables,'M6'!$C$9&gt;0),'M6'!I20,IF(AND(matrizOK,$A45&lt;=nVariables),"Sin recorridos",""))</f>
        <v/>
      </c>
      <c r="N45" s="11">
        <f>IF(AND(matrizOK,$A45&lt;=nVariables,'M1'!$C$9&gt;0),'M1'!F20,-1)</f>
        <v/>
      </c>
      <c r="O45" s="11">
        <f>IF(AND(matrizOK,$A45&lt;=nVariables,'M1'!$C$9&gt;0),'M1'!E20,-1)</f>
        <v/>
      </c>
      <c r="Q45" s="11">
        <f>IF(AND(matrizOK,$A45&lt;=nVariables,'M6'!$C$9&gt;0),'M6'!F20,-1)</f>
        <v/>
      </c>
      <c r="R45" s="11">
        <f>IF(AND(matrizOK,$A45&lt;=nVariables,'M6'!$C$9&gt;0),'M6'!E20,-1)</f>
        <v/>
      </c>
    </row>
    <row r="46" ht="24" customHeight="1" s="62">
      <c r="A46" s="6" t="n">
        <v>12</v>
      </c>
      <c r="B46" s="81">
        <f>IF($A46&lt;=nVariables,M!B21,"")</f>
        <v/>
      </c>
      <c r="C46" s="8">
        <f>IF(AND(matrizOK,$A46&lt;=nVariables,'M1'!$C$9&gt;0),'M1'!E21,IF(AND(matrizOK,$A46&lt;=nVariables),"Sin recorridos",""))</f>
        <v/>
      </c>
      <c r="D46" s="8">
        <f>IF(AND(matrizOK,$A46&lt;=nVariables,'M1'!$C$9&gt;0),'M1'!F21,IF(AND(matrizOK,$A46&lt;=nVariables),"Sin recorridos",""))</f>
        <v/>
      </c>
      <c r="E46" s="9">
        <f>IF(AND(matrizOK,$A46&lt;=nVariables,'M1'!$C$9&gt;0),'M1'!G21,IF(AND(matrizOK,$A46&lt;=nVariables),"Sin recorridos",""))</f>
        <v/>
      </c>
      <c r="F46" s="9">
        <f>IF(AND(matrizOK,$A46&lt;=nVariables,'M1'!$C$9&gt;0),'M1'!H21,IF(AND(matrizOK,$A46&lt;=nVariables),"Sin recorridos",""))</f>
        <v/>
      </c>
      <c r="G46" s="10">
        <f>IF(AND(matrizOK,$A46&lt;=nVariables,'M1'!$C$9&gt;0),'M1'!I21,IF(AND(matrizOK,$A46&lt;=nVariables),"Sin recorridos",""))</f>
        <v/>
      </c>
      <c r="H46" s="8">
        <f>IF(AND(matrizOK,$A46&lt;=nVariables,'M6'!$C$9&gt;0),'M6'!E21,IF(AND(matrizOK,$A46&lt;=nVariables),"Sin recorridos",""))</f>
        <v/>
      </c>
      <c r="I46" s="8">
        <f>IF(AND(matrizOK,$A46&lt;=nVariables,'M6'!$C$9&gt;0),'M6'!F21,IF(AND(matrizOK,$A46&lt;=nVariables),"Sin recorridos",""))</f>
        <v/>
      </c>
      <c r="J46" s="9">
        <f>IF(AND(matrizOK,$A46&lt;=nVariables,'M6'!$C$9&gt;0),'M6'!G21,IF(AND(matrizOK,$A46&lt;=nVariables),"Sin recorridos",""))</f>
        <v/>
      </c>
      <c r="K46" s="9">
        <f>IF(AND(matrizOK,$A46&lt;=nVariables,'M6'!$C$9&gt;0),'M6'!H21,IF(AND(matrizOK,$A46&lt;=nVariables),"Sin recorridos",""))</f>
        <v/>
      </c>
      <c r="L46" s="10">
        <f>IF(AND(matrizOK,$A46&lt;=nVariables,'M6'!$C$9&gt;0),'M6'!I21,IF(AND(matrizOK,$A46&lt;=nVariables),"Sin recorridos",""))</f>
        <v/>
      </c>
      <c r="N46" s="11">
        <f>IF(AND(matrizOK,$A46&lt;=nVariables,'M1'!$C$9&gt;0),'M1'!F21,-1)</f>
        <v/>
      </c>
      <c r="O46" s="11">
        <f>IF(AND(matrizOK,$A46&lt;=nVariables,'M1'!$C$9&gt;0),'M1'!E21,-1)</f>
        <v/>
      </c>
      <c r="Q46" s="11">
        <f>IF(AND(matrizOK,$A46&lt;=nVariables,'M6'!$C$9&gt;0),'M6'!F21,-1)</f>
        <v/>
      </c>
      <c r="R46" s="11">
        <f>IF(AND(matrizOK,$A46&lt;=nVariables,'M6'!$C$9&gt;0),'M6'!E21,-1)</f>
        <v/>
      </c>
    </row>
    <row r="47" ht="24" customHeight="1" s="62">
      <c r="A47" s="6" t="n">
        <v>13</v>
      </c>
      <c r="B47" s="81">
        <f>IF($A47&lt;=nVariables,M!B22,"")</f>
        <v/>
      </c>
      <c r="C47" s="8">
        <f>IF(AND(matrizOK,$A47&lt;=nVariables,'M1'!$C$9&gt;0),'M1'!E22,IF(AND(matrizOK,$A47&lt;=nVariables),"Sin recorridos",""))</f>
        <v/>
      </c>
      <c r="D47" s="8">
        <f>IF(AND(matrizOK,$A47&lt;=nVariables,'M1'!$C$9&gt;0),'M1'!F22,IF(AND(matrizOK,$A47&lt;=nVariables),"Sin recorridos",""))</f>
        <v/>
      </c>
      <c r="E47" s="9">
        <f>IF(AND(matrizOK,$A47&lt;=nVariables,'M1'!$C$9&gt;0),'M1'!G22,IF(AND(matrizOK,$A47&lt;=nVariables),"Sin recorridos",""))</f>
        <v/>
      </c>
      <c r="F47" s="9">
        <f>IF(AND(matrizOK,$A47&lt;=nVariables,'M1'!$C$9&gt;0),'M1'!H22,IF(AND(matrizOK,$A47&lt;=nVariables),"Sin recorridos",""))</f>
        <v/>
      </c>
      <c r="G47" s="10">
        <f>IF(AND(matrizOK,$A47&lt;=nVariables,'M1'!$C$9&gt;0),'M1'!I22,IF(AND(matrizOK,$A47&lt;=nVariables),"Sin recorridos",""))</f>
        <v/>
      </c>
      <c r="H47" s="8">
        <f>IF(AND(matrizOK,$A47&lt;=nVariables,'M6'!$C$9&gt;0),'M6'!E22,IF(AND(matrizOK,$A47&lt;=nVariables),"Sin recorridos",""))</f>
        <v/>
      </c>
      <c r="I47" s="8">
        <f>IF(AND(matrizOK,$A47&lt;=nVariables,'M6'!$C$9&gt;0),'M6'!F22,IF(AND(matrizOK,$A47&lt;=nVariables),"Sin recorridos",""))</f>
        <v/>
      </c>
      <c r="J47" s="9">
        <f>IF(AND(matrizOK,$A47&lt;=nVariables,'M6'!$C$9&gt;0),'M6'!G22,IF(AND(matrizOK,$A47&lt;=nVariables),"Sin recorridos",""))</f>
        <v/>
      </c>
      <c r="K47" s="9">
        <f>IF(AND(matrizOK,$A47&lt;=nVariables,'M6'!$C$9&gt;0),'M6'!H22,IF(AND(matrizOK,$A47&lt;=nVariables),"Sin recorridos",""))</f>
        <v/>
      </c>
      <c r="L47" s="10">
        <f>IF(AND(matrizOK,$A47&lt;=nVariables,'M6'!$C$9&gt;0),'M6'!I22,IF(AND(matrizOK,$A47&lt;=nVariables),"Sin recorridos",""))</f>
        <v/>
      </c>
      <c r="N47" s="11">
        <f>IF(AND(matrizOK,$A47&lt;=nVariables,'M1'!$C$9&gt;0),'M1'!F22,-1)</f>
        <v/>
      </c>
      <c r="O47" s="11">
        <f>IF(AND(matrizOK,$A47&lt;=nVariables,'M1'!$C$9&gt;0),'M1'!E22,-1)</f>
        <v/>
      </c>
      <c r="Q47" s="11">
        <f>IF(AND(matrizOK,$A47&lt;=nVariables,'M6'!$C$9&gt;0),'M6'!F22,-1)</f>
        <v/>
      </c>
      <c r="R47" s="11">
        <f>IF(AND(matrizOK,$A47&lt;=nVariables,'M6'!$C$9&gt;0),'M6'!E22,-1)</f>
        <v/>
      </c>
    </row>
    <row r="48" ht="24" customHeight="1" s="62">
      <c r="A48" s="6" t="n">
        <v>14</v>
      </c>
      <c r="B48" s="81">
        <f>IF($A48&lt;=nVariables,M!B23,"")</f>
        <v/>
      </c>
      <c r="C48" s="8">
        <f>IF(AND(matrizOK,$A48&lt;=nVariables,'M1'!$C$9&gt;0),'M1'!E23,IF(AND(matrizOK,$A48&lt;=nVariables),"Sin recorridos",""))</f>
        <v/>
      </c>
      <c r="D48" s="8">
        <f>IF(AND(matrizOK,$A48&lt;=nVariables,'M1'!$C$9&gt;0),'M1'!F23,IF(AND(matrizOK,$A48&lt;=nVariables),"Sin recorridos",""))</f>
        <v/>
      </c>
      <c r="E48" s="9">
        <f>IF(AND(matrizOK,$A48&lt;=nVariables,'M1'!$C$9&gt;0),'M1'!G23,IF(AND(matrizOK,$A48&lt;=nVariables),"Sin recorridos",""))</f>
        <v/>
      </c>
      <c r="F48" s="9">
        <f>IF(AND(matrizOK,$A48&lt;=nVariables,'M1'!$C$9&gt;0),'M1'!H23,IF(AND(matrizOK,$A48&lt;=nVariables),"Sin recorridos",""))</f>
        <v/>
      </c>
      <c r="G48" s="10">
        <f>IF(AND(matrizOK,$A48&lt;=nVariables,'M1'!$C$9&gt;0),'M1'!I23,IF(AND(matrizOK,$A48&lt;=nVariables),"Sin recorridos",""))</f>
        <v/>
      </c>
      <c r="H48" s="8">
        <f>IF(AND(matrizOK,$A48&lt;=nVariables,'M6'!$C$9&gt;0),'M6'!E23,IF(AND(matrizOK,$A48&lt;=nVariables),"Sin recorridos",""))</f>
        <v/>
      </c>
      <c r="I48" s="8">
        <f>IF(AND(matrizOK,$A48&lt;=nVariables,'M6'!$C$9&gt;0),'M6'!F23,IF(AND(matrizOK,$A48&lt;=nVariables),"Sin recorridos",""))</f>
        <v/>
      </c>
      <c r="J48" s="9">
        <f>IF(AND(matrizOK,$A48&lt;=nVariables,'M6'!$C$9&gt;0),'M6'!G23,IF(AND(matrizOK,$A48&lt;=nVariables),"Sin recorridos",""))</f>
        <v/>
      </c>
      <c r="K48" s="9">
        <f>IF(AND(matrizOK,$A48&lt;=nVariables,'M6'!$C$9&gt;0),'M6'!H23,IF(AND(matrizOK,$A48&lt;=nVariables),"Sin recorridos",""))</f>
        <v/>
      </c>
      <c r="L48" s="10">
        <f>IF(AND(matrizOK,$A48&lt;=nVariables,'M6'!$C$9&gt;0),'M6'!I23,IF(AND(matrizOK,$A48&lt;=nVariables),"Sin recorridos",""))</f>
        <v/>
      </c>
      <c r="N48" s="11">
        <f>IF(AND(matrizOK,$A48&lt;=nVariables,'M1'!$C$9&gt;0),'M1'!F23,-1)</f>
        <v/>
      </c>
      <c r="O48" s="11">
        <f>IF(AND(matrizOK,$A48&lt;=nVariables,'M1'!$C$9&gt;0),'M1'!E23,-1)</f>
        <v/>
      </c>
      <c r="Q48" s="11">
        <f>IF(AND(matrizOK,$A48&lt;=nVariables,'M6'!$C$9&gt;0),'M6'!F23,-1)</f>
        <v/>
      </c>
      <c r="R48" s="11">
        <f>IF(AND(matrizOK,$A48&lt;=nVariables,'M6'!$C$9&gt;0),'M6'!E23,-1)</f>
        <v/>
      </c>
    </row>
    <row r="49" ht="24" customHeight="1" s="62">
      <c r="A49" s="6" t="n">
        <v>15</v>
      </c>
      <c r="B49" s="81">
        <f>IF($A49&lt;=nVariables,M!B24,"")</f>
        <v/>
      </c>
      <c r="C49" s="8">
        <f>IF(AND(matrizOK,$A49&lt;=nVariables,'M1'!$C$9&gt;0),'M1'!E24,IF(AND(matrizOK,$A49&lt;=nVariables),"Sin recorridos",""))</f>
        <v/>
      </c>
      <c r="D49" s="8">
        <f>IF(AND(matrizOK,$A49&lt;=nVariables,'M1'!$C$9&gt;0),'M1'!F24,IF(AND(matrizOK,$A49&lt;=nVariables),"Sin recorridos",""))</f>
        <v/>
      </c>
      <c r="E49" s="9">
        <f>IF(AND(matrizOK,$A49&lt;=nVariables,'M1'!$C$9&gt;0),'M1'!G24,IF(AND(matrizOK,$A49&lt;=nVariables),"Sin recorridos",""))</f>
        <v/>
      </c>
      <c r="F49" s="9">
        <f>IF(AND(matrizOK,$A49&lt;=nVariables,'M1'!$C$9&gt;0),'M1'!H24,IF(AND(matrizOK,$A49&lt;=nVariables),"Sin recorridos",""))</f>
        <v/>
      </c>
      <c r="G49" s="10">
        <f>IF(AND(matrizOK,$A49&lt;=nVariables,'M1'!$C$9&gt;0),'M1'!I24,IF(AND(matrizOK,$A49&lt;=nVariables),"Sin recorridos",""))</f>
        <v/>
      </c>
      <c r="H49" s="8">
        <f>IF(AND(matrizOK,$A49&lt;=nVariables,'M6'!$C$9&gt;0),'M6'!E24,IF(AND(matrizOK,$A49&lt;=nVariables),"Sin recorridos",""))</f>
        <v/>
      </c>
      <c r="I49" s="8">
        <f>IF(AND(matrizOK,$A49&lt;=nVariables,'M6'!$C$9&gt;0),'M6'!F24,IF(AND(matrizOK,$A49&lt;=nVariables),"Sin recorridos",""))</f>
        <v/>
      </c>
      <c r="J49" s="9">
        <f>IF(AND(matrizOK,$A49&lt;=nVariables,'M6'!$C$9&gt;0),'M6'!G24,IF(AND(matrizOK,$A49&lt;=nVariables),"Sin recorridos",""))</f>
        <v/>
      </c>
      <c r="K49" s="9">
        <f>IF(AND(matrizOK,$A49&lt;=nVariables,'M6'!$C$9&gt;0),'M6'!H24,IF(AND(matrizOK,$A49&lt;=nVariables),"Sin recorridos",""))</f>
        <v/>
      </c>
      <c r="L49" s="10">
        <f>IF(AND(matrizOK,$A49&lt;=nVariables,'M6'!$C$9&gt;0),'M6'!I24,IF(AND(matrizOK,$A49&lt;=nVariables),"Sin recorridos",""))</f>
        <v/>
      </c>
      <c r="N49" s="11">
        <f>IF(AND(matrizOK,$A49&lt;=nVariables,'M1'!$C$9&gt;0),'M1'!F24,-1)</f>
        <v/>
      </c>
      <c r="O49" s="11">
        <f>IF(AND(matrizOK,$A49&lt;=nVariables,'M1'!$C$9&gt;0),'M1'!E24,-1)</f>
        <v/>
      </c>
      <c r="Q49" s="11">
        <f>IF(AND(matrizOK,$A49&lt;=nVariables,'M6'!$C$9&gt;0),'M6'!F24,-1)</f>
        <v/>
      </c>
      <c r="R49" s="11">
        <f>IF(AND(matrizOK,$A49&lt;=nVariables,'M6'!$C$9&gt;0),'M6'!E24,-1)</f>
        <v/>
      </c>
    </row>
    <row r="50" ht="24" customHeight="1" s="62">
      <c r="A50" s="6" t="n">
        <v>16</v>
      </c>
      <c r="B50" s="81">
        <f>IF($A50&lt;=nVariables,M!B25,"")</f>
        <v/>
      </c>
      <c r="C50" s="8">
        <f>IF(AND(matrizOK,$A50&lt;=nVariables,'M1'!$C$9&gt;0),'M1'!E25,IF(AND(matrizOK,$A50&lt;=nVariables),"Sin recorridos",""))</f>
        <v/>
      </c>
      <c r="D50" s="8">
        <f>IF(AND(matrizOK,$A50&lt;=nVariables,'M1'!$C$9&gt;0),'M1'!F25,IF(AND(matrizOK,$A50&lt;=nVariables),"Sin recorridos",""))</f>
        <v/>
      </c>
      <c r="E50" s="9">
        <f>IF(AND(matrizOK,$A50&lt;=nVariables,'M1'!$C$9&gt;0),'M1'!G25,IF(AND(matrizOK,$A50&lt;=nVariables),"Sin recorridos",""))</f>
        <v/>
      </c>
      <c r="F50" s="9">
        <f>IF(AND(matrizOK,$A50&lt;=nVariables,'M1'!$C$9&gt;0),'M1'!H25,IF(AND(matrizOK,$A50&lt;=nVariables),"Sin recorridos",""))</f>
        <v/>
      </c>
      <c r="G50" s="10">
        <f>IF(AND(matrizOK,$A50&lt;=nVariables,'M1'!$C$9&gt;0),'M1'!I25,IF(AND(matrizOK,$A50&lt;=nVariables),"Sin recorridos",""))</f>
        <v/>
      </c>
      <c r="H50" s="8">
        <f>IF(AND(matrizOK,$A50&lt;=nVariables,'M6'!$C$9&gt;0),'M6'!E25,IF(AND(matrizOK,$A50&lt;=nVariables),"Sin recorridos",""))</f>
        <v/>
      </c>
      <c r="I50" s="8">
        <f>IF(AND(matrizOK,$A50&lt;=nVariables,'M6'!$C$9&gt;0),'M6'!F25,IF(AND(matrizOK,$A50&lt;=nVariables),"Sin recorridos",""))</f>
        <v/>
      </c>
      <c r="J50" s="9">
        <f>IF(AND(matrizOK,$A50&lt;=nVariables,'M6'!$C$9&gt;0),'M6'!G25,IF(AND(matrizOK,$A50&lt;=nVariables),"Sin recorridos",""))</f>
        <v/>
      </c>
      <c r="K50" s="9">
        <f>IF(AND(matrizOK,$A50&lt;=nVariables,'M6'!$C$9&gt;0),'M6'!H25,IF(AND(matrizOK,$A50&lt;=nVariables),"Sin recorridos",""))</f>
        <v/>
      </c>
      <c r="L50" s="10">
        <f>IF(AND(matrizOK,$A50&lt;=nVariables,'M6'!$C$9&gt;0),'M6'!I25,IF(AND(matrizOK,$A50&lt;=nVariables),"Sin recorridos",""))</f>
        <v/>
      </c>
      <c r="N50" s="11">
        <f>IF(AND(matrizOK,$A50&lt;=nVariables,'M1'!$C$9&gt;0),'M1'!F25,-1)</f>
        <v/>
      </c>
      <c r="O50" s="11">
        <f>IF(AND(matrizOK,$A50&lt;=nVariables,'M1'!$C$9&gt;0),'M1'!E25,-1)</f>
        <v/>
      </c>
      <c r="Q50" s="11">
        <f>IF(AND(matrizOK,$A50&lt;=nVariables,'M6'!$C$9&gt;0),'M6'!F25,-1)</f>
        <v/>
      </c>
      <c r="R50" s="11">
        <f>IF(AND(matrizOK,$A50&lt;=nVariables,'M6'!$C$9&gt;0),'M6'!E25,-1)</f>
        <v/>
      </c>
    </row>
    <row r="51" ht="24" customHeight="1" s="62">
      <c r="A51" s="6" t="n">
        <v>17</v>
      </c>
      <c r="B51" s="81">
        <f>IF($A51&lt;=nVariables,M!B26,"")</f>
        <v/>
      </c>
      <c r="C51" s="8">
        <f>IF(AND(matrizOK,$A51&lt;=nVariables,'M1'!$C$9&gt;0),'M1'!E26,IF(AND(matrizOK,$A51&lt;=nVariables),"Sin recorridos",""))</f>
        <v/>
      </c>
      <c r="D51" s="8">
        <f>IF(AND(matrizOK,$A51&lt;=nVariables,'M1'!$C$9&gt;0),'M1'!F26,IF(AND(matrizOK,$A51&lt;=nVariables),"Sin recorridos",""))</f>
        <v/>
      </c>
      <c r="E51" s="9">
        <f>IF(AND(matrizOK,$A51&lt;=nVariables,'M1'!$C$9&gt;0),'M1'!G26,IF(AND(matrizOK,$A51&lt;=nVariables),"Sin recorridos",""))</f>
        <v/>
      </c>
      <c r="F51" s="9">
        <f>IF(AND(matrizOK,$A51&lt;=nVariables,'M1'!$C$9&gt;0),'M1'!H26,IF(AND(matrizOK,$A51&lt;=nVariables),"Sin recorridos",""))</f>
        <v/>
      </c>
      <c r="G51" s="10">
        <f>IF(AND(matrizOK,$A51&lt;=nVariables,'M1'!$C$9&gt;0),'M1'!I26,IF(AND(matrizOK,$A51&lt;=nVariables),"Sin recorridos",""))</f>
        <v/>
      </c>
      <c r="H51" s="8">
        <f>IF(AND(matrizOK,$A51&lt;=nVariables,'M6'!$C$9&gt;0),'M6'!E26,IF(AND(matrizOK,$A51&lt;=nVariables),"Sin recorridos",""))</f>
        <v/>
      </c>
      <c r="I51" s="8">
        <f>IF(AND(matrizOK,$A51&lt;=nVariables,'M6'!$C$9&gt;0),'M6'!F26,IF(AND(matrizOK,$A51&lt;=nVariables),"Sin recorridos",""))</f>
        <v/>
      </c>
      <c r="J51" s="9">
        <f>IF(AND(matrizOK,$A51&lt;=nVariables,'M6'!$C$9&gt;0),'M6'!G26,IF(AND(matrizOK,$A51&lt;=nVariables),"Sin recorridos",""))</f>
        <v/>
      </c>
      <c r="K51" s="9">
        <f>IF(AND(matrizOK,$A51&lt;=nVariables,'M6'!$C$9&gt;0),'M6'!H26,IF(AND(matrizOK,$A51&lt;=nVariables),"Sin recorridos",""))</f>
        <v/>
      </c>
      <c r="L51" s="10">
        <f>IF(AND(matrizOK,$A51&lt;=nVariables,'M6'!$C$9&gt;0),'M6'!I26,IF(AND(matrizOK,$A51&lt;=nVariables),"Sin recorridos",""))</f>
        <v/>
      </c>
      <c r="N51" s="11">
        <f>IF(AND(matrizOK,$A51&lt;=nVariables,'M1'!$C$9&gt;0),'M1'!F26,-1)</f>
        <v/>
      </c>
      <c r="O51" s="11">
        <f>IF(AND(matrizOK,$A51&lt;=nVariables,'M1'!$C$9&gt;0),'M1'!E26,-1)</f>
        <v/>
      </c>
      <c r="Q51" s="11">
        <f>IF(AND(matrizOK,$A51&lt;=nVariables,'M6'!$C$9&gt;0),'M6'!F26,-1)</f>
        <v/>
      </c>
      <c r="R51" s="11">
        <f>IF(AND(matrizOK,$A51&lt;=nVariables,'M6'!$C$9&gt;0),'M6'!E26,-1)</f>
        <v/>
      </c>
    </row>
    <row r="52" ht="24" customHeight="1" s="62">
      <c r="A52" s="6" t="n">
        <v>18</v>
      </c>
      <c r="B52" s="81">
        <f>IF($A52&lt;=nVariables,M!B27,"")</f>
        <v/>
      </c>
      <c r="C52" s="8">
        <f>IF(AND(matrizOK,$A52&lt;=nVariables,'M1'!$C$9&gt;0),'M1'!E27,IF(AND(matrizOK,$A52&lt;=nVariables),"Sin recorridos",""))</f>
        <v/>
      </c>
      <c r="D52" s="8">
        <f>IF(AND(matrizOK,$A52&lt;=nVariables,'M1'!$C$9&gt;0),'M1'!F27,IF(AND(matrizOK,$A52&lt;=nVariables),"Sin recorridos",""))</f>
        <v/>
      </c>
      <c r="E52" s="9">
        <f>IF(AND(matrizOK,$A52&lt;=nVariables,'M1'!$C$9&gt;0),'M1'!G27,IF(AND(matrizOK,$A52&lt;=nVariables),"Sin recorridos",""))</f>
        <v/>
      </c>
      <c r="F52" s="9">
        <f>IF(AND(matrizOK,$A52&lt;=nVariables,'M1'!$C$9&gt;0),'M1'!H27,IF(AND(matrizOK,$A52&lt;=nVariables),"Sin recorridos",""))</f>
        <v/>
      </c>
      <c r="G52" s="10">
        <f>IF(AND(matrizOK,$A52&lt;=nVariables,'M1'!$C$9&gt;0),'M1'!I27,IF(AND(matrizOK,$A52&lt;=nVariables),"Sin recorridos",""))</f>
        <v/>
      </c>
      <c r="H52" s="8">
        <f>IF(AND(matrizOK,$A52&lt;=nVariables,'M6'!$C$9&gt;0),'M6'!E27,IF(AND(matrizOK,$A52&lt;=nVariables),"Sin recorridos",""))</f>
        <v/>
      </c>
      <c r="I52" s="8">
        <f>IF(AND(matrizOK,$A52&lt;=nVariables,'M6'!$C$9&gt;0),'M6'!F27,IF(AND(matrizOK,$A52&lt;=nVariables),"Sin recorridos",""))</f>
        <v/>
      </c>
      <c r="J52" s="9">
        <f>IF(AND(matrizOK,$A52&lt;=nVariables,'M6'!$C$9&gt;0),'M6'!G27,IF(AND(matrizOK,$A52&lt;=nVariables),"Sin recorridos",""))</f>
        <v/>
      </c>
      <c r="K52" s="9">
        <f>IF(AND(matrizOK,$A52&lt;=nVariables,'M6'!$C$9&gt;0),'M6'!H27,IF(AND(matrizOK,$A52&lt;=nVariables),"Sin recorridos",""))</f>
        <v/>
      </c>
      <c r="L52" s="10">
        <f>IF(AND(matrizOK,$A52&lt;=nVariables,'M6'!$C$9&gt;0),'M6'!I27,IF(AND(matrizOK,$A52&lt;=nVariables),"Sin recorridos",""))</f>
        <v/>
      </c>
      <c r="N52" s="11">
        <f>IF(AND(matrizOK,$A52&lt;=nVariables,'M1'!$C$9&gt;0),'M1'!F27,-1)</f>
        <v/>
      </c>
      <c r="O52" s="11">
        <f>IF(AND(matrizOK,$A52&lt;=nVariables,'M1'!$C$9&gt;0),'M1'!E27,-1)</f>
        <v/>
      </c>
      <c r="Q52" s="11">
        <f>IF(AND(matrizOK,$A52&lt;=nVariables,'M6'!$C$9&gt;0),'M6'!F27,-1)</f>
        <v/>
      </c>
      <c r="R52" s="11">
        <f>IF(AND(matrizOK,$A52&lt;=nVariables,'M6'!$C$9&gt;0),'M6'!E27,-1)</f>
        <v/>
      </c>
    </row>
    <row r="53" ht="24" customHeight="1" s="62">
      <c r="A53" s="6" t="n">
        <v>19</v>
      </c>
      <c r="B53" s="81">
        <f>IF($A53&lt;=nVariables,M!B28,"")</f>
        <v/>
      </c>
      <c r="C53" s="8">
        <f>IF(AND(matrizOK,$A53&lt;=nVariables,'M1'!$C$9&gt;0),'M1'!E28,IF(AND(matrizOK,$A53&lt;=nVariables),"Sin recorridos",""))</f>
        <v/>
      </c>
      <c r="D53" s="8">
        <f>IF(AND(matrizOK,$A53&lt;=nVariables,'M1'!$C$9&gt;0),'M1'!F28,IF(AND(matrizOK,$A53&lt;=nVariables),"Sin recorridos",""))</f>
        <v/>
      </c>
      <c r="E53" s="9">
        <f>IF(AND(matrizOK,$A53&lt;=nVariables,'M1'!$C$9&gt;0),'M1'!G28,IF(AND(matrizOK,$A53&lt;=nVariables),"Sin recorridos",""))</f>
        <v/>
      </c>
      <c r="F53" s="9">
        <f>IF(AND(matrizOK,$A53&lt;=nVariables,'M1'!$C$9&gt;0),'M1'!H28,IF(AND(matrizOK,$A53&lt;=nVariables),"Sin recorridos",""))</f>
        <v/>
      </c>
      <c r="G53" s="10">
        <f>IF(AND(matrizOK,$A53&lt;=nVariables,'M1'!$C$9&gt;0),'M1'!I28,IF(AND(matrizOK,$A53&lt;=nVariables),"Sin recorridos",""))</f>
        <v/>
      </c>
      <c r="H53" s="8">
        <f>IF(AND(matrizOK,$A53&lt;=nVariables,'M6'!$C$9&gt;0),'M6'!E28,IF(AND(matrizOK,$A53&lt;=nVariables),"Sin recorridos",""))</f>
        <v/>
      </c>
      <c r="I53" s="8">
        <f>IF(AND(matrizOK,$A53&lt;=nVariables,'M6'!$C$9&gt;0),'M6'!F28,IF(AND(matrizOK,$A53&lt;=nVariables),"Sin recorridos",""))</f>
        <v/>
      </c>
      <c r="J53" s="9">
        <f>IF(AND(matrizOK,$A53&lt;=nVariables,'M6'!$C$9&gt;0),'M6'!G28,IF(AND(matrizOK,$A53&lt;=nVariables),"Sin recorridos",""))</f>
        <v/>
      </c>
      <c r="K53" s="9">
        <f>IF(AND(matrizOK,$A53&lt;=nVariables,'M6'!$C$9&gt;0),'M6'!H28,IF(AND(matrizOK,$A53&lt;=nVariables),"Sin recorridos",""))</f>
        <v/>
      </c>
      <c r="L53" s="10">
        <f>IF(AND(matrizOK,$A53&lt;=nVariables,'M6'!$C$9&gt;0),'M6'!I28,IF(AND(matrizOK,$A53&lt;=nVariables),"Sin recorridos",""))</f>
        <v/>
      </c>
      <c r="N53" s="11">
        <f>IF(AND(matrizOK,$A53&lt;=nVariables,'M1'!$C$9&gt;0),'M1'!F28,-1)</f>
        <v/>
      </c>
      <c r="O53" s="11">
        <f>IF(AND(matrizOK,$A53&lt;=nVariables,'M1'!$C$9&gt;0),'M1'!E28,-1)</f>
        <v/>
      </c>
      <c r="Q53" s="11">
        <f>IF(AND(matrizOK,$A53&lt;=nVariables,'M6'!$C$9&gt;0),'M6'!F28,-1)</f>
        <v/>
      </c>
      <c r="R53" s="11">
        <f>IF(AND(matrizOK,$A53&lt;=nVariables,'M6'!$C$9&gt;0),'M6'!E28,-1)</f>
        <v/>
      </c>
    </row>
    <row r="54" ht="24" customHeight="1" s="62">
      <c r="A54" s="6" t="n">
        <v>20</v>
      </c>
      <c r="B54" s="81">
        <f>IF($A54&lt;=nVariables,M!B29,"")</f>
        <v/>
      </c>
      <c r="C54" s="8">
        <f>IF(AND(matrizOK,$A54&lt;=nVariables,'M1'!$C$9&gt;0),'M1'!E29,IF(AND(matrizOK,$A54&lt;=nVariables),"Sin recorridos",""))</f>
        <v/>
      </c>
      <c r="D54" s="8">
        <f>IF(AND(matrizOK,$A54&lt;=nVariables,'M1'!$C$9&gt;0),'M1'!F29,IF(AND(matrizOK,$A54&lt;=nVariables),"Sin recorridos",""))</f>
        <v/>
      </c>
      <c r="E54" s="9">
        <f>IF(AND(matrizOK,$A54&lt;=nVariables,'M1'!$C$9&gt;0),'M1'!G29,IF(AND(matrizOK,$A54&lt;=nVariables),"Sin recorridos",""))</f>
        <v/>
      </c>
      <c r="F54" s="9">
        <f>IF(AND(matrizOK,$A54&lt;=nVariables,'M1'!$C$9&gt;0),'M1'!H29,IF(AND(matrizOK,$A54&lt;=nVariables),"Sin recorridos",""))</f>
        <v/>
      </c>
      <c r="G54" s="10">
        <f>IF(AND(matrizOK,$A54&lt;=nVariables,'M1'!$C$9&gt;0),'M1'!I29,IF(AND(matrizOK,$A54&lt;=nVariables),"Sin recorridos",""))</f>
        <v/>
      </c>
      <c r="H54" s="8">
        <f>IF(AND(matrizOK,$A54&lt;=nVariables,'M6'!$C$9&gt;0),'M6'!E29,IF(AND(matrizOK,$A54&lt;=nVariables),"Sin recorridos",""))</f>
        <v/>
      </c>
      <c r="I54" s="8">
        <f>IF(AND(matrizOK,$A54&lt;=nVariables,'M6'!$C$9&gt;0),'M6'!F29,IF(AND(matrizOK,$A54&lt;=nVariables),"Sin recorridos",""))</f>
        <v/>
      </c>
      <c r="J54" s="9">
        <f>IF(AND(matrizOK,$A54&lt;=nVariables,'M6'!$C$9&gt;0),'M6'!G29,IF(AND(matrizOK,$A54&lt;=nVariables),"Sin recorridos",""))</f>
        <v/>
      </c>
      <c r="K54" s="9">
        <f>IF(AND(matrizOK,$A54&lt;=nVariables,'M6'!$C$9&gt;0),'M6'!H29,IF(AND(matrizOK,$A54&lt;=nVariables),"Sin recorridos",""))</f>
        <v/>
      </c>
      <c r="L54" s="10">
        <f>IF(AND(matrizOK,$A54&lt;=nVariables,'M6'!$C$9&gt;0),'M6'!I29,IF(AND(matrizOK,$A54&lt;=nVariables),"Sin recorridos",""))</f>
        <v/>
      </c>
      <c r="N54" s="11">
        <f>IF(AND(matrizOK,$A54&lt;=nVariables,'M1'!$C$9&gt;0),'M1'!F29,-1)</f>
        <v/>
      </c>
      <c r="O54" s="11">
        <f>IF(AND(matrizOK,$A54&lt;=nVariables,'M1'!$C$9&gt;0),'M1'!E29,-1)</f>
        <v/>
      </c>
      <c r="Q54" s="11">
        <f>IF(AND(matrizOK,$A54&lt;=nVariables,'M6'!$C$9&gt;0),'M6'!F29,-1)</f>
        <v/>
      </c>
      <c r="R54" s="11">
        <f>IF(AND(matrizOK,$A54&lt;=nVariables,'M6'!$C$9&gt;0),'M6'!E29,-1)</f>
        <v/>
      </c>
    </row>
    <row r="55" ht="24" customHeight="1" s="62">
      <c r="A55" s="6" t="n">
        <v>21</v>
      </c>
      <c r="B55" s="81">
        <f>IF($A55&lt;=nVariables,M!B30,"")</f>
        <v/>
      </c>
      <c r="C55" s="8">
        <f>IF(AND(matrizOK,$A55&lt;=nVariables,'M1'!$C$9&gt;0),'M1'!E30,IF(AND(matrizOK,$A55&lt;=nVariables),"Sin recorridos",""))</f>
        <v/>
      </c>
      <c r="D55" s="8">
        <f>IF(AND(matrizOK,$A55&lt;=nVariables,'M1'!$C$9&gt;0),'M1'!F30,IF(AND(matrizOK,$A55&lt;=nVariables),"Sin recorridos",""))</f>
        <v/>
      </c>
      <c r="E55" s="9">
        <f>IF(AND(matrizOK,$A55&lt;=nVariables,'M1'!$C$9&gt;0),'M1'!G30,IF(AND(matrizOK,$A55&lt;=nVariables),"Sin recorridos",""))</f>
        <v/>
      </c>
      <c r="F55" s="9">
        <f>IF(AND(matrizOK,$A55&lt;=nVariables,'M1'!$C$9&gt;0),'M1'!H30,IF(AND(matrizOK,$A55&lt;=nVariables),"Sin recorridos",""))</f>
        <v/>
      </c>
      <c r="G55" s="10">
        <f>IF(AND(matrizOK,$A55&lt;=nVariables,'M1'!$C$9&gt;0),'M1'!I30,IF(AND(matrizOK,$A55&lt;=nVariables),"Sin recorridos",""))</f>
        <v/>
      </c>
      <c r="H55" s="8">
        <f>IF(AND(matrizOK,$A55&lt;=nVariables,'M6'!$C$9&gt;0),'M6'!E30,IF(AND(matrizOK,$A55&lt;=nVariables),"Sin recorridos",""))</f>
        <v/>
      </c>
      <c r="I55" s="8">
        <f>IF(AND(matrizOK,$A55&lt;=nVariables,'M6'!$C$9&gt;0),'M6'!F30,IF(AND(matrizOK,$A55&lt;=nVariables),"Sin recorridos",""))</f>
        <v/>
      </c>
      <c r="J55" s="9">
        <f>IF(AND(matrizOK,$A55&lt;=nVariables,'M6'!$C$9&gt;0),'M6'!G30,IF(AND(matrizOK,$A55&lt;=nVariables),"Sin recorridos",""))</f>
        <v/>
      </c>
      <c r="K55" s="9">
        <f>IF(AND(matrizOK,$A55&lt;=nVariables,'M6'!$C$9&gt;0),'M6'!H30,IF(AND(matrizOK,$A55&lt;=nVariables),"Sin recorridos",""))</f>
        <v/>
      </c>
      <c r="L55" s="10">
        <f>IF(AND(matrizOK,$A55&lt;=nVariables,'M6'!$C$9&gt;0),'M6'!I30,IF(AND(matrizOK,$A55&lt;=nVariables),"Sin recorridos",""))</f>
        <v/>
      </c>
      <c r="N55" s="11">
        <f>IF(AND(matrizOK,$A55&lt;=nVariables,'M1'!$C$9&gt;0),'M1'!F30,-1)</f>
        <v/>
      </c>
      <c r="O55" s="11">
        <f>IF(AND(matrizOK,$A55&lt;=nVariables,'M1'!$C$9&gt;0),'M1'!E30,-1)</f>
        <v/>
      </c>
      <c r="Q55" s="11">
        <f>IF(AND(matrizOK,$A55&lt;=nVariables,'M6'!$C$9&gt;0),'M6'!F30,-1)</f>
        <v/>
      </c>
      <c r="R55" s="11">
        <f>IF(AND(matrizOK,$A55&lt;=nVariables,'M6'!$C$9&gt;0),'M6'!E30,-1)</f>
        <v/>
      </c>
    </row>
    <row r="56" ht="24" customHeight="1" s="62">
      <c r="A56" s="6" t="n">
        <v>22</v>
      </c>
      <c r="B56" s="81">
        <f>IF($A56&lt;=nVariables,M!B31,"")</f>
        <v/>
      </c>
      <c r="C56" s="8">
        <f>IF(AND(matrizOK,$A56&lt;=nVariables,'M1'!$C$9&gt;0),'M1'!E31,IF(AND(matrizOK,$A56&lt;=nVariables),"Sin recorridos",""))</f>
        <v/>
      </c>
      <c r="D56" s="8">
        <f>IF(AND(matrizOK,$A56&lt;=nVariables,'M1'!$C$9&gt;0),'M1'!F31,IF(AND(matrizOK,$A56&lt;=nVariables),"Sin recorridos",""))</f>
        <v/>
      </c>
      <c r="E56" s="9">
        <f>IF(AND(matrizOK,$A56&lt;=nVariables,'M1'!$C$9&gt;0),'M1'!G31,IF(AND(matrizOK,$A56&lt;=nVariables),"Sin recorridos",""))</f>
        <v/>
      </c>
      <c r="F56" s="9">
        <f>IF(AND(matrizOK,$A56&lt;=nVariables,'M1'!$C$9&gt;0),'M1'!H31,IF(AND(matrizOK,$A56&lt;=nVariables),"Sin recorridos",""))</f>
        <v/>
      </c>
      <c r="G56" s="10">
        <f>IF(AND(matrizOK,$A56&lt;=nVariables,'M1'!$C$9&gt;0),'M1'!I31,IF(AND(matrizOK,$A56&lt;=nVariables),"Sin recorridos",""))</f>
        <v/>
      </c>
      <c r="H56" s="8">
        <f>IF(AND(matrizOK,$A56&lt;=nVariables,'M6'!$C$9&gt;0),'M6'!E31,IF(AND(matrizOK,$A56&lt;=nVariables),"Sin recorridos",""))</f>
        <v/>
      </c>
      <c r="I56" s="8">
        <f>IF(AND(matrizOK,$A56&lt;=nVariables,'M6'!$C$9&gt;0),'M6'!F31,IF(AND(matrizOK,$A56&lt;=nVariables),"Sin recorridos",""))</f>
        <v/>
      </c>
      <c r="J56" s="9">
        <f>IF(AND(matrizOK,$A56&lt;=nVariables,'M6'!$C$9&gt;0),'M6'!G31,IF(AND(matrizOK,$A56&lt;=nVariables),"Sin recorridos",""))</f>
        <v/>
      </c>
      <c r="K56" s="9">
        <f>IF(AND(matrizOK,$A56&lt;=nVariables,'M6'!$C$9&gt;0),'M6'!H31,IF(AND(matrizOK,$A56&lt;=nVariables),"Sin recorridos",""))</f>
        <v/>
      </c>
      <c r="L56" s="10">
        <f>IF(AND(matrizOK,$A56&lt;=nVariables,'M6'!$C$9&gt;0),'M6'!I31,IF(AND(matrizOK,$A56&lt;=nVariables),"Sin recorridos",""))</f>
        <v/>
      </c>
      <c r="N56" s="11">
        <f>IF(AND(matrizOK,$A56&lt;=nVariables,'M1'!$C$9&gt;0),'M1'!F31,-1)</f>
        <v/>
      </c>
      <c r="O56" s="11">
        <f>IF(AND(matrizOK,$A56&lt;=nVariables,'M1'!$C$9&gt;0),'M1'!E31,-1)</f>
        <v/>
      </c>
      <c r="Q56" s="11">
        <f>IF(AND(matrizOK,$A56&lt;=nVariables,'M6'!$C$9&gt;0),'M6'!F31,-1)</f>
        <v/>
      </c>
      <c r="R56" s="11">
        <f>IF(AND(matrizOK,$A56&lt;=nVariables,'M6'!$C$9&gt;0),'M6'!E31,-1)</f>
        <v/>
      </c>
    </row>
    <row r="57" ht="24" customHeight="1" s="62">
      <c r="A57" s="6" t="n">
        <v>23</v>
      </c>
      <c r="B57" s="81">
        <f>IF($A57&lt;=nVariables,M!B32,"")</f>
        <v/>
      </c>
      <c r="C57" s="8">
        <f>IF(AND(matrizOK,$A57&lt;=nVariables,'M1'!$C$9&gt;0),'M1'!E32,IF(AND(matrizOK,$A57&lt;=nVariables),"Sin recorridos",""))</f>
        <v/>
      </c>
      <c r="D57" s="8">
        <f>IF(AND(matrizOK,$A57&lt;=nVariables,'M1'!$C$9&gt;0),'M1'!F32,IF(AND(matrizOK,$A57&lt;=nVariables),"Sin recorridos",""))</f>
        <v/>
      </c>
      <c r="E57" s="9">
        <f>IF(AND(matrizOK,$A57&lt;=nVariables,'M1'!$C$9&gt;0),'M1'!G32,IF(AND(matrizOK,$A57&lt;=nVariables),"Sin recorridos",""))</f>
        <v/>
      </c>
      <c r="F57" s="9">
        <f>IF(AND(matrizOK,$A57&lt;=nVariables,'M1'!$C$9&gt;0),'M1'!H32,IF(AND(matrizOK,$A57&lt;=nVariables),"Sin recorridos",""))</f>
        <v/>
      </c>
      <c r="G57" s="10">
        <f>IF(AND(matrizOK,$A57&lt;=nVariables,'M1'!$C$9&gt;0),'M1'!I32,IF(AND(matrizOK,$A57&lt;=nVariables),"Sin recorridos",""))</f>
        <v/>
      </c>
      <c r="H57" s="8">
        <f>IF(AND(matrizOK,$A57&lt;=nVariables,'M6'!$C$9&gt;0),'M6'!E32,IF(AND(matrizOK,$A57&lt;=nVariables),"Sin recorridos",""))</f>
        <v/>
      </c>
      <c r="I57" s="8">
        <f>IF(AND(matrizOK,$A57&lt;=nVariables,'M6'!$C$9&gt;0),'M6'!F32,IF(AND(matrizOK,$A57&lt;=nVariables),"Sin recorridos",""))</f>
        <v/>
      </c>
      <c r="J57" s="9">
        <f>IF(AND(matrizOK,$A57&lt;=nVariables,'M6'!$C$9&gt;0),'M6'!G32,IF(AND(matrizOK,$A57&lt;=nVariables),"Sin recorridos",""))</f>
        <v/>
      </c>
      <c r="K57" s="9">
        <f>IF(AND(matrizOK,$A57&lt;=nVariables,'M6'!$C$9&gt;0),'M6'!H32,IF(AND(matrizOK,$A57&lt;=nVariables),"Sin recorridos",""))</f>
        <v/>
      </c>
      <c r="L57" s="10">
        <f>IF(AND(matrizOK,$A57&lt;=nVariables,'M6'!$C$9&gt;0),'M6'!I32,IF(AND(matrizOK,$A57&lt;=nVariables),"Sin recorridos",""))</f>
        <v/>
      </c>
      <c r="N57" s="11">
        <f>IF(AND(matrizOK,$A57&lt;=nVariables,'M1'!$C$9&gt;0),'M1'!F32,-1)</f>
        <v/>
      </c>
      <c r="O57" s="11">
        <f>IF(AND(matrizOK,$A57&lt;=nVariables,'M1'!$C$9&gt;0),'M1'!E32,-1)</f>
        <v/>
      </c>
      <c r="Q57" s="11">
        <f>IF(AND(matrizOK,$A57&lt;=nVariables,'M6'!$C$9&gt;0),'M6'!F32,-1)</f>
        <v/>
      </c>
      <c r="R57" s="11">
        <f>IF(AND(matrizOK,$A57&lt;=nVariables,'M6'!$C$9&gt;0),'M6'!E32,-1)</f>
        <v/>
      </c>
    </row>
    <row r="58" ht="24" customHeight="1" s="62">
      <c r="A58" s="6" t="n">
        <v>24</v>
      </c>
      <c r="B58" s="81">
        <f>IF($A58&lt;=nVariables,M!B33,"")</f>
        <v/>
      </c>
      <c r="C58" s="8">
        <f>IF(AND(matrizOK,$A58&lt;=nVariables,'M1'!$C$9&gt;0),'M1'!E33,IF(AND(matrizOK,$A58&lt;=nVariables),"Sin recorridos",""))</f>
        <v/>
      </c>
      <c r="D58" s="8">
        <f>IF(AND(matrizOK,$A58&lt;=nVariables,'M1'!$C$9&gt;0),'M1'!F33,IF(AND(matrizOK,$A58&lt;=nVariables),"Sin recorridos",""))</f>
        <v/>
      </c>
      <c r="E58" s="9">
        <f>IF(AND(matrizOK,$A58&lt;=nVariables,'M1'!$C$9&gt;0),'M1'!G33,IF(AND(matrizOK,$A58&lt;=nVariables),"Sin recorridos",""))</f>
        <v/>
      </c>
      <c r="F58" s="9">
        <f>IF(AND(matrizOK,$A58&lt;=nVariables,'M1'!$C$9&gt;0),'M1'!H33,IF(AND(matrizOK,$A58&lt;=nVariables),"Sin recorridos",""))</f>
        <v/>
      </c>
      <c r="G58" s="10">
        <f>IF(AND(matrizOK,$A58&lt;=nVariables,'M1'!$C$9&gt;0),'M1'!I33,IF(AND(matrizOK,$A58&lt;=nVariables),"Sin recorridos",""))</f>
        <v/>
      </c>
      <c r="H58" s="8">
        <f>IF(AND(matrizOK,$A58&lt;=nVariables,'M6'!$C$9&gt;0),'M6'!E33,IF(AND(matrizOK,$A58&lt;=nVariables),"Sin recorridos",""))</f>
        <v/>
      </c>
      <c r="I58" s="8">
        <f>IF(AND(matrizOK,$A58&lt;=nVariables,'M6'!$C$9&gt;0),'M6'!F33,IF(AND(matrizOK,$A58&lt;=nVariables),"Sin recorridos",""))</f>
        <v/>
      </c>
      <c r="J58" s="9">
        <f>IF(AND(matrizOK,$A58&lt;=nVariables,'M6'!$C$9&gt;0),'M6'!G33,IF(AND(matrizOK,$A58&lt;=nVariables),"Sin recorridos",""))</f>
        <v/>
      </c>
      <c r="K58" s="9">
        <f>IF(AND(matrizOK,$A58&lt;=nVariables,'M6'!$C$9&gt;0),'M6'!H33,IF(AND(matrizOK,$A58&lt;=nVariables),"Sin recorridos",""))</f>
        <v/>
      </c>
      <c r="L58" s="10">
        <f>IF(AND(matrizOK,$A58&lt;=nVariables,'M6'!$C$9&gt;0),'M6'!I33,IF(AND(matrizOK,$A58&lt;=nVariables),"Sin recorridos",""))</f>
        <v/>
      </c>
      <c r="N58" s="11">
        <f>IF(AND(matrizOK,$A58&lt;=nVariables,'M1'!$C$9&gt;0),'M1'!F33,-1)</f>
        <v/>
      </c>
      <c r="O58" s="11">
        <f>IF(AND(matrizOK,$A58&lt;=nVariables,'M1'!$C$9&gt;0),'M1'!E33,-1)</f>
        <v/>
      </c>
      <c r="Q58" s="11">
        <f>IF(AND(matrizOK,$A58&lt;=nVariables,'M6'!$C$9&gt;0),'M6'!F33,-1)</f>
        <v/>
      </c>
      <c r="R58" s="11">
        <f>IF(AND(matrizOK,$A58&lt;=nVariables,'M6'!$C$9&gt;0),'M6'!E33,-1)</f>
        <v/>
      </c>
    </row>
    <row r="59" ht="24" customHeight="1" s="62">
      <c r="A59" s="6" t="n">
        <v>25</v>
      </c>
      <c r="B59" s="81">
        <f>IF($A59&lt;=nVariables,M!B34,"")</f>
        <v/>
      </c>
      <c r="C59" s="8">
        <f>IF(AND(matrizOK,$A59&lt;=nVariables,'M1'!$C$9&gt;0),'M1'!E34,IF(AND(matrizOK,$A59&lt;=nVariables),"Sin recorridos",""))</f>
        <v/>
      </c>
      <c r="D59" s="8">
        <f>IF(AND(matrizOK,$A59&lt;=nVariables,'M1'!$C$9&gt;0),'M1'!F34,IF(AND(matrizOK,$A59&lt;=nVariables),"Sin recorridos",""))</f>
        <v/>
      </c>
      <c r="E59" s="9">
        <f>IF(AND(matrizOK,$A59&lt;=nVariables,'M1'!$C$9&gt;0),'M1'!G34,IF(AND(matrizOK,$A59&lt;=nVariables),"Sin recorridos",""))</f>
        <v/>
      </c>
      <c r="F59" s="9">
        <f>IF(AND(matrizOK,$A59&lt;=nVariables,'M1'!$C$9&gt;0),'M1'!H34,IF(AND(matrizOK,$A59&lt;=nVariables),"Sin recorridos",""))</f>
        <v/>
      </c>
      <c r="G59" s="10">
        <f>IF(AND(matrizOK,$A59&lt;=nVariables,'M1'!$C$9&gt;0),'M1'!I34,IF(AND(matrizOK,$A59&lt;=nVariables),"Sin recorridos",""))</f>
        <v/>
      </c>
      <c r="H59" s="8">
        <f>IF(AND(matrizOK,$A59&lt;=nVariables,'M6'!$C$9&gt;0),'M6'!E34,IF(AND(matrizOK,$A59&lt;=nVariables),"Sin recorridos",""))</f>
        <v/>
      </c>
      <c r="I59" s="8">
        <f>IF(AND(matrizOK,$A59&lt;=nVariables,'M6'!$C$9&gt;0),'M6'!F34,IF(AND(matrizOK,$A59&lt;=nVariables),"Sin recorridos",""))</f>
        <v/>
      </c>
      <c r="J59" s="9">
        <f>IF(AND(matrizOK,$A59&lt;=nVariables,'M6'!$C$9&gt;0),'M6'!G34,IF(AND(matrizOK,$A59&lt;=nVariables),"Sin recorridos",""))</f>
        <v/>
      </c>
      <c r="K59" s="9">
        <f>IF(AND(matrizOK,$A59&lt;=nVariables,'M6'!$C$9&gt;0),'M6'!H34,IF(AND(matrizOK,$A59&lt;=nVariables),"Sin recorridos",""))</f>
        <v/>
      </c>
      <c r="L59" s="10">
        <f>IF(AND(matrizOK,$A59&lt;=nVariables,'M6'!$C$9&gt;0),'M6'!I34,IF(AND(matrizOK,$A59&lt;=nVariables),"Sin recorridos",""))</f>
        <v/>
      </c>
      <c r="N59" s="11">
        <f>IF(AND(matrizOK,$A59&lt;=nVariables,'M1'!$C$9&gt;0),'M1'!F34,-1)</f>
        <v/>
      </c>
      <c r="O59" s="11">
        <f>IF(AND(matrizOK,$A59&lt;=nVariables,'M1'!$C$9&gt;0),'M1'!E34,-1)</f>
        <v/>
      </c>
      <c r="Q59" s="11">
        <f>IF(AND(matrizOK,$A59&lt;=nVariables,'M6'!$C$9&gt;0),'M6'!F34,-1)</f>
        <v/>
      </c>
      <c r="R59" s="11">
        <f>IF(AND(matrizOK,$A59&lt;=nVariables,'M6'!$C$9&gt;0),'M6'!E34,-1)</f>
        <v/>
      </c>
    </row>
    <row r="60" ht="24" customHeight="1" s="62">
      <c r="A60" s="6" t="n">
        <v>26</v>
      </c>
      <c r="B60" s="81">
        <f>IF($A60&lt;=nVariables,M!B35,"")</f>
        <v/>
      </c>
      <c r="C60" s="8">
        <f>IF(AND(matrizOK,$A60&lt;=nVariables,'M1'!$C$9&gt;0),'M1'!E35,IF(AND(matrizOK,$A60&lt;=nVariables),"Sin recorridos",""))</f>
        <v/>
      </c>
      <c r="D60" s="8">
        <f>IF(AND(matrizOK,$A60&lt;=nVariables,'M1'!$C$9&gt;0),'M1'!F35,IF(AND(matrizOK,$A60&lt;=nVariables),"Sin recorridos",""))</f>
        <v/>
      </c>
      <c r="E60" s="9">
        <f>IF(AND(matrizOK,$A60&lt;=nVariables,'M1'!$C$9&gt;0),'M1'!G35,IF(AND(matrizOK,$A60&lt;=nVariables),"Sin recorridos",""))</f>
        <v/>
      </c>
      <c r="F60" s="9">
        <f>IF(AND(matrizOK,$A60&lt;=nVariables,'M1'!$C$9&gt;0),'M1'!H35,IF(AND(matrizOK,$A60&lt;=nVariables),"Sin recorridos",""))</f>
        <v/>
      </c>
      <c r="G60" s="10">
        <f>IF(AND(matrizOK,$A60&lt;=nVariables,'M1'!$C$9&gt;0),'M1'!I35,IF(AND(matrizOK,$A60&lt;=nVariables),"Sin recorridos",""))</f>
        <v/>
      </c>
      <c r="H60" s="8">
        <f>IF(AND(matrizOK,$A60&lt;=nVariables,'M6'!$C$9&gt;0),'M6'!E35,IF(AND(matrizOK,$A60&lt;=nVariables),"Sin recorridos",""))</f>
        <v/>
      </c>
      <c r="I60" s="8">
        <f>IF(AND(matrizOK,$A60&lt;=nVariables,'M6'!$C$9&gt;0),'M6'!F35,IF(AND(matrizOK,$A60&lt;=nVariables),"Sin recorridos",""))</f>
        <v/>
      </c>
      <c r="J60" s="9">
        <f>IF(AND(matrizOK,$A60&lt;=nVariables,'M6'!$C$9&gt;0),'M6'!G35,IF(AND(matrizOK,$A60&lt;=nVariables),"Sin recorridos",""))</f>
        <v/>
      </c>
      <c r="K60" s="9">
        <f>IF(AND(matrizOK,$A60&lt;=nVariables,'M6'!$C$9&gt;0),'M6'!H35,IF(AND(matrizOK,$A60&lt;=nVariables),"Sin recorridos",""))</f>
        <v/>
      </c>
      <c r="L60" s="10">
        <f>IF(AND(matrizOK,$A60&lt;=nVariables,'M6'!$C$9&gt;0),'M6'!I35,IF(AND(matrizOK,$A60&lt;=nVariables),"Sin recorridos",""))</f>
        <v/>
      </c>
      <c r="N60" s="11">
        <f>IF(AND(matrizOK,$A60&lt;=nVariables,'M1'!$C$9&gt;0),'M1'!F35,-1)</f>
        <v/>
      </c>
      <c r="O60" s="11">
        <f>IF(AND(matrizOK,$A60&lt;=nVariables,'M1'!$C$9&gt;0),'M1'!E35,-1)</f>
        <v/>
      </c>
      <c r="Q60" s="11">
        <f>IF(AND(matrizOK,$A60&lt;=nVariables,'M6'!$C$9&gt;0),'M6'!F35,-1)</f>
        <v/>
      </c>
      <c r="R60" s="11">
        <f>IF(AND(matrizOK,$A60&lt;=nVariables,'M6'!$C$9&gt;0),'M6'!E35,-1)</f>
        <v/>
      </c>
    </row>
    <row r="61" ht="24" customHeight="1" s="62">
      <c r="A61" s="6" t="n">
        <v>27</v>
      </c>
      <c r="B61" s="81">
        <f>IF($A61&lt;=nVariables,M!B36,"")</f>
        <v/>
      </c>
      <c r="C61" s="8">
        <f>IF(AND(matrizOK,$A61&lt;=nVariables,'M1'!$C$9&gt;0),'M1'!E36,IF(AND(matrizOK,$A61&lt;=nVariables),"Sin recorridos",""))</f>
        <v/>
      </c>
      <c r="D61" s="8">
        <f>IF(AND(matrizOK,$A61&lt;=nVariables,'M1'!$C$9&gt;0),'M1'!F36,IF(AND(matrizOK,$A61&lt;=nVariables),"Sin recorridos",""))</f>
        <v/>
      </c>
      <c r="E61" s="9">
        <f>IF(AND(matrizOK,$A61&lt;=nVariables,'M1'!$C$9&gt;0),'M1'!G36,IF(AND(matrizOK,$A61&lt;=nVariables),"Sin recorridos",""))</f>
        <v/>
      </c>
      <c r="F61" s="9">
        <f>IF(AND(matrizOK,$A61&lt;=nVariables,'M1'!$C$9&gt;0),'M1'!H36,IF(AND(matrizOK,$A61&lt;=nVariables),"Sin recorridos",""))</f>
        <v/>
      </c>
      <c r="G61" s="10">
        <f>IF(AND(matrizOK,$A61&lt;=nVariables,'M1'!$C$9&gt;0),'M1'!I36,IF(AND(matrizOK,$A61&lt;=nVariables),"Sin recorridos",""))</f>
        <v/>
      </c>
      <c r="H61" s="8">
        <f>IF(AND(matrizOK,$A61&lt;=nVariables,'M6'!$C$9&gt;0),'M6'!E36,IF(AND(matrizOK,$A61&lt;=nVariables),"Sin recorridos",""))</f>
        <v/>
      </c>
      <c r="I61" s="8">
        <f>IF(AND(matrizOK,$A61&lt;=nVariables,'M6'!$C$9&gt;0),'M6'!F36,IF(AND(matrizOK,$A61&lt;=nVariables),"Sin recorridos",""))</f>
        <v/>
      </c>
      <c r="J61" s="9">
        <f>IF(AND(matrizOK,$A61&lt;=nVariables,'M6'!$C$9&gt;0),'M6'!G36,IF(AND(matrizOK,$A61&lt;=nVariables),"Sin recorridos",""))</f>
        <v/>
      </c>
      <c r="K61" s="9">
        <f>IF(AND(matrizOK,$A61&lt;=nVariables,'M6'!$C$9&gt;0),'M6'!H36,IF(AND(matrizOK,$A61&lt;=nVariables),"Sin recorridos",""))</f>
        <v/>
      </c>
      <c r="L61" s="10">
        <f>IF(AND(matrizOK,$A61&lt;=nVariables,'M6'!$C$9&gt;0),'M6'!I36,IF(AND(matrizOK,$A61&lt;=nVariables),"Sin recorridos",""))</f>
        <v/>
      </c>
      <c r="N61" s="11">
        <f>IF(AND(matrizOK,$A61&lt;=nVariables,'M1'!$C$9&gt;0),'M1'!F36,-1)</f>
        <v/>
      </c>
      <c r="O61" s="11">
        <f>IF(AND(matrizOK,$A61&lt;=nVariables,'M1'!$C$9&gt;0),'M1'!E36,-1)</f>
        <v/>
      </c>
      <c r="Q61" s="11">
        <f>IF(AND(matrizOK,$A61&lt;=nVariables,'M6'!$C$9&gt;0),'M6'!F36,-1)</f>
        <v/>
      </c>
      <c r="R61" s="11">
        <f>IF(AND(matrizOK,$A61&lt;=nVariables,'M6'!$C$9&gt;0),'M6'!E36,-1)</f>
        <v/>
      </c>
    </row>
    <row r="62" ht="24" customHeight="1" s="62">
      <c r="A62" s="6" t="n">
        <v>28</v>
      </c>
      <c r="B62" s="81">
        <f>IF($A62&lt;=nVariables,M!B37,"")</f>
        <v/>
      </c>
      <c r="C62" s="8">
        <f>IF(AND(matrizOK,$A62&lt;=nVariables,'M1'!$C$9&gt;0),'M1'!E37,IF(AND(matrizOK,$A62&lt;=nVariables),"Sin recorridos",""))</f>
        <v/>
      </c>
      <c r="D62" s="8">
        <f>IF(AND(matrizOK,$A62&lt;=nVariables,'M1'!$C$9&gt;0),'M1'!F37,IF(AND(matrizOK,$A62&lt;=nVariables),"Sin recorridos",""))</f>
        <v/>
      </c>
      <c r="E62" s="9">
        <f>IF(AND(matrizOK,$A62&lt;=nVariables,'M1'!$C$9&gt;0),'M1'!G37,IF(AND(matrizOK,$A62&lt;=nVariables),"Sin recorridos",""))</f>
        <v/>
      </c>
      <c r="F62" s="9">
        <f>IF(AND(matrizOK,$A62&lt;=nVariables,'M1'!$C$9&gt;0),'M1'!H37,IF(AND(matrizOK,$A62&lt;=nVariables),"Sin recorridos",""))</f>
        <v/>
      </c>
      <c r="G62" s="10">
        <f>IF(AND(matrizOK,$A62&lt;=nVariables,'M1'!$C$9&gt;0),'M1'!I37,IF(AND(matrizOK,$A62&lt;=nVariables),"Sin recorridos",""))</f>
        <v/>
      </c>
      <c r="H62" s="8">
        <f>IF(AND(matrizOK,$A62&lt;=nVariables,'M6'!$C$9&gt;0),'M6'!E37,IF(AND(matrizOK,$A62&lt;=nVariables),"Sin recorridos",""))</f>
        <v/>
      </c>
      <c r="I62" s="8">
        <f>IF(AND(matrizOK,$A62&lt;=nVariables,'M6'!$C$9&gt;0),'M6'!F37,IF(AND(matrizOK,$A62&lt;=nVariables),"Sin recorridos",""))</f>
        <v/>
      </c>
      <c r="J62" s="9">
        <f>IF(AND(matrizOK,$A62&lt;=nVariables,'M6'!$C$9&gt;0),'M6'!G37,IF(AND(matrizOK,$A62&lt;=nVariables),"Sin recorridos",""))</f>
        <v/>
      </c>
      <c r="K62" s="9">
        <f>IF(AND(matrizOK,$A62&lt;=nVariables,'M6'!$C$9&gt;0),'M6'!H37,IF(AND(matrizOK,$A62&lt;=nVariables),"Sin recorridos",""))</f>
        <v/>
      </c>
      <c r="L62" s="10">
        <f>IF(AND(matrizOK,$A62&lt;=nVariables,'M6'!$C$9&gt;0),'M6'!I37,IF(AND(matrizOK,$A62&lt;=nVariables),"Sin recorridos",""))</f>
        <v/>
      </c>
      <c r="N62" s="11">
        <f>IF(AND(matrizOK,$A62&lt;=nVariables,'M1'!$C$9&gt;0),'M1'!F37,-1)</f>
        <v/>
      </c>
      <c r="O62" s="11">
        <f>IF(AND(matrizOK,$A62&lt;=nVariables,'M1'!$C$9&gt;0),'M1'!E37,-1)</f>
        <v/>
      </c>
      <c r="Q62" s="11">
        <f>IF(AND(matrizOK,$A62&lt;=nVariables,'M6'!$C$9&gt;0),'M6'!F37,-1)</f>
        <v/>
      </c>
      <c r="R62" s="11">
        <f>IF(AND(matrizOK,$A62&lt;=nVariables,'M6'!$C$9&gt;0),'M6'!E37,-1)</f>
        <v/>
      </c>
    </row>
    <row r="63" ht="24" customHeight="1" s="62">
      <c r="A63" s="6" t="n">
        <v>29</v>
      </c>
      <c r="B63" s="81">
        <f>IF($A63&lt;=nVariables,M!B38,"")</f>
        <v/>
      </c>
      <c r="C63" s="8">
        <f>IF(AND(matrizOK,$A63&lt;=nVariables,'M1'!$C$9&gt;0),'M1'!E38,IF(AND(matrizOK,$A63&lt;=nVariables),"Sin recorridos",""))</f>
        <v/>
      </c>
      <c r="D63" s="8">
        <f>IF(AND(matrizOK,$A63&lt;=nVariables,'M1'!$C$9&gt;0),'M1'!F38,IF(AND(matrizOK,$A63&lt;=nVariables),"Sin recorridos",""))</f>
        <v/>
      </c>
      <c r="E63" s="9">
        <f>IF(AND(matrizOK,$A63&lt;=nVariables,'M1'!$C$9&gt;0),'M1'!G38,IF(AND(matrizOK,$A63&lt;=nVariables),"Sin recorridos",""))</f>
        <v/>
      </c>
      <c r="F63" s="9">
        <f>IF(AND(matrizOK,$A63&lt;=nVariables,'M1'!$C$9&gt;0),'M1'!H38,IF(AND(matrizOK,$A63&lt;=nVariables),"Sin recorridos",""))</f>
        <v/>
      </c>
      <c r="G63" s="10">
        <f>IF(AND(matrizOK,$A63&lt;=nVariables,'M1'!$C$9&gt;0),'M1'!I38,IF(AND(matrizOK,$A63&lt;=nVariables),"Sin recorridos",""))</f>
        <v/>
      </c>
      <c r="H63" s="8">
        <f>IF(AND(matrizOK,$A63&lt;=nVariables,'M6'!$C$9&gt;0),'M6'!E38,IF(AND(matrizOK,$A63&lt;=nVariables),"Sin recorridos",""))</f>
        <v/>
      </c>
      <c r="I63" s="8">
        <f>IF(AND(matrizOK,$A63&lt;=nVariables,'M6'!$C$9&gt;0),'M6'!F38,IF(AND(matrizOK,$A63&lt;=nVariables),"Sin recorridos",""))</f>
        <v/>
      </c>
      <c r="J63" s="9">
        <f>IF(AND(matrizOK,$A63&lt;=nVariables,'M6'!$C$9&gt;0),'M6'!G38,IF(AND(matrizOK,$A63&lt;=nVariables),"Sin recorridos",""))</f>
        <v/>
      </c>
      <c r="K63" s="9">
        <f>IF(AND(matrizOK,$A63&lt;=nVariables,'M6'!$C$9&gt;0),'M6'!H38,IF(AND(matrizOK,$A63&lt;=nVariables),"Sin recorridos",""))</f>
        <v/>
      </c>
      <c r="L63" s="10">
        <f>IF(AND(matrizOK,$A63&lt;=nVariables,'M6'!$C$9&gt;0),'M6'!I38,IF(AND(matrizOK,$A63&lt;=nVariables),"Sin recorridos",""))</f>
        <v/>
      </c>
      <c r="N63" s="11">
        <f>IF(AND(matrizOK,$A63&lt;=nVariables,'M1'!$C$9&gt;0),'M1'!F38,-1)</f>
        <v/>
      </c>
      <c r="O63" s="11">
        <f>IF(AND(matrizOK,$A63&lt;=nVariables,'M1'!$C$9&gt;0),'M1'!E38,-1)</f>
        <v/>
      </c>
      <c r="Q63" s="11">
        <f>IF(AND(matrizOK,$A63&lt;=nVariables,'M6'!$C$9&gt;0),'M6'!F38,-1)</f>
        <v/>
      </c>
      <c r="R63" s="11">
        <f>IF(AND(matrizOK,$A63&lt;=nVariables,'M6'!$C$9&gt;0),'M6'!E38,-1)</f>
        <v/>
      </c>
    </row>
    <row r="64" ht="24" customHeight="1" s="62">
      <c r="A64" s="6" t="n">
        <v>30</v>
      </c>
      <c r="B64" s="81">
        <f>IF($A64&lt;=nVariables,M!B39,"")</f>
        <v/>
      </c>
      <c r="C64" s="8">
        <f>IF(AND(matrizOK,$A64&lt;=nVariables,'M1'!$C$9&gt;0),'M1'!E39,IF(AND(matrizOK,$A64&lt;=nVariables),"Sin recorridos",""))</f>
        <v/>
      </c>
      <c r="D64" s="8">
        <f>IF(AND(matrizOK,$A64&lt;=nVariables,'M1'!$C$9&gt;0),'M1'!F39,IF(AND(matrizOK,$A64&lt;=nVariables),"Sin recorridos",""))</f>
        <v/>
      </c>
      <c r="E64" s="9">
        <f>IF(AND(matrizOK,$A64&lt;=nVariables,'M1'!$C$9&gt;0),'M1'!G39,IF(AND(matrizOK,$A64&lt;=nVariables),"Sin recorridos",""))</f>
        <v/>
      </c>
      <c r="F64" s="9">
        <f>IF(AND(matrizOK,$A64&lt;=nVariables,'M1'!$C$9&gt;0),'M1'!H39,IF(AND(matrizOK,$A64&lt;=nVariables),"Sin recorridos",""))</f>
        <v/>
      </c>
      <c r="G64" s="10">
        <f>IF(AND(matrizOK,$A64&lt;=nVariables,'M1'!$C$9&gt;0),'M1'!I39,IF(AND(matrizOK,$A64&lt;=nVariables),"Sin recorridos",""))</f>
        <v/>
      </c>
      <c r="H64" s="8">
        <f>IF(AND(matrizOK,$A64&lt;=nVariables,'M6'!$C$9&gt;0),'M6'!E39,IF(AND(matrizOK,$A64&lt;=nVariables),"Sin recorridos",""))</f>
        <v/>
      </c>
      <c r="I64" s="8">
        <f>IF(AND(matrizOK,$A64&lt;=nVariables,'M6'!$C$9&gt;0),'M6'!F39,IF(AND(matrizOK,$A64&lt;=nVariables),"Sin recorridos",""))</f>
        <v/>
      </c>
      <c r="J64" s="9">
        <f>IF(AND(matrizOK,$A64&lt;=nVariables,'M6'!$C$9&gt;0),'M6'!G39,IF(AND(matrizOK,$A64&lt;=nVariables),"Sin recorridos",""))</f>
        <v/>
      </c>
      <c r="K64" s="9">
        <f>IF(AND(matrizOK,$A64&lt;=nVariables,'M6'!$C$9&gt;0),'M6'!H39,IF(AND(matrizOK,$A64&lt;=nVariables),"Sin recorridos",""))</f>
        <v/>
      </c>
      <c r="L64" s="10">
        <f>IF(AND(matrizOK,$A64&lt;=nVariables,'M6'!$C$9&gt;0),'M6'!I39,IF(AND(matrizOK,$A64&lt;=nVariables),"Sin recorridos",""))</f>
        <v/>
      </c>
      <c r="N64" s="11">
        <f>IF(AND(matrizOK,$A64&lt;=nVariables,'M1'!$C$9&gt;0),'M1'!F39,-1)</f>
        <v/>
      </c>
      <c r="O64" s="11">
        <f>IF(AND(matrizOK,$A64&lt;=nVariables,'M1'!$C$9&gt;0),'M1'!E39,-1)</f>
        <v/>
      </c>
      <c r="Q64" s="11">
        <f>IF(AND(matrizOK,$A64&lt;=nVariables,'M6'!$C$9&gt;0),'M6'!F39,-1)</f>
        <v/>
      </c>
      <c r="R64" s="11">
        <f>IF(AND(matrizOK,$A64&lt;=nVariables,'M6'!$C$9&gt;0),'M6'!E39,-1)</f>
        <v/>
      </c>
    </row>
    <row r="65" ht="24" customHeight="1" s="62">
      <c r="A65" s="6" t="n">
        <v>31</v>
      </c>
      <c r="B65" s="81">
        <f>IF($A65&lt;=nVariables,M!B40,"")</f>
        <v/>
      </c>
      <c r="C65" s="8">
        <f>IF(AND(matrizOK,$A65&lt;=nVariables,'M1'!$C$9&gt;0),'M1'!E40,IF(AND(matrizOK,$A65&lt;=nVariables),"Sin recorridos",""))</f>
        <v/>
      </c>
      <c r="D65" s="8">
        <f>IF(AND(matrizOK,$A65&lt;=nVariables,'M1'!$C$9&gt;0),'M1'!F40,IF(AND(matrizOK,$A65&lt;=nVariables),"Sin recorridos",""))</f>
        <v/>
      </c>
      <c r="E65" s="9">
        <f>IF(AND(matrizOK,$A65&lt;=nVariables,'M1'!$C$9&gt;0),'M1'!G40,IF(AND(matrizOK,$A65&lt;=nVariables),"Sin recorridos",""))</f>
        <v/>
      </c>
      <c r="F65" s="9">
        <f>IF(AND(matrizOK,$A65&lt;=nVariables,'M1'!$C$9&gt;0),'M1'!H40,IF(AND(matrizOK,$A65&lt;=nVariables),"Sin recorridos",""))</f>
        <v/>
      </c>
      <c r="G65" s="10">
        <f>IF(AND(matrizOK,$A65&lt;=nVariables,'M1'!$C$9&gt;0),'M1'!I40,IF(AND(matrizOK,$A65&lt;=nVariables),"Sin recorridos",""))</f>
        <v/>
      </c>
      <c r="H65" s="8">
        <f>IF(AND(matrizOK,$A65&lt;=nVariables,'M6'!$C$9&gt;0),'M6'!E40,IF(AND(matrizOK,$A65&lt;=nVariables),"Sin recorridos",""))</f>
        <v/>
      </c>
      <c r="I65" s="8">
        <f>IF(AND(matrizOK,$A65&lt;=nVariables,'M6'!$C$9&gt;0),'M6'!F40,IF(AND(matrizOK,$A65&lt;=nVariables),"Sin recorridos",""))</f>
        <v/>
      </c>
      <c r="J65" s="9">
        <f>IF(AND(matrizOK,$A65&lt;=nVariables,'M6'!$C$9&gt;0),'M6'!G40,IF(AND(matrizOK,$A65&lt;=nVariables),"Sin recorridos",""))</f>
        <v/>
      </c>
      <c r="K65" s="9">
        <f>IF(AND(matrizOK,$A65&lt;=nVariables,'M6'!$C$9&gt;0),'M6'!H40,IF(AND(matrizOK,$A65&lt;=nVariables),"Sin recorridos",""))</f>
        <v/>
      </c>
      <c r="L65" s="10">
        <f>IF(AND(matrizOK,$A65&lt;=nVariables,'M6'!$C$9&gt;0),'M6'!I40,IF(AND(matrizOK,$A65&lt;=nVariables),"Sin recorridos",""))</f>
        <v/>
      </c>
      <c r="N65" s="11">
        <f>IF(AND(matrizOK,$A65&lt;=nVariables,'M1'!$C$9&gt;0),'M1'!F40,-1)</f>
        <v/>
      </c>
      <c r="O65" s="11">
        <f>IF(AND(matrizOK,$A65&lt;=nVariables,'M1'!$C$9&gt;0),'M1'!E40,-1)</f>
        <v/>
      </c>
      <c r="Q65" s="11">
        <f>IF(AND(matrizOK,$A65&lt;=nVariables,'M6'!$C$9&gt;0),'M6'!F40,-1)</f>
        <v/>
      </c>
      <c r="R65" s="11">
        <f>IF(AND(matrizOK,$A65&lt;=nVariables,'M6'!$C$9&gt;0),'M6'!E40,-1)</f>
        <v/>
      </c>
    </row>
    <row r="66" ht="24" customHeight="1" s="62">
      <c r="A66" s="6" t="n">
        <v>32</v>
      </c>
      <c r="B66" s="81">
        <f>IF($A66&lt;=nVariables,M!B41,"")</f>
        <v/>
      </c>
      <c r="C66" s="8">
        <f>IF(AND(matrizOK,$A66&lt;=nVariables,'M1'!$C$9&gt;0),'M1'!E41,IF(AND(matrizOK,$A66&lt;=nVariables),"Sin recorridos",""))</f>
        <v/>
      </c>
      <c r="D66" s="8">
        <f>IF(AND(matrizOK,$A66&lt;=nVariables,'M1'!$C$9&gt;0),'M1'!F41,IF(AND(matrizOK,$A66&lt;=nVariables),"Sin recorridos",""))</f>
        <v/>
      </c>
      <c r="E66" s="9">
        <f>IF(AND(matrizOK,$A66&lt;=nVariables,'M1'!$C$9&gt;0),'M1'!G41,IF(AND(matrizOK,$A66&lt;=nVariables),"Sin recorridos",""))</f>
        <v/>
      </c>
      <c r="F66" s="9">
        <f>IF(AND(matrizOK,$A66&lt;=nVariables,'M1'!$C$9&gt;0),'M1'!H41,IF(AND(matrizOK,$A66&lt;=nVariables),"Sin recorridos",""))</f>
        <v/>
      </c>
      <c r="G66" s="10">
        <f>IF(AND(matrizOK,$A66&lt;=nVariables,'M1'!$C$9&gt;0),'M1'!I41,IF(AND(matrizOK,$A66&lt;=nVariables),"Sin recorridos",""))</f>
        <v/>
      </c>
      <c r="H66" s="8">
        <f>IF(AND(matrizOK,$A66&lt;=nVariables,'M6'!$C$9&gt;0),'M6'!E41,IF(AND(matrizOK,$A66&lt;=nVariables),"Sin recorridos",""))</f>
        <v/>
      </c>
      <c r="I66" s="8">
        <f>IF(AND(matrizOK,$A66&lt;=nVariables,'M6'!$C$9&gt;0),'M6'!F41,IF(AND(matrizOK,$A66&lt;=nVariables),"Sin recorridos",""))</f>
        <v/>
      </c>
      <c r="J66" s="9">
        <f>IF(AND(matrizOK,$A66&lt;=nVariables,'M6'!$C$9&gt;0),'M6'!G41,IF(AND(matrizOK,$A66&lt;=nVariables),"Sin recorridos",""))</f>
        <v/>
      </c>
      <c r="K66" s="9">
        <f>IF(AND(matrizOK,$A66&lt;=nVariables,'M6'!$C$9&gt;0),'M6'!H41,IF(AND(matrizOK,$A66&lt;=nVariables),"Sin recorridos",""))</f>
        <v/>
      </c>
      <c r="L66" s="10">
        <f>IF(AND(matrizOK,$A66&lt;=nVariables,'M6'!$C$9&gt;0),'M6'!I41,IF(AND(matrizOK,$A66&lt;=nVariables),"Sin recorridos",""))</f>
        <v/>
      </c>
      <c r="N66" s="11">
        <f>IF(AND(matrizOK,$A66&lt;=nVariables,'M1'!$C$9&gt;0),'M1'!F41,-1)</f>
        <v/>
      </c>
      <c r="O66" s="11">
        <f>IF(AND(matrizOK,$A66&lt;=nVariables,'M1'!$C$9&gt;0),'M1'!E41,-1)</f>
        <v/>
      </c>
      <c r="Q66" s="11">
        <f>IF(AND(matrizOK,$A66&lt;=nVariables,'M6'!$C$9&gt;0),'M6'!F41,-1)</f>
        <v/>
      </c>
      <c r="R66" s="11">
        <f>IF(AND(matrizOK,$A66&lt;=nVariables,'M6'!$C$9&gt;0),'M6'!E41,-1)</f>
        <v/>
      </c>
    </row>
    <row r="67" ht="24" customHeight="1" s="62">
      <c r="A67" s="6" t="n">
        <v>33</v>
      </c>
      <c r="B67" s="81">
        <f>IF($A67&lt;=nVariables,M!B42,"")</f>
        <v/>
      </c>
      <c r="C67" s="8">
        <f>IF(AND(matrizOK,$A67&lt;=nVariables,'M1'!$C$9&gt;0),'M1'!E42,IF(AND(matrizOK,$A67&lt;=nVariables),"Sin recorridos",""))</f>
        <v/>
      </c>
      <c r="D67" s="8">
        <f>IF(AND(matrizOK,$A67&lt;=nVariables,'M1'!$C$9&gt;0),'M1'!F42,IF(AND(matrizOK,$A67&lt;=nVariables),"Sin recorridos",""))</f>
        <v/>
      </c>
      <c r="E67" s="9">
        <f>IF(AND(matrizOK,$A67&lt;=nVariables,'M1'!$C$9&gt;0),'M1'!G42,IF(AND(matrizOK,$A67&lt;=nVariables),"Sin recorridos",""))</f>
        <v/>
      </c>
      <c r="F67" s="9">
        <f>IF(AND(matrizOK,$A67&lt;=nVariables,'M1'!$C$9&gt;0),'M1'!H42,IF(AND(matrizOK,$A67&lt;=nVariables),"Sin recorridos",""))</f>
        <v/>
      </c>
      <c r="G67" s="10">
        <f>IF(AND(matrizOK,$A67&lt;=nVariables,'M1'!$C$9&gt;0),'M1'!I42,IF(AND(matrizOK,$A67&lt;=nVariables),"Sin recorridos",""))</f>
        <v/>
      </c>
      <c r="H67" s="8">
        <f>IF(AND(matrizOK,$A67&lt;=nVariables,'M6'!$C$9&gt;0),'M6'!E42,IF(AND(matrizOK,$A67&lt;=nVariables),"Sin recorridos",""))</f>
        <v/>
      </c>
      <c r="I67" s="8">
        <f>IF(AND(matrizOK,$A67&lt;=nVariables,'M6'!$C$9&gt;0),'M6'!F42,IF(AND(matrizOK,$A67&lt;=nVariables),"Sin recorridos",""))</f>
        <v/>
      </c>
      <c r="J67" s="9">
        <f>IF(AND(matrizOK,$A67&lt;=nVariables,'M6'!$C$9&gt;0),'M6'!G42,IF(AND(matrizOK,$A67&lt;=nVariables),"Sin recorridos",""))</f>
        <v/>
      </c>
      <c r="K67" s="9">
        <f>IF(AND(matrizOK,$A67&lt;=nVariables,'M6'!$C$9&gt;0),'M6'!H42,IF(AND(matrizOK,$A67&lt;=nVariables),"Sin recorridos",""))</f>
        <v/>
      </c>
      <c r="L67" s="10">
        <f>IF(AND(matrizOK,$A67&lt;=nVariables,'M6'!$C$9&gt;0),'M6'!I42,IF(AND(matrizOK,$A67&lt;=nVariables),"Sin recorridos",""))</f>
        <v/>
      </c>
      <c r="N67" s="11">
        <f>IF(AND(matrizOK,$A67&lt;=nVariables,'M1'!$C$9&gt;0),'M1'!F42,-1)</f>
        <v/>
      </c>
      <c r="O67" s="11">
        <f>IF(AND(matrizOK,$A67&lt;=nVariables,'M1'!$C$9&gt;0),'M1'!E42,-1)</f>
        <v/>
      </c>
      <c r="Q67" s="11">
        <f>IF(AND(matrizOK,$A67&lt;=nVariables,'M6'!$C$9&gt;0),'M6'!F42,-1)</f>
        <v/>
      </c>
      <c r="R67" s="11">
        <f>IF(AND(matrizOK,$A67&lt;=nVariables,'M6'!$C$9&gt;0),'M6'!E42,-1)</f>
        <v/>
      </c>
    </row>
    <row r="68" ht="24" customHeight="1" s="62">
      <c r="A68" s="6" t="n">
        <v>34</v>
      </c>
      <c r="B68" s="81">
        <f>IF($A68&lt;=nVariables,M!B43,"")</f>
        <v/>
      </c>
      <c r="C68" s="8">
        <f>IF(AND(matrizOK,$A68&lt;=nVariables,'M1'!$C$9&gt;0),'M1'!E43,IF(AND(matrizOK,$A68&lt;=nVariables),"Sin recorridos",""))</f>
        <v/>
      </c>
      <c r="D68" s="8">
        <f>IF(AND(matrizOK,$A68&lt;=nVariables,'M1'!$C$9&gt;0),'M1'!F43,IF(AND(matrizOK,$A68&lt;=nVariables),"Sin recorridos",""))</f>
        <v/>
      </c>
      <c r="E68" s="9">
        <f>IF(AND(matrizOK,$A68&lt;=nVariables,'M1'!$C$9&gt;0),'M1'!G43,IF(AND(matrizOK,$A68&lt;=nVariables),"Sin recorridos",""))</f>
        <v/>
      </c>
      <c r="F68" s="9">
        <f>IF(AND(matrizOK,$A68&lt;=nVariables,'M1'!$C$9&gt;0),'M1'!H43,IF(AND(matrizOK,$A68&lt;=nVariables),"Sin recorridos",""))</f>
        <v/>
      </c>
      <c r="G68" s="10">
        <f>IF(AND(matrizOK,$A68&lt;=nVariables,'M1'!$C$9&gt;0),'M1'!I43,IF(AND(matrizOK,$A68&lt;=nVariables),"Sin recorridos",""))</f>
        <v/>
      </c>
      <c r="H68" s="8">
        <f>IF(AND(matrizOK,$A68&lt;=nVariables,'M6'!$C$9&gt;0),'M6'!E43,IF(AND(matrizOK,$A68&lt;=nVariables),"Sin recorridos",""))</f>
        <v/>
      </c>
      <c r="I68" s="8">
        <f>IF(AND(matrizOK,$A68&lt;=nVariables,'M6'!$C$9&gt;0),'M6'!F43,IF(AND(matrizOK,$A68&lt;=nVariables),"Sin recorridos",""))</f>
        <v/>
      </c>
      <c r="J68" s="9">
        <f>IF(AND(matrizOK,$A68&lt;=nVariables,'M6'!$C$9&gt;0),'M6'!G43,IF(AND(matrizOK,$A68&lt;=nVariables),"Sin recorridos",""))</f>
        <v/>
      </c>
      <c r="K68" s="9">
        <f>IF(AND(matrizOK,$A68&lt;=nVariables,'M6'!$C$9&gt;0),'M6'!H43,IF(AND(matrizOK,$A68&lt;=nVariables),"Sin recorridos",""))</f>
        <v/>
      </c>
      <c r="L68" s="10">
        <f>IF(AND(matrizOK,$A68&lt;=nVariables,'M6'!$C$9&gt;0),'M6'!I43,IF(AND(matrizOK,$A68&lt;=nVariables),"Sin recorridos",""))</f>
        <v/>
      </c>
      <c r="N68" s="11">
        <f>IF(AND(matrizOK,$A68&lt;=nVariables,'M1'!$C$9&gt;0),'M1'!F43,-1)</f>
        <v/>
      </c>
      <c r="O68" s="11">
        <f>IF(AND(matrizOK,$A68&lt;=nVariables,'M1'!$C$9&gt;0),'M1'!E43,-1)</f>
        <v/>
      </c>
      <c r="Q68" s="11">
        <f>IF(AND(matrizOK,$A68&lt;=nVariables,'M6'!$C$9&gt;0),'M6'!F43,-1)</f>
        <v/>
      </c>
      <c r="R68" s="11">
        <f>IF(AND(matrizOK,$A68&lt;=nVariables,'M6'!$C$9&gt;0),'M6'!E43,-1)</f>
        <v/>
      </c>
    </row>
    <row r="69" ht="24" customHeight="1" s="62">
      <c r="A69" s="6" t="n">
        <v>35</v>
      </c>
      <c r="B69" s="81">
        <f>IF($A69&lt;=nVariables,M!B44,"")</f>
        <v/>
      </c>
      <c r="C69" s="8">
        <f>IF(AND(matrizOK,$A69&lt;=nVariables,'M1'!$C$9&gt;0),'M1'!E44,IF(AND(matrizOK,$A69&lt;=nVariables),"Sin recorridos",""))</f>
        <v/>
      </c>
      <c r="D69" s="8">
        <f>IF(AND(matrizOK,$A69&lt;=nVariables,'M1'!$C$9&gt;0),'M1'!F44,IF(AND(matrizOK,$A69&lt;=nVariables),"Sin recorridos",""))</f>
        <v/>
      </c>
      <c r="E69" s="9">
        <f>IF(AND(matrizOK,$A69&lt;=nVariables,'M1'!$C$9&gt;0),'M1'!G44,IF(AND(matrizOK,$A69&lt;=nVariables),"Sin recorridos",""))</f>
        <v/>
      </c>
      <c r="F69" s="9">
        <f>IF(AND(matrizOK,$A69&lt;=nVariables,'M1'!$C$9&gt;0),'M1'!H44,IF(AND(matrizOK,$A69&lt;=nVariables),"Sin recorridos",""))</f>
        <v/>
      </c>
      <c r="G69" s="10">
        <f>IF(AND(matrizOK,$A69&lt;=nVariables,'M1'!$C$9&gt;0),'M1'!I44,IF(AND(matrizOK,$A69&lt;=nVariables),"Sin recorridos",""))</f>
        <v/>
      </c>
      <c r="H69" s="8">
        <f>IF(AND(matrizOK,$A69&lt;=nVariables,'M6'!$C$9&gt;0),'M6'!E44,IF(AND(matrizOK,$A69&lt;=nVariables),"Sin recorridos",""))</f>
        <v/>
      </c>
      <c r="I69" s="8">
        <f>IF(AND(matrizOK,$A69&lt;=nVariables,'M6'!$C$9&gt;0),'M6'!F44,IF(AND(matrizOK,$A69&lt;=nVariables),"Sin recorridos",""))</f>
        <v/>
      </c>
      <c r="J69" s="9">
        <f>IF(AND(matrizOK,$A69&lt;=nVariables,'M6'!$C$9&gt;0),'M6'!G44,IF(AND(matrizOK,$A69&lt;=nVariables),"Sin recorridos",""))</f>
        <v/>
      </c>
      <c r="K69" s="9">
        <f>IF(AND(matrizOK,$A69&lt;=nVariables,'M6'!$C$9&gt;0),'M6'!H44,IF(AND(matrizOK,$A69&lt;=nVariables),"Sin recorridos",""))</f>
        <v/>
      </c>
      <c r="L69" s="10">
        <f>IF(AND(matrizOK,$A69&lt;=nVariables,'M6'!$C$9&gt;0),'M6'!I44,IF(AND(matrizOK,$A69&lt;=nVariables),"Sin recorridos",""))</f>
        <v/>
      </c>
      <c r="N69" s="11">
        <f>IF(AND(matrizOK,$A69&lt;=nVariables,'M1'!$C$9&gt;0),'M1'!F44,-1)</f>
        <v/>
      </c>
      <c r="O69" s="11">
        <f>IF(AND(matrizOK,$A69&lt;=nVariables,'M1'!$C$9&gt;0),'M1'!E44,-1)</f>
        <v/>
      </c>
      <c r="Q69" s="11">
        <f>IF(AND(matrizOK,$A69&lt;=nVariables,'M6'!$C$9&gt;0),'M6'!F44,-1)</f>
        <v/>
      </c>
      <c r="R69" s="11">
        <f>IF(AND(matrizOK,$A69&lt;=nVariables,'M6'!$C$9&gt;0),'M6'!E44,-1)</f>
        <v/>
      </c>
    </row>
    <row r="70" ht="24" customHeight="1" s="62">
      <c r="A70" s="6" t="n">
        <v>36</v>
      </c>
      <c r="B70" s="81">
        <f>IF($A70&lt;=nVariables,M!B45,"")</f>
        <v/>
      </c>
      <c r="C70" s="8">
        <f>IF(AND(matrizOK,$A70&lt;=nVariables,'M1'!$C$9&gt;0),'M1'!E45,IF(AND(matrizOK,$A70&lt;=nVariables),"Sin recorridos",""))</f>
        <v/>
      </c>
      <c r="D70" s="8">
        <f>IF(AND(matrizOK,$A70&lt;=nVariables,'M1'!$C$9&gt;0),'M1'!F45,IF(AND(matrizOK,$A70&lt;=nVariables),"Sin recorridos",""))</f>
        <v/>
      </c>
      <c r="E70" s="9">
        <f>IF(AND(matrizOK,$A70&lt;=nVariables,'M1'!$C$9&gt;0),'M1'!G45,IF(AND(matrizOK,$A70&lt;=nVariables),"Sin recorridos",""))</f>
        <v/>
      </c>
      <c r="F70" s="9">
        <f>IF(AND(matrizOK,$A70&lt;=nVariables,'M1'!$C$9&gt;0),'M1'!H45,IF(AND(matrizOK,$A70&lt;=nVariables),"Sin recorridos",""))</f>
        <v/>
      </c>
      <c r="G70" s="10">
        <f>IF(AND(matrizOK,$A70&lt;=nVariables,'M1'!$C$9&gt;0),'M1'!I45,IF(AND(matrizOK,$A70&lt;=nVariables),"Sin recorridos",""))</f>
        <v/>
      </c>
      <c r="H70" s="8">
        <f>IF(AND(matrizOK,$A70&lt;=nVariables,'M6'!$C$9&gt;0),'M6'!E45,IF(AND(matrizOK,$A70&lt;=nVariables),"Sin recorridos",""))</f>
        <v/>
      </c>
      <c r="I70" s="8">
        <f>IF(AND(matrizOK,$A70&lt;=nVariables,'M6'!$C$9&gt;0),'M6'!F45,IF(AND(matrizOK,$A70&lt;=nVariables),"Sin recorridos",""))</f>
        <v/>
      </c>
      <c r="J70" s="9">
        <f>IF(AND(matrizOK,$A70&lt;=nVariables,'M6'!$C$9&gt;0),'M6'!G45,IF(AND(matrizOK,$A70&lt;=nVariables),"Sin recorridos",""))</f>
        <v/>
      </c>
      <c r="K70" s="9">
        <f>IF(AND(matrizOK,$A70&lt;=nVariables,'M6'!$C$9&gt;0),'M6'!H45,IF(AND(matrizOK,$A70&lt;=nVariables),"Sin recorridos",""))</f>
        <v/>
      </c>
      <c r="L70" s="10">
        <f>IF(AND(matrizOK,$A70&lt;=nVariables,'M6'!$C$9&gt;0),'M6'!I45,IF(AND(matrizOK,$A70&lt;=nVariables),"Sin recorridos",""))</f>
        <v/>
      </c>
      <c r="N70" s="11">
        <f>IF(AND(matrizOK,$A70&lt;=nVariables,'M1'!$C$9&gt;0),'M1'!F45,-1)</f>
        <v/>
      </c>
      <c r="O70" s="11">
        <f>IF(AND(matrizOK,$A70&lt;=nVariables,'M1'!$C$9&gt;0),'M1'!E45,-1)</f>
        <v/>
      </c>
      <c r="Q70" s="11">
        <f>IF(AND(matrizOK,$A70&lt;=nVariables,'M6'!$C$9&gt;0),'M6'!F45,-1)</f>
        <v/>
      </c>
      <c r="R70" s="11">
        <f>IF(AND(matrizOK,$A70&lt;=nVariables,'M6'!$C$9&gt;0),'M6'!E45,-1)</f>
        <v/>
      </c>
    </row>
    <row r="71" ht="24" customHeight="1" s="62">
      <c r="A71" s="6" t="n">
        <v>37</v>
      </c>
      <c r="B71" s="81">
        <f>IF($A71&lt;=nVariables,M!B46,"")</f>
        <v/>
      </c>
      <c r="C71" s="8">
        <f>IF(AND(matrizOK,$A71&lt;=nVariables,'M1'!$C$9&gt;0),'M1'!E46,IF(AND(matrizOK,$A71&lt;=nVariables),"Sin recorridos",""))</f>
        <v/>
      </c>
      <c r="D71" s="8">
        <f>IF(AND(matrizOK,$A71&lt;=nVariables,'M1'!$C$9&gt;0),'M1'!F46,IF(AND(matrizOK,$A71&lt;=nVariables),"Sin recorridos",""))</f>
        <v/>
      </c>
      <c r="E71" s="9">
        <f>IF(AND(matrizOK,$A71&lt;=nVariables,'M1'!$C$9&gt;0),'M1'!G46,IF(AND(matrizOK,$A71&lt;=nVariables),"Sin recorridos",""))</f>
        <v/>
      </c>
      <c r="F71" s="9">
        <f>IF(AND(matrizOK,$A71&lt;=nVariables,'M1'!$C$9&gt;0),'M1'!H46,IF(AND(matrizOK,$A71&lt;=nVariables),"Sin recorridos",""))</f>
        <v/>
      </c>
      <c r="G71" s="10">
        <f>IF(AND(matrizOK,$A71&lt;=nVariables,'M1'!$C$9&gt;0),'M1'!I46,IF(AND(matrizOK,$A71&lt;=nVariables),"Sin recorridos",""))</f>
        <v/>
      </c>
      <c r="H71" s="8">
        <f>IF(AND(matrizOK,$A71&lt;=nVariables,'M6'!$C$9&gt;0),'M6'!E46,IF(AND(matrizOK,$A71&lt;=nVariables),"Sin recorridos",""))</f>
        <v/>
      </c>
      <c r="I71" s="8">
        <f>IF(AND(matrizOK,$A71&lt;=nVariables,'M6'!$C$9&gt;0),'M6'!F46,IF(AND(matrizOK,$A71&lt;=nVariables),"Sin recorridos",""))</f>
        <v/>
      </c>
      <c r="J71" s="9">
        <f>IF(AND(matrizOK,$A71&lt;=nVariables,'M6'!$C$9&gt;0),'M6'!G46,IF(AND(matrizOK,$A71&lt;=nVariables),"Sin recorridos",""))</f>
        <v/>
      </c>
      <c r="K71" s="9">
        <f>IF(AND(matrizOK,$A71&lt;=nVariables,'M6'!$C$9&gt;0),'M6'!H46,IF(AND(matrizOK,$A71&lt;=nVariables),"Sin recorridos",""))</f>
        <v/>
      </c>
      <c r="L71" s="10">
        <f>IF(AND(matrizOK,$A71&lt;=nVariables,'M6'!$C$9&gt;0),'M6'!I46,IF(AND(matrizOK,$A71&lt;=nVariables),"Sin recorridos",""))</f>
        <v/>
      </c>
      <c r="N71" s="11">
        <f>IF(AND(matrizOK,$A71&lt;=nVariables,'M1'!$C$9&gt;0),'M1'!F46,-1)</f>
        <v/>
      </c>
      <c r="O71" s="11">
        <f>IF(AND(matrizOK,$A71&lt;=nVariables,'M1'!$C$9&gt;0),'M1'!E46,-1)</f>
        <v/>
      </c>
      <c r="Q71" s="11">
        <f>IF(AND(matrizOK,$A71&lt;=nVariables,'M6'!$C$9&gt;0),'M6'!F46,-1)</f>
        <v/>
      </c>
      <c r="R71" s="11">
        <f>IF(AND(matrizOK,$A71&lt;=nVariables,'M6'!$C$9&gt;0),'M6'!E46,-1)</f>
        <v/>
      </c>
    </row>
    <row r="72" ht="24" customHeight="1" s="62">
      <c r="A72" s="6" t="n">
        <v>38</v>
      </c>
      <c r="B72" s="81">
        <f>IF($A72&lt;=nVariables,M!B47,"")</f>
        <v/>
      </c>
      <c r="C72" s="8">
        <f>IF(AND(matrizOK,$A72&lt;=nVariables,'M1'!$C$9&gt;0),'M1'!E47,IF(AND(matrizOK,$A72&lt;=nVariables),"Sin recorridos",""))</f>
        <v/>
      </c>
      <c r="D72" s="8">
        <f>IF(AND(matrizOK,$A72&lt;=nVariables,'M1'!$C$9&gt;0),'M1'!F47,IF(AND(matrizOK,$A72&lt;=nVariables),"Sin recorridos",""))</f>
        <v/>
      </c>
      <c r="E72" s="9">
        <f>IF(AND(matrizOK,$A72&lt;=nVariables,'M1'!$C$9&gt;0),'M1'!G47,IF(AND(matrizOK,$A72&lt;=nVariables),"Sin recorridos",""))</f>
        <v/>
      </c>
      <c r="F72" s="9">
        <f>IF(AND(matrizOK,$A72&lt;=nVariables,'M1'!$C$9&gt;0),'M1'!H47,IF(AND(matrizOK,$A72&lt;=nVariables),"Sin recorridos",""))</f>
        <v/>
      </c>
      <c r="G72" s="10">
        <f>IF(AND(matrizOK,$A72&lt;=nVariables,'M1'!$C$9&gt;0),'M1'!I47,IF(AND(matrizOK,$A72&lt;=nVariables),"Sin recorridos",""))</f>
        <v/>
      </c>
      <c r="H72" s="8">
        <f>IF(AND(matrizOK,$A72&lt;=nVariables,'M6'!$C$9&gt;0),'M6'!E47,IF(AND(matrizOK,$A72&lt;=nVariables),"Sin recorridos",""))</f>
        <v/>
      </c>
      <c r="I72" s="8">
        <f>IF(AND(matrizOK,$A72&lt;=nVariables,'M6'!$C$9&gt;0),'M6'!F47,IF(AND(matrizOK,$A72&lt;=nVariables),"Sin recorridos",""))</f>
        <v/>
      </c>
      <c r="J72" s="9">
        <f>IF(AND(matrizOK,$A72&lt;=nVariables,'M6'!$C$9&gt;0),'M6'!G47,IF(AND(matrizOK,$A72&lt;=nVariables),"Sin recorridos",""))</f>
        <v/>
      </c>
      <c r="K72" s="9">
        <f>IF(AND(matrizOK,$A72&lt;=nVariables,'M6'!$C$9&gt;0),'M6'!H47,IF(AND(matrizOK,$A72&lt;=nVariables),"Sin recorridos",""))</f>
        <v/>
      </c>
      <c r="L72" s="10">
        <f>IF(AND(matrizOK,$A72&lt;=nVariables,'M6'!$C$9&gt;0),'M6'!I47,IF(AND(matrizOK,$A72&lt;=nVariables),"Sin recorridos",""))</f>
        <v/>
      </c>
      <c r="N72" s="11">
        <f>IF(AND(matrizOK,$A72&lt;=nVariables,'M1'!$C$9&gt;0),'M1'!F47,-1)</f>
        <v/>
      </c>
      <c r="O72" s="11">
        <f>IF(AND(matrizOK,$A72&lt;=nVariables,'M1'!$C$9&gt;0),'M1'!E47,-1)</f>
        <v/>
      </c>
      <c r="Q72" s="11">
        <f>IF(AND(matrizOK,$A72&lt;=nVariables,'M6'!$C$9&gt;0),'M6'!F47,-1)</f>
        <v/>
      </c>
      <c r="R72" s="11">
        <f>IF(AND(matrizOK,$A72&lt;=nVariables,'M6'!$C$9&gt;0),'M6'!E47,-1)</f>
        <v/>
      </c>
    </row>
    <row r="73" ht="24" customHeight="1" s="62">
      <c r="A73" s="6" t="n">
        <v>39</v>
      </c>
      <c r="B73" s="81">
        <f>IF($A73&lt;=nVariables,M!B48,"")</f>
        <v/>
      </c>
      <c r="C73" s="8">
        <f>IF(AND(matrizOK,$A73&lt;=nVariables,'M1'!$C$9&gt;0),'M1'!E48,IF(AND(matrizOK,$A73&lt;=nVariables),"Sin recorridos",""))</f>
        <v/>
      </c>
      <c r="D73" s="8">
        <f>IF(AND(matrizOK,$A73&lt;=nVariables,'M1'!$C$9&gt;0),'M1'!F48,IF(AND(matrizOK,$A73&lt;=nVariables),"Sin recorridos",""))</f>
        <v/>
      </c>
      <c r="E73" s="9">
        <f>IF(AND(matrizOK,$A73&lt;=nVariables,'M1'!$C$9&gt;0),'M1'!G48,IF(AND(matrizOK,$A73&lt;=nVariables),"Sin recorridos",""))</f>
        <v/>
      </c>
      <c r="F73" s="9">
        <f>IF(AND(matrizOK,$A73&lt;=nVariables,'M1'!$C$9&gt;0),'M1'!H48,IF(AND(matrizOK,$A73&lt;=nVariables),"Sin recorridos",""))</f>
        <v/>
      </c>
      <c r="G73" s="10">
        <f>IF(AND(matrizOK,$A73&lt;=nVariables,'M1'!$C$9&gt;0),'M1'!I48,IF(AND(matrizOK,$A73&lt;=nVariables),"Sin recorridos",""))</f>
        <v/>
      </c>
      <c r="H73" s="8">
        <f>IF(AND(matrizOK,$A73&lt;=nVariables,'M6'!$C$9&gt;0),'M6'!E48,IF(AND(matrizOK,$A73&lt;=nVariables),"Sin recorridos",""))</f>
        <v/>
      </c>
      <c r="I73" s="8">
        <f>IF(AND(matrizOK,$A73&lt;=nVariables,'M6'!$C$9&gt;0),'M6'!F48,IF(AND(matrizOK,$A73&lt;=nVariables),"Sin recorridos",""))</f>
        <v/>
      </c>
      <c r="J73" s="9">
        <f>IF(AND(matrizOK,$A73&lt;=nVariables,'M6'!$C$9&gt;0),'M6'!G48,IF(AND(matrizOK,$A73&lt;=nVariables),"Sin recorridos",""))</f>
        <v/>
      </c>
      <c r="K73" s="9">
        <f>IF(AND(matrizOK,$A73&lt;=nVariables,'M6'!$C$9&gt;0),'M6'!H48,IF(AND(matrizOK,$A73&lt;=nVariables),"Sin recorridos",""))</f>
        <v/>
      </c>
      <c r="L73" s="10">
        <f>IF(AND(matrizOK,$A73&lt;=nVariables,'M6'!$C$9&gt;0),'M6'!I48,IF(AND(matrizOK,$A73&lt;=nVariables),"Sin recorridos",""))</f>
        <v/>
      </c>
      <c r="N73" s="11">
        <f>IF(AND(matrizOK,$A73&lt;=nVariables,'M1'!$C$9&gt;0),'M1'!F48,-1)</f>
        <v/>
      </c>
      <c r="O73" s="11">
        <f>IF(AND(matrizOK,$A73&lt;=nVariables,'M1'!$C$9&gt;0),'M1'!E48,-1)</f>
        <v/>
      </c>
      <c r="Q73" s="11">
        <f>IF(AND(matrizOK,$A73&lt;=nVariables,'M6'!$C$9&gt;0),'M6'!F48,-1)</f>
        <v/>
      </c>
      <c r="R73" s="11">
        <f>IF(AND(matrizOK,$A73&lt;=nVariables,'M6'!$C$9&gt;0),'M6'!E48,-1)</f>
        <v/>
      </c>
    </row>
    <row r="74" ht="24" customHeight="1" s="62">
      <c r="A74" s="6" t="n">
        <v>40</v>
      </c>
      <c r="B74" s="81">
        <f>IF($A74&lt;=nVariables,M!B49,"")</f>
        <v/>
      </c>
      <c r="C74" s="8">
        <f>IF(AND(matrizOK,$A74&lt;=nVariables,'M1'!$C$9&gt;0),'M1'!E49,IF(AND(matrizOK,$A74&lt;=nVariables),"Sin recorridos",""))</f>
        <v/>
      </c>
      <c r="D74" s="8">
        <f>IF(AND(matrizOK,$A74&lt;=nVariables,'M1'!$C$9&gt;0),'M1'!F49,IF(AND(matrizOK,$A74&lt;=nVariables),"Sin recorridos",""))</f>
        <v/>
      </c>
      <c r="E74" s="9">
        <f>IF(AND(matrizOK,$A74&lt;=nVariables,'M1'!$C$9&gt;0),'M1'!G49,IF(AND(matrizOK,$A74&lt;=nVariables),"Sin recorridos",""))</f>
        <v/>
      </c>
      <c r="F74" s="9">
        <f>IF(AND(matrizOK,$A74&lt;=nVariables,'M1'!$C$9&gt;0),'M1'!H49,IF(AND(matrizOK,$A74&lt;=nVariables),"Sin recorridos",""))</f>
        <v/>
      </c>
      <c r="G74" s="10">
        <f>IF(AND(matrizOK,$A74&lt;=nVariables,'M1'!$C$9&gt;0),'M1'!I49,IF(AND(matrizOK,$A74&lt;=nVariables),"Sin recorridos",""))</f>
        <v/>
      </c>
      <c r="H74" s="8">
        <f>IF(AND(matrizOK,$A74&lt;=nVariables,'M6'!$C$9&gt;0),'M6'!E49,IF(AND(matrizOK,$A74&lt;=nVariables),"Sin recorridos",""))</f>
        <v/>
      </c>
      <c r="I74" s="8">
        <f>IF(AND(matrizOK,$A74&lt;=nVariables,'M6'!$C$9&gt;0),'M6'!F49,IF(AND(matrizOK,$A74&lt;=nVariables),"Sin recorridos",""))</f>
        <v/>
      </c>
      <c r="J74" s="9">
        <f>IF(AND(matrizOK,$A74&lt;=nVariables,'M6'!$C$9&gt;0),'M6'!G49,IF(AND(matrizOK,$A74&lt;=nVariables),"Sin recorridos",""))</f>
        <v/>
      </c>
      <c r="K74" s="9">
        <f>IF(AND(matrizOK,$A74&lt;=nVariables,'M6'!$C$9&gt;0),'M6'!H49,IF(AND(matrizOK,$A74&lt;=nVariables),"Sin recorridos",""))</f>
        <v/>
      </c>
      <c r="L74" s="10">
        <f>IF(AND(matrizOK,$A74&lt;=nVariables,'M6'!$C$9&gt;0),'M6'!I49,IF(AND(matrizOK,$A74&lt;=nVariables),"Sin recorridos",""))</f>
        <v/>
      </c>
      <c r="N74" s="11">
        <f>IF(AND(matrizOK,$A74&lt;=nVariables,'M1'!$C$9&gt;0),'M1'!F49,-1)</f>
        <v/>
      </c>
      <c r="O74" s="11">
        <f>IF(AND(matrizOK,$A74&lt;=nVariables,'M1'!$C$9&gt;0),'M1'!E49,-1)</f>
        <v/>
      </c>
      <c r="Q74" s="11">
        <f>IF(AND(matrizOK,$A74&lt;=nVariables,'M6'!$C$9&gt;0),'M6'!F49,-1)</f>
        <v/>
      </c>
      <c r="R74" s="11">
        <f>IF(AND(matrizOK,$A74&lt;=nVariables,'M6'!$C$9&gt;0),'M6'!E49,-1)</f>
        <v/>
      </c>
    </row>
    <row r="78" ht="24" customHeight="1" s="62">
      <c r="A78" s="69" t="inlineStr">
        <is>
          <t>Puesto</t>
        </is>
      </c>
      <c r="B78" s="69" t="inlineStr">
        <is>
          <t>Orden de influencia en M6</t>
        </is>
      </c>
      <c r="C78" s="69" t="inlineStr">
        <is>
          <t>Rango real</t>
        </is>
      </c>
      <c r="D78" s="69" t="inlineStr">
        <is>
          <t>Valor %</t>
        </is>
      </c>
    </row>
    <row r="79" ht="22" customHeight="1" s="62">
      <c r="A79" s="6" t="n">
        <v>1</v>
      </c>
      <c r="B79" s="81">
        <f>IF(AND(matrizOK,$A79&lt;=nVariables,'M6'!$C$9&gt;0),INDEX('M6'!$B$10:$B$49,MATCH($A79,'M6'!$J$10:$J$49,0)),"")</f>
        <v/>
      </c>
      <c r="C79" s="9">
        <f>IF(AND(matrizOK,$A79&lt;=nVariables,'M6'!$C$9&gt;0),INDEX('M6'!$G$10:$G$49,MATCH($A79,'M6'!$J$10:$J$49,0)),"")</f>
        <v/>
      </c>
      <c r="D79" s="8">
        <f>IF(AND(matrizOK,$A79&lt;=nVariables,'M6'!$C$9&gt;0),INDEX('M6'!$E$10:$E$49,MATCH($A79,'M6'!$J$10:$J$49,0)),"")</f>
        <v/>
      </c>
    </row>
    <row r="80" ht="22" customHeight="1" s="62">
      <c r="A80" s="6" t="n">
        <v>2</v>
      </c>
      <c r="B80" s="81">
        <f>IF(AND(matrizOK,$A80&lt;=nVariables,'M6'!$C$9&gt;0),INDEX('M6'!$B$10:$B$49,MATCH($A80,'M6'!$J$10:$J$49,0)),"")</f>
        <v/>
      </c>
      <c r="C80" s="9">
        <f>IF(AND(matrizOK,$A80&lt;=nVariables,'M6'!$C$9&gt;0),INDEX('M6'!$G$10:$G$49,MATCH($A80,'M6'!$J$10:$J$49,0)),"")</f>
        <v/>
      </c>
      <c r="D80" s="8">
        <f>IF(AND(matrizOK,$A80&lt;=nVariables,'M6'!$C$9&gt;0),INDEX('M6'!$E$10:$E$49,MATCH($A80,'M6'!$J$10:$J$49,0)),"")</f>
        <v/>
      </c>
    </row>
    <row r="81" ht="22" customHeight="1" s="62">
      <c r="A81" s="6" t="n">
        <v>3</v>
      </c>
      <c r="B81" s="81">
        <f>IF(AND(matrizOK,$A81&lt;=nVariables,'M6'!$C$9&gt;0),INDEX('M6'!$B$10:$B$49,MATCH($A81,'M6'!$J$10:$J$49,0)),"")</f>
        <v/>
      </c>
      <c r="C81" s="9">
        <f>IF(AND(matrizOK,$A81&lt;=nVariables,'M6'!$C$9&gt;0),INDEX('M6'!$G$10:$G$49,MATCH($A81,'M6'!$J$10:$J$49,0)),"")</f>
        <v/>
      </c>
      <c r="D81" s="8">
        <f>IF(AND(matrizOK,$A81&lt;=nVariables,'M6'!$C$9&gt;0),INDEX('M6'!$E$10:$E$49,MATCH($A81,'M6'!$J$10:$J$49,0)),"")</f>
        <v/>
      </c>
    </row>
    <row r="82" ht="22" customHeight="1" s="62">
      <c r="A82" s="6" t="n">
        <v>4</v>
      </c>
      <c r="B82" s="81">
        <f>IF(AND(matrizOK,$A82&lt;=nVariables,'M6'!$C$9&gt;0),INDEX('M6'!$B$10:$B$49,MATCH($A82,'M6'!$J$10:$J$49,0)),"")</f>
        <v/>
      </c>
      <c r="C82" s="9">
        <f>IF(AND(matrizOK,$A82&lt;=nVariables,'M6'!$C$9&gt;0),INDEX('M6'!$G$10:$G$49,MATCH($A82,'M6'!$J$10:$J$49,0)),"")</f>
        <v/>
      </c>
      <c r="D82" s="8">
        <f>IF(AND(matrizOK,$A82&lt;=nVariables,'M6'!$C$9&gt;0),INDEX('M6'!$E$10:$E$49,MATCH($A82,'M6'!$J$10:$J$49,0)),"")</f>
        <v/>
      </c>
    </row>
    <row r="83" ht="22" customHeight="1" s="62">
      <c r="A83" s="6" t="n">
        <v>5</v>
      </c>
      <c r="B83" s="81">
        <f>IF(AND(matrizOK,$A83&lt;=nVariables,'M6'!$C$9&gt;0),INDEX('M6'!$B$10:$B$49,MATCH($A83,'M6'!$J$10:$J$49,0)),"")</f>
        <v/>
      </c>
      <c r="C83" s="9">
        <f>IF(AND(matrizOK,$A83&lt;=nVariables,'M6'!$C$9&gt;0),INDEX('M6'!$G$10:$G$49,MATCH($A83,'M6'!$J$10:$J$49,0)),"")</f>
        <v/>
      </c>
      <c r="D83" s="8">
        <f>IF(AND(matrizOK,$A83&lt;=nVariables,'M6'!$C$9&gt;0),INDEX('M6'!$E$10:$E$49,MATCH($A83,'M6'!$J$10:$J$49,0)),"")</f>
        <v/>
      </c>
    </row>
    <row r="84" ht="22" customHeight="1" s="62">
      <c r="A84" s="6" t="n">
        <v>6</v>
      </c>
      <c r="B84" s="81">
        <f>IF(AND(matrizOK,$A84&lt;=nVariables,'M6'!$C$9&gt;0),INDEX('M6'!$B$10:$B$49,MATCH($A84,'M6'!$J$10:$J$49,0)),"")</f>
        <v/>
      </c>
      <c r="C84" s="9">
        <f>IF(AND(matrizOK,$A84&lt;=nVariables,'M6'!$C$9&gt;0),INDEX('M6'!$G$10:$G$49,MATCH($A84,'M6'!$J$10:$J$49,0)),"")</f>
        <v/>
      </c>
      <c r="D84" s="8">
        <f>IF(AND(matrizOK,$A84&lt;=nVariables,'M6'!$C$9&gt;0),INDEX('M6'!$E$10:$E$49,MATCH($A84,'M6'!$J$10:$J$49,0)),"")</f>
        <v/>
      </c>
    </row>
    <row r="85" ht="22" customHeight="1" s="62">
      <c r="A85" s="6" t="n">
        <v>7</v>
      </c>
      <c r="B85" s="81">
        <f>IF(AND(matrizOK,$A85&lt;=nVariables,'M6'!$C$9&gt;0),INDEX('M6'!$B$10:$B$49,MATCH($A85,'M6'!$J$10:$J$49,0)),"")</f>
        <v/>
      </c>
      <c r="C85" s="9">
        <f>IF(AND(matrizOK,$A85&lt;=nVariables,'M6'!$C$9&gt;0),INDEX('M6'!$G$10:$G$49,MATCH($A85,'M6'!$J$10:$J$49,0)),"")</f>
        <v/>
      </c>
      <c r="D85" s="8">
        <f>IF(AND(matrizOK,$A85&lt;=nVariables,'M6'!$C$9&gt;0),INDEX('M6'!$E$10:$E$49,MATCH($A85,'M6'!$J$10:$J$49,0)),"")</f>
        <v/>
      </c>
    </row>
    <row r="86" ht="22" customHeight="1" s="62">
      <c r="A86" s="6" t="n">
        <v>8</v>
      </c>
      <c r="B86" s="81">
        <f>IF(AND(matrizOK,$A86&lt;=nVariables,'M6'!$C$9&gt;0),INDEX('M6'!$B$10:$B$49,MATCH($A86,'M6'!$J$10:$J$49,0)),"")</f>
        <v/>
      </c>
      <c r="C86" s="9">
        <f>IF(AND(matrizOK,$A86&lt;=nVariables,'M6'!$C$9&gt;0),INDEX('M6'!$G$10:$G$49,MATCH($A86,'M6'!$J$10:$J$49,0)),"")</f>
        <v/>
      </c>
      <c r="D86" s="8">
        <f>IF(AND(matrizOK,$A86&lt;=nVariables,'M6'!$C$9&gt;0),INDEX('M6'!$E$10:$E$49,MATCH($A86,'M6'!$J$10:$J$49,0)),"")</f>
        <v/>
      </c>
    </row>
    <row r="87" ht="22" customHeight="1" s="62">
      <c r="A87" s="6" t="n">
        <v>9</v>
      </c>
      <c r="B87" s="81">
        <f>IF(AND(matrizOK,$A87&lt;=nVariables,'M6'!$C$9&gt;0),INDEX('M6'!$B$10:$B$49,MATCH($A87,'M6'!$J$10:$J$49,0)),"")</f>
        <v/>
      </c>
      <c r="C87" s="9">
        <f>IF(AND(matrizOK,$A87&lt;=nVariables,'M6'!$C$9&gt;0),INDEX('M6'!$G$10:$G$49,MATCH($A87,'M6'!$J$10:$J$49,0)),"")</f>
        <v/>
      </c>
      <c r="D87" s="8">
        <f>IF(AND(matrizOK,$A87&lt;=nVariables,'M6'!$C$9&gt;0),INDEX('M6'!$E$10:$E$49,MATCH($A87,'M6'!$J$10:$J$49,0)),"")</f>
        <v/>
      </c>
    </row>
    <row r="88" ht="22" customHeight="1" s="62">
      <c r="A88" s="6" t="n">
        <v>10</v>
      </c>
      <c r="B88" s="81">
        <f>IF(AND(matrizOK,$A88&lt;=nVariables,'M6'!$C$9&gt;0),INDEX('M6'!$B$10:$B$49,MATCH($A88,'M6'!$J$10:$J$49,0)),"")</f>
        <v/>
      </c>
      <c r="C88" s="9">
        <f>IF(AND(matrizOK,$A88&lt;=nVariables,'M6'!$C$9&gt;0),INDEX('M6'!$G$10:$G$49,MATCH($A88,'M6'!$J$10:$J$49,0)),"")</f>
        <v/>
      </c>
      <c r="D88" s="8">
        <f>IF(AND(matrizOK,$A88&lt;=nVariables,'M6'!$C$9&gt;0),INDEX('M6'!$E$10:$E$49,MATCH($A88,'M6'!$J$10:$J$49,0)),"")</f>
        <v/>
      </c>
    </row>
    <row r="89" ht="22" customHeight="1" s="62">
      <c r="A89" s="6" t="n">
        <v>11</v>
      </c>
      <c r="B89" s="81">
        <f>IF(AND(matrizOK,$A89&lt;=nVariables,'M6'!$C$9&gt;0),INDEX('M6'!$B$10:$B$49,MATCH($A89,'M6'!$J$10:$J$49,0)),"")</f>
        <v/>
      </c>
      <c r="C89" s="9">
        <f>IF(AND(matrizOK,$A89&lt;=nVariables,'M6'!$C$9&gt;0),INDEX('M6'!$G$10:$G$49,MATCH($A89,'M6'!$J$10:$J$49,0)),"")</f>
        <v/>
      </c>
      <c r="D89" s="8">
        <f>IF(AND(matrizOK,$A89&lt;=nVariables,'M6'!$C$9&gt;0),INDEX('M6'!$E$10:$E$49,MATCH($A89,'M6'!$J$10:$J$49,0)),"")</f>
        <v/>
      </c>
    </row>
    <row r="90" ht="22" customHeight="1" s="62">
      <c r="A90" s="6" t="n">
        <v>12</v>
      </c>
      <c r="B90" s="81">
        <f>IF(AND(matrizOK,$A90&lt;=nVariables,'M6'!$C$9&gt;0),INDEX('M6'!$B$10:$B$49,MATCH($A90,'M6'!$J$10:$J$49,0)),"")</f>
        <v/>
      </c>
      <c r="C90" s="9">
        <f>IF(AND(matrizOK,$A90&lt;=nVariables,'M6'!$C$9&gt;0),INDEX('M6'!$G$10:$G$49,MATCH($A90,'M6'!$J$10:$J$49,0)),"")</f>
        <v/>
      </c>
      <c r="D90" s="8">
        <f>IF(AND(matrizOK,$A90&lt;=nVariables,'M6'!$C$9&gt;0),INDEX('M6'!$E$10:$E$49,MATCH($A90,'M6'!$J$10:$J$49,0)),"")</f>
        <v/>
      </c>
    </row>
    <row r="91" ht="22" customHeight="1" s="62">
      <c r="A91" s="6" t="n">
        <v>13</v>
      </c>
      <c r="B91" s="81">
        <f>IF(AND(matrizOK,$A91&lt;=nVariables,'M6'!$C$9&gt;0),INDEX('M6'!$B$10:$B$49,MATCH($A91,'M6'!$J$10:$J$49,0)),"")</f>
        <v/>
      </c>
      <c r="C91" s="9">
        <f>IF(AND(matrizOK,$A91&lt;=nVariables,'M6'!$C$9&gt;0),INDEX('M6'!$G$10:$G$49,MATCH($A91,'M6'!$J$10:$J$49,0)),"")</f>
        <v/>
      </c>
      <c r="D91" s="8">
        <f>IF(AND(matrizOK,$A91&lt;=nVariables,'M6'!$C$9&gt;0),INDEX('M6'!$E$10:$E$49,MATCH($A91,'M6'!$J$10:$J$49,0)),"")</f>
        <v/>
      </c>
    </row>
    <row r="92" ht="22" customHeight="1" s="62">
      <c r="A92" s="6" t="n">
        <v>14</v>
      </c>
      <c r="B92" s="81">
        <f>IF(AND(matrizOK,$A92&lt;=nVariables,'M6'!$C$9&gt;0),INDEX('M6'!$B$10:$B$49,MATCH($A92,'M6'!$J$10:$J$49,0)),"")</f>
        <v/>
      </c>
      <c r="C92" s="9">
        <f>IF(AND(matrizOK,$A92&lt;=nVariables,'M6'!$C$9&gt;0),INDEX('M6'!$G$10:$G$49,MATCH($A92,'M6'!$J$10:$J$49,0)),"")</f>
        <v/>
      </c>
      <c r="D92" s="8">
        <f>IF(AND(matrizOK,$A92&lt;=nVariables,'M6'!$C$9&gt;0),INDEX('M6'!$E$10:$E$49,MATCH($A92,'M6'!$J$10:$J$49,0)),"")</f>
        <v/>
      </c>
    </row>
    <row r="93" ht="22" customHeight="1" s="62">
      <c r="A93" s="6" t="n">
        <v>15</v>
      </c>
      <c r="B93" s="81">
        <f>IF(AND(matrizOK,$A93&lt;=nVariables,'M6'!$C$9&gt;0),INDEX('M6'!$B$10:$B$49,MATCH($A93,'M6'!$J$10:$J$49,0)),"")</f>
        <v/>
      </c>
      <c r="C93" s="9">
        <f>IF(AND(matrizOK,$A93&lt;=nVariables,'M6'!$C$9&gt;0),INDEX('M6'!$G$10:$G$49,MATCH($A93,'M6'!$J$10:$J$49,0)),"")</f>
        <v/>
      </c>
      <c r="D93" s="8">
        <f>IF(AND(matrizOK,$A93&lt;=nVariables,'M6'!$C$9&gt;0),INDEX('M6'!$E$10:$E$49,MATCH($A93,'M6'!$J$10:$J$49,0)),"")</f>
        <v/>
      </c>
    </row>
    <row r="94" ht="22" customHeight="1" s="62">
      <c r="A94" s="6" t="n">
        <v>16</v>
      </c>
      <c r="B94" s="81">
        <f>IF(AND(matrizOK,$A94&lt;=nVariables,'M6'!$C$9&gt;0),INDEX('M6'!$B$10:$B$49,MATCH($A94,'M6'!$J$10:$J$49,0)),"")</f>
        <v/>
      </c>
      <c r="C94" s="9">
        <f>IF(AND(matrizOK,$A94&lt;=nVariables,'M6'!$C$9&gt;0),INDEX('M6'!$G$10:$G$49,MATCH($A94,'M6'!$J$10:$J$49,0)),"")</f>
        <v/>
      </c>
      <c r="D94" s="8">
        <f>IF(AND(matrizOK,$A94&lt;=nVariables,'M6'!$C$9&gt;0),INDEX('M6'!$E$10:$E$49,MATCH($A94,'M6'!$J$10:$J$49,0)),"")</f>
        <v/>
      </c>
    </row>
    <row r="95" ht="22" customHeight="1" s="62">
      <c r="A95" s="6" t="n">
        <v>17</v>
      </c>
      <c r="B95" s="81">
        <f>IF(AND(matrizOK,$A95&lt;=nVariables,'M6'!$C$9&gt;0),INDEX('M6'!$B$10:$B$49,MATCH($A95,'M6'!$J$10:$J$49,0)),"")</f>
        <v/>
      </c>
      <c r="C95" s="9">
        <f>IF(AND(matrizOK,$A95&lt;=nVariables,'M6'!$C$9&gt;0),INDEX('M6'!$G$10:$G$49,MATCH($A95,'M6'!$J$10:$J$49,0)),"")</f>
        <v/>
      </c>
      <c r="D95" s="8">
        <f>IF(AND(matrizOK,$A95&lt;=nVariables,'M6'!$C$9&gt;0),INDEX('M6'!$E$10:$E$49,MATCH($A95,'M6'!$J$10:$J$49,0)),"")</f>
        <v/>
      </c>
    </row>
    <row r="96" ht="22" customHeight="1" s="62">
      <c r="A96" s="6" t="n">
        <v>18</v>
      </c>
      <c r="B96" s="81">
        <f>IF(AND(matrizOK,$A96&lt;=nVariables,'M6'!$C$9&gt;0),INDEX('M6'!$B$10:$B$49,MATCH($A96,'M6'!$J$10:$J$49,0)),"")</f>
        <v/>
      </c>
      <c r="C96" s="9">
        <f>IF(AND(matrizOK,$A96&lt;=nVariables,'M6'!$C$9&gt;0),INDEX('M6'!$G$10:$G$49,MATCH($A96,'M6'!$J$10:$J$49,0)),"")</f>
        <v/>
      </c>
      <c r="D96" s="8">
        <f>IF(AND(matrizOK,$A96&lt;=nVariables,'M6'!$C$9&gt;0),INDEX('M6'!$E$10:$E$49,MATCH($A96,'M6'!$J$10:$J$49,0)),"")</f>
        <v/>
      </c>
    </row>
    <row r="97" ht="22" customHeight="1" s="62">
      <c r="A97" s="6" t="n">
        <v>19</v>
      </c>
      <c r="B97" s="81">
        <f>IF(AND(matrizOK,$A97&lt;=nVariables,'M6'!$C$9&gt;0),INDEX('M6'!$B$10:$B$49,MATCH($A97,'M6'!$J$10:$J$49,0)),"")</f>
        <v/>
      </c>
      <c r="C97" s="9">
        <f>IF(AND(matrizOK,$A97&lt;=nVariables,'M6'!$C$9&gt;0),INDEX('M6'!$G$10:$G$49,MATCH($A97,'M6'!$J$10:$J$49,0)),"")</f>
        <v/>
      </c>
      <c r="D97" s="8">
        <f>IF(AND(matrizOK,$A97&lt;=nVariables,'M6'!$C$9&gt;0),INDEX('M6'!$E$10:$E$49,MATCH($A97,'M6'!$J$10:$J$49,0)),"")</f>
        <v/>
      </c>
    </row>
    <row r="98" ht="22" customHeight="1" s="62">
      <c r="A98" s="6" t="n">
        <v>20</v>
      </c>
      <c r="B98" s="81">
        <f>IF(AND(matrizOK,$A98&lt;=nVariables,'M6'!$C$9&gt;0),INDEX('M6'!$B$10:$B$49,MATCH($A98,'M6'!$J$10:$J$49,0)),"")</f>
        <v/>
      </c>
      <c r="C98" s="9">
        <f>IF(AND(matrizOK,$A98&lt;=nVariables,'M6'!$C$9&gt;0),INDEX('M6'!$G$10:$G$49,MATCH($A98,'M6'!$J$10:$J$49,0)),"")</f>
        <v/>
      </c>
      <c r="D98" s="8">
        <f>IF(AND(matrizOK,$A98&lt;=nVariables,'M6'!$C$9&gt;0),INDEX('M6'!$E$10:$E$49,MATCH($A98,'M6'!$J$10:$J$49,0)),"")</f>
        <v/>
      </c>
    </row>
    <row r="99" ht="22" customHeight="1" s="62">
      <c r="A99" s="6" t="n">
        <v>21</v>
      </c>
      <c r="B99" s="81">
        <f>IF(AND(matrizOK,$A99&lt;=nVariables,'M6'!$C$9&gt;0),INDEX('M6'!$B$10:$B$49,MATCH($A99,'M6'!$J$10:$J$49,0)),"")</f>
        <v/>
      </c>
      <c r="C99" s="9">
        <f>IF(AND(matrizOK,$A99&lt;=nVariables,'M6'!$C$9&gt;0),INDEX('M6'!$G$10:$G$49,MATCH($A99,'M6'!$J$10:$J$49,0)),"")</f>
        <v/>
      </c>
      <c r="D99" s="8">
        <f>IF(AND(matrizOK,$A99&lt;=nVariables,'M6'!$C$9&gt;0),INDEX('M6'!$E$10:$E$49,MATCH($A99,'M6'!$J$10:$J$49,0)),"")</f>
        <v/>
      </c>
    </row>
    <row r="100" ht="22" customHeight="1" s="62">
      <c r="A100" s="6" t="n">
        <v>22</v>
      </c>
      <c r="B100" s="81">
        <f>IF(AND(matrizOK,$A100&lt;=nVariables,'M6'!$C$9&gt;0),INDEX('M6'!$B$10:$B$49,MATCH($A100,'M6'!$J$10:$J$49,0)),"")</f>
        <v/>
      </c>
      <c r="C100" s="9">
        <f>IF(AND(matrizOK,$A100&lt;=nVariables,'M6'!$C$9&gt;0),INDEX('M6'!$G$10:$G$49,MATCH($A100,'M6'!$J$10:$J$49,0)),"")</f>
        <v/>
      </c>
      <c r="D100" s="8">
        <f>IF(AND(matrizOK,$A100&lt;=nVariables,'M6'!$C$9&gt;0),INDEX('M6'!$E$10:$E$49,MATCH($A100,'M6'!$J$10:$J$49,0)),"")</f>
        <v/>
      </c>
    </row>
    <row r="101" ht="22" customHeight="1" s="62">
      <c r="A101" s="6" t="n">
        <v>23</v>
      </c>
      <c r="B101" s="81">
        <f>IF(AND(matrizOK,$A101&lt;=nVariables,'M6'!$C$9&gt;0),INDEX('M6'!$B$10:$B$49,MATCH($A101,'M6'!$J$10:$J$49,0)),"")</f>
        <v/>
      </c>
      <c r="C101" s="9">
        <f>IF(AND(matrizOK,$A101&lt;=nVariables,'M6'!$C$9&gt;0),INDEX('M6'!$G$10:$G$49,MATCH($A101,'M6'!$J$10:$J$49,0)),"")</f>
        <v/>
      </c>
      <c r="D101" s="8">
        <f>IF(AND(matrizOK,$A101&lt;=nVariables,'M6'!$C$9&gt;0),INDEX('M6'!$E$10:$E$49,MATCH($A101,'M6'!$J$10:$J$49,0)),"")</f>
        <v/>
      </c>
    </row>
    <row r="102" ht="22" customHeight="1" s="62">
      <c r="A102" s="6" t="n">
        <v>24</v>
      </c>
      <c r="B102" s="81">
        <f>IF(AND(matrizOK,$A102&lt;=nVariables,'M6'!$C$9&gt;0),INDEX('M6'!$B$10:$B$49,MATCH($A102,'M6'!$J$10:$J$49,0)),"")</f>
        <v/>
      </c>
      <c r="C102" s="9">
        <f>IF(AND(matrizOK,$A102&lt;=nVariables,'M6'!$C$9&gt;0),INDEX('M6'!$G$10:$G$49,MATCH($A102,'M6'!$J$10:$J$49,0)),"")</f>
        <v/>
      </c>
      <c r="D102" s="8">
        <f>IF(AND(matrizOK,$A102&lt;=nVariables,'M6'!$C$9&gt;0),INDEX('M6'!$E$10:$E$49,MATCH($A102,'M6'!$J$10:$J$49,0)),"")</f>
        <v/>
      </c>
    </row>
    <row r="103" ht="22" customHeight="1" s="62">
      <c r="A103" s="6" t="n">
        <v>25</v>
      </c>
      <c r="B103" s="81">
        <f>IF(AND(matrizOK,$A103&lt;=nVariables,'M6'!$C$9&gt;0),INDEX('M6'!$B$10:$B$49,MATCH($A103,'M6'!$J$10:$J$49,0)),"")</f>
        <v/>
      </c>
      <c r="C103" s="9">
        <f>IF(AND(matrizOK,$A103&lt;=nVariables,'M6'!$C$9&gt;0),INDEX('M6'!$G$10:$G$49,MATCH($A103,'M6'!$J$10:$J$49,0)),"")</f>
        <v/>
      </c>
      <c r="D103" s="8">
        <f>IF(AND(matrizOK,$A103&lt;=nVariables,'M6'!$C$9&gt;0),INDEX('M6'!$E$10:$E$49,MATCH($A103,'M6'!$J$10:$J$49,0)),"")</f>
        <v/>
      </c>
    </row>
    <row r="104" ht="22" customHeight="1" s="62">
      <c r="A104" s="6" t="n">
        <v>26</v>
      </c>
      <c r="B104" s="81">
        <f>IF(AND(matrizOK,$A104&lt;=nVariables,'M6'!$C$9&gt;0),INDEX('M6'!$B$10:$B$49,MATCH($A104,'M6'!$J$10:$J$49,0)),"")</f>
        <v/>
      </c>
      <c r="C104" s="9">
        <f>IF(AND(matrizOK,$A104&lt;=nVariables,'M6'!$C$9&gt;0),INDEX('M6'!$G$10:$G$49,MATCH($A104,'M6'!$J$10:$J$49,0)),"")</f>
        <v/>
      </c>
      <c r="D104" s="8">
        <f>IF(AND(matrizOK,$A104&lt;=nVariables,'M6'!$C$9&gt;0),INDEX('M6'!$E$10:$E$49,MATCH($A104,'M6'!$J$10:$J$49,0)),"")</f>
        <v/>
      </c>
    </row>
    <row r="105" ht="22" customHeight="1" s="62">
      <c r="A105" s="6" t="n">
        <v>27</v>
      </c>
      <c r="B105" s="81">
        <f>IF(AND(matrizOK,$A105&lt;=nVariables,'M6'!$C$9&gt;0),INDEX('M6'!$B$10:$B$49,MATCH($A105,'M6'!$J$10:$J$49,0)),"")</f>
        <v/>
      </c>
      <c r="C105" s="9">
        <f>IF(AND(matrizOK,$A105&lt;=nVariables,'M6'!$C$9&gt;0),INDEX('M6'!$G$10:$G$49,MATCH($A105,'M6'!$J$10:$J$49,0)),"")</f>
        <v/>
      </c>
      <c r="D105" s="8">
        <f>IF(AND(matrizOK,$A105&lt;=nVariables,'M6'!$C$9&gt;0),INDEX('M6'!$E$10:$E$49,MATCH($A105,'M6'!$J$10:$J$49,0)),"")</f>
        <v/>
      </c>
    </row>
    <row r="106" ht="22" customHeight="1" s="62">
      <c r="A106" s="6" t="n">
        <v>28</v>
      </c>
      <c r="B106" s="81">
        <f>IF(AND(matrizOK,$A106&lt;=nVariables,'M6'!$C$9&gt;0),INDEX('M6'!$B$10:$B$49,MATCH($A106,'M6'!$J$10:$J$49,0)),"")</f>
        <v/>
      </c>
      <c r="C106" s="9">
        <f>IF(AND(matrizOK,$A106&lt;=nVariables,'M6'!$C$9&gt;0),INDEX('M6'!$G$10:$G$49,MATCH($A106,'M6'!$J$10:$J$49,0)),"")</f>
        <v/>
      </c>
      <c r="D106" s="8">
        <f>IF(AND(matrizOK,$A106&lt;=nVariables,'M6'!$C$9&gt;0),INDEX('M6'!$E$10:$E$49,MATCH($A106,'M6'!$J$10:$J$49,0)),"")</f>
        <v/>
      </c>
    </row>
    <row r="107" ht="22" customHeight="1" s="62">
      <c r="A107" s="6" t="n">
        <v>29</v>
      </c>
      <c r="B107" s="81">
        <f>IF(AND(matrizOK,$A107&lt;=nVariables,'M6'!$C$9&gt;0),INDEX('M6'!$B$10:$B$49,MATCH($A107,'M6'!$J$10:$J$49,0)),"")</f>
        <v/>
      </c>
      <c r="C107" s="9">
        <f>IF(AND(matrizOK,$A107&lt;=nVariables,'M6'!$C$9&gt;0),INDEX('M6'!$G$10:$G$49,MATCH($A107,'M6'!$J$10:$J$49,0)),"")</f>
        <v/>
      </c>
      <c r="D107" s="8">
        <f>IF(AND(matrizOK,$A107&lt;=nVariables,'M6'!$C$9&gt;0),INDEX('M6'!$E$10:$E$49,MATCH($A107,'M6'!$J$10:$J$49,0)),"")</f>
        <v/>
      </c>
    </row>
    <row r="108" ht="22" customHeight="1" s="62">
      <c r="A108" s="6" t="n">
        <v>30</v>
      </c>
      <c r="B108" s="81">
        <f>IF(AND(matrizOK,$A108&lt;=nVariables,'M6'!$C$9&gt;0),INDEX('M6'!$B$10:$B$49,MATCH($A108,'M6'!$J$10:$J$49,0)),"")</f>
        <v/>
      </c>
      <c r="C108" s="9">
        <f>IF(AND(matrizOK,$A108&lt;=nVariables,'M6'!$C$9&gt;0),INDEX('M6'!$G$10:$G$49,MATCH($A108,'M6'!$J$10:$J$49,0)),"")</f>
        <v/>
      </c>
      <c r="D108" s="8">
        <f>IF(AND(matrizOK,$A108&lt;=nVariables,'M6'!$C$9&gt;0),INDEX('M6'!$E$10:$E$49,MATCH($A108,'M6'!$J$10:$J$49,0)),"")</f>
        <v/>
      </c>
    </row>
    <row r="109" ht="22" customHeight="1" s="62">
      <c r="A109" s="6" t="n">
        <v>31</v>
      </c>
      <c r="B109" s="81">
        <f>IF(AND(matrizOK,$A109&lt;=nVariables,'M6'!$C$9&gt;0),INDEX('M6'!$B$10:$B$49,MATCH($A109,'M6'!$J$10:$J$49,0)),"")</f>
        <v/>
      </c>
      <c r="C109" s="9">
        <f>IF(AND(matrizOK,$A109&lt;=nVariables,'M6'!$C$9&gt;0),INDEX('M6'!$G$10:$G$49,MATCH($A109,'M6'!$J$10:$J$49,0)),"")</f>
        <v/>
      </c>
      <c r="D109" s="8">
        <f>IF(AND(matrizOK,$A109&lt;=nVariables,'M6'!$C$9&gt;0),INDEX('M6'!$E$10:$E$49,MATCH($A109,'M6'!$J$10:$J$49,0)),"")</f>
        <v/>
      </c>
    </row>
    <row r="110" ht="22" customHeight="1" s="62">
      <c r="A110" s="6" t="n">
        <v>32</v>
      </c>
      <c r="B110" s="81">
        <f>IF(AND(matrizOK,$A110&lt;=nVariables,'M6'!$C$9&gt;0),INDEX('M6'!$B$10:$B$49,MATCH($A110,'M6'!$J$10:$J$49,0)),"")</f>
        <v/>
      </c>
      <c r="C110" s="9">
        <f>IF(AND(matrizOK,$A110&lt;=nVariables,'M6'!$C$9&gt;0),INDEX('M6'!$G$10:$G$49,MATCH($A110,'M6'!$J$10:$J$49,0)),"")</f>
        <v/>
      </c>
      <c r="D110" s="8">
        <f>IF(AND(matrizOK,$A110&lt;=nVariables,'M6'!$C$9&gt;0),INDEX('M6'!$E$10:$E$49,MATCH($A110,'M6'!$J$10:$J$49,0)),"")</f>
        <v/>
      </c>
    </row>
    <row r="111" ht="22" customHeight="1" s="62">
      <c r="A111" s="6" t="n">
        <v>33</v>
      </c>
      <c r="B111" s="81">
        <f>IF(AND(matrizOK,$A111&lt;=nVariables,'M6'!$C$9&gt;0),INDEX('M6'!$B$10:$B$49,MATCH($A111,'M6'!$J$10:$J$49,0)),"")</f>
        <v/>
      </c>
      <c r="C111" s="9">
        <f>IF(AND(matrizOK,$A111&lt;=nVariables,'M6'!$C$9&gt;0),INDEX('M6'!$G$10:$G$49,MATCH($A111,'M6'!$J$10:$J$49,0)),"")</f>
        <v/>
      </c>
      <c r="D111" s="8">
        <f>IF(AND(matrizOK,$A111&lt;=nVariables,'M6'!$C$9&gt;0),INDEX('M6'!$E$10:$E$49,MATCH($A111,'M6'!$J$10:$J$49,0)),"")</f>
        <v/>
      </c>
    </row>
    <row r="112" ht="22" customHeight="1" s="62">
      <c r="A112" s="6" t="n">
        <v>34</v>
      </c>
      <c r="B112" s="81">
        <f>IF(AND(matrizOK,$A112&lt;=nVariables,'M6'!$C$9&gt;0),INDEX('M6'!$B$10:$B$49,MATCH($A112,'M6'!$J$10:$J$49,0)),"")</f>
        <v/>
      </c>
      <c r="C112" s="9">
        <f>IF(AND(matrizOK,$A112&lt;=nVariables,'M6'!$C$9&gt;0),INDEX('M6'!$G$10:$G$49,MATCH($A112,'M6'!$J$10:$J$49,0)),"")</f>
        <v/>
      </c>
      <c r="D112" s="8">
        <f>IF(AND(matrizOK,$A112&lt;=nVariables,'M6'!$C$9&gt;0),INDEX('M6'!$E$10:$E$49,MATCH($A112,'M6'!$J$10:$J$49,0)),"")</f>
        <v/>
      </c>
    </row>
    <row r="113" ht="22" customHeight="1" s="62">
      <c r="A113" s="6" t="n">
        <v>35</v>
      </c>
      <c r="B113" s="81">
        <f>IF(AND(matrizOK,$A113&lt;=nVariables,'M6'!$C$9&gt;0),INDEX('M6'!$B$10:$B$49,MATCH($A113,'M6'!$J$10:$J$49,0)),"")</f>
        <v/>
      </c>
      <c r="C113" s="9">
        <f>IF(AND(matrizOK,$A113&lt;=nVariables,'M6'!$C$9&gt;0),INDEX('M6'!$G$10:$G$49,MATCH($A113,'M6'!$J$10:$J$49,0)),"")</f>
        <v/>
      </c>
      <c r="D113" s="8">
        <f>IF(AND(matrizOK,$A113&lt;=nVariables,'M6'!$C$9&gt;0),INDEX('M6'!$E$10:$E$49,MATCH($A113,'M6'!$J$10:$J$49,0)),"")</f>
        <v/>
      </c>
    </row>
    <row r="114" ht="22" customHeight="1" s="62">
      <c r="A114" s="6" t="n">
        <v>36</v>
      </c>
      <c r="B114" s="81">
        <f>IF(AND(matrizOK,$A114&lt;=nVariables,'M6'!$C$9&gt;0),INDEX('M6'!$B$10:$B$49,MATCH($A114,'M6'!$J$10:$J$49,0)),"")</f>
        <v/>
      </c>
      <c r="C114" s="9">
        <f>IF(AND(matrizOK,$A114&lt;=nVariables,'M6'!$C$9&gt;0),INDEX('M6'!$G$10:$G$49,MATCH($A114,'M6'!$J$10:$J$49,0)),"")</f>
        <v/>
      </c>
      <c r="D114" s="8">
        <f>IF(AND(matrizOK,$A114&lt;=nVariables,'M6'!$C$9&gt;0),INDEX('M6'!$E$10:$E$49,MATCH($A114,'M6'!$J$10:$J$49,0)),"")</f>
        <v/>
      </c>
    </row>
    <row r="115" ht="22" customHeight="1" s="62">
      <c r="A115" s="6" t="n">
        <v>37</v>
      </c>
      <c r="B115" s="81">
        <f>IF(AND(matrizOK,$A115&lt;=nVariables,'M6'!$C$9&gt;0),INDEX('M6'!$B$10:$B$49,MATCH($A115,'M6'!$J$10:$J$49,0)),"")</f>
        <v/>
      </c>
      <c r="C115" s="9">
        <f>IF(AND(matrizOK,$A115&lt;=nVariables,'M6'!$C$9&gt;0),INDEX('M6'!$G$10:$G$49,MATCH($A115,'M6'!$J$10:$J$49,0)),"")</f>
        <v/>
      </c>
      <c r="D115" s="8">
        <f>IF(AND(matrizOK,$A115&lt;=nVariables,'M6'!$C$9&gt;0),INDEX('M6'!$E$10:$E$49,MATCH($A115,'M6'!$J$10:$J$49,0)),"")</f>
        <v/>
      </c>
    </row>
    <row r="116" ht="22" customHeight="1" s="62">
      <c r="A116" s="6" t="n">
        <v>38</v>
      </c>
      <c r="B116" s="81">
        <f>IF(AND(matrizOK,$A116&lt;=nVariables,'M6'!$C$9&gt;0),INDEX('M6'!$B$10:$B$49,MATCH($A116,'M6'!$J$10:$J$49,0)),"")</f>
        <v/>
      </c>
      <c r="C116" s="9">
        <f>IF(AND(matrizOK,$A116&lt;=nVariables,'M6'!$C$9&gt;0),INDEX('M6'!$G$10:$G$49,MATCH($A116,'M6'!$J$10:$J$49,0)),"")</f>
        <v/>
      </c>
      <c r="D116" s="8">
        <f>IF(AND(matrizOK,$A116&lt;=nVariables,'M6'!$C$9&gt;0),INDEX('M6'!$E$10:$E$49,MATCH($A116,'M6'!$J$10:$J$49,0)),"")</f>
        <v/>
      </c>
    </row>
    <row r="117" ht="22" customHeight="1" s="62">
      <c r="A117" s="6" t="n">
        <v>39</v>
      </c>
      <c r="B117" s="81">
        <f>IF(AND(matrizOK,$A117&lt;=nVariables,'M6'!$C$9&gt;0),INDEX('M6'!$B$10:$B$49,MATCH($A117,'M6'!$J$10:$J$49,0)),"")</f>
        <v/>
      </c>
      <c r="C117" s="9">
        <f>IF(AND(matrizOK,$A117&lt;=nVariables,'M6'!$C$9&gt;0),INDEX('M6'!$G$10:$G$49,MATCH($A117,'M6'!$J$10:$J$49,0)),"")</f>
        <v/>
      </c>
      <c r="D117" s="8">
        <f>IF(AND(matrizOK,$A117&lt;=nVariables,'M6'!$C$9&gt;0),INDEX('M6'!$E$10:$E$49,MATCH($A117,'M6'!$J$10:$J$49,0)),"")</f>
        <v/>
      </c>
    </row>
    <row r="118" ht="22" customHeight="1" s="62">
      <c r="A118" s="6" t="n">
        <v>40</v>
      </c>
      <c r="B118" s="81">
        <f>IF(AND(matrizOK,$A118&lt;=nVariables,'M6'!$C$9&gt;0),INDEX('M6'!$B$10:$B$49,MATCH($A118,'M6'!$J$10:$J$49,0)),"")</f>
        <v/>
      </c>
      <c r="C118" s="9">
        <f>IF(AND(matrizOK,$A118&lt;=nVariables,'M6'!$C$9&gt;0),INDEX('M6'!$G$10:$G$49,MATCH($A118,'M6'!$J$10:$J$49,0)),"")</f>
        <v/>
      </c>
      <c r="D118" s="8">
        <f>IF(AND(matrizOK,$A118&lt;=nVariables,'M6'!$C$9&gt;0),INDEX('M6'!$E$10:$E$49,MATCH($A118,'M6'!$J$10:$J$49,0)),"")</f>
        <v/>
      </c>
    </row>
    <row r="121" ht="24" customHeight="1" s="62">
      <c r="A121" s="69" t="inlineStr">
        <is>
          <t>Puesto</t>
        </is>
      </c>
      <c r="B121" s="69" t="inlineStr">
        <is>
          <t>Orden de dependencia en M6</t>
        </is>
      </c>
      <c r="C121" s="69" t="inlineStr">
        <is>
          <t>Rango real</t>
        </is>
      </c>
      <c r="D121" s="69" t="inlineStr">
        <is>
          <t>Valor %</t>
        </is>
      </c>
    </row>
    <row r="122" ht="22" customHeight="1" s="62">
      <c r="A122" s="6" t="n">
        <v>1</v>
      </c>
      <c r="B122" s="81">
        <f>IF(AND(matrizOK,$A122&lt;=nVariables,'M6'!$C$9&gt;0),INDEX('M6'!$B$10:$B$49,MATCH($A122,'M6'!$K$10:$K$49,0)),"")</f>
        <v/>
      </c>
      <c r="C122" s="9">
        <f>IF(AND(matrizOK,$A122&lt;=nVariables,'M6'!$C$9&gt;0),INDEX('M6'!$H$10:$H$49,MATCH($A122,'M6'!$K$10:$K$49,0)),"")</f>
        <v/>
      </c>
      <c r="D122" s="8">
        <f>IF(AND(matrizOK,$A122&lt;=nVariables,'M6'!$C$9&gt;0),INDEX('M6'!$F$10:$F$49,MATCH($A122,'M6'!$K$10:$K$49,0)),"")</f>
        <v/>
      </c>
    </row>
    <row r="123" ht="22" customHeight="1" s="62">
      <c r="A123" s="6" t="n">
        <v>2</v>
      </c>
      <c r="B123" s="81">
        <f>IF(AND(matrizOK,$A123&lt;=nVariables,'M6'!$C$9&gt;0),INDEX('M6'!$B$10:$B$49,MATCH($A123,'M6'!$K$10:$K$49,0)),"")</f>
        <v/>
      </c>
      <c r="C123" s="9">
        <f>IF(AND(matrizOK,$A123&lt;=nVariables,'M6'!$C$9&gt;0),INDEX('M6'!$H$10:$H$49,MATCH($A123,'M6'!$K$10:$K$49,0)),"")</f>
        <v/>
      </c>
      <c r="D123" s="8">
        <f>IF(AND(matrizOK,$A123&lt;=nVariables,'M6'!$C$9&gt;0),INDEX('M6'!$F$10:$F$49,MATCH($A123,'M6'!$K$10:$K$49,0)),"")</f>
        <v/>
      </c>
    </row>
    <row r="124" ht="22" customHeight="1" s="62">
      <c r="A124" s="6" t="n">
        <v>3</v>
      </c>
      <c r="B124" s="81">
        <f>IF(AND(matrizOK,$A124&lt;=nVariables,'M6'!$C$9&gt;0),INDEX('M6'!$B$10:$B$49,MATCH($A124,'M6'!$K$10:$K$49,0)),"")</f>
        <v/>
      </c>
      <c r="C124" s="9">
        <f>IF(AND(matrizOK,$A124&lt;=nVariables,'M6'!$C$9&gt;0),INDEX('M6'!$H$10:$H$49,MATCH($A124,'M6'!$K$10:$K$49,0)),"")</f>
        <v/>
      </c>
      <c r="D124" s="8">
        <f>IF(AND(matrizOK,$A124&lt;=nVariables,'M6'!$C$9&gt;0),INDEX('M6'!$F$10:$F$49,MATCH($A124,'M6'!$K$10:$K$49,0)),"")</f>
        <v/>
      </c>
    </row>
    <row r="125" ht="22" customHeight="1" s="62">
      <c r="A125" s="6" t="n">
        <v>4</v>
      </c>
      <c r="B125" s="81">
        <f>IF(AND(matrizOK,$A125&lt;=nVariables,'M6'!$C$9&gt;0),INDEX('M6'!$B$10:$B$49,MATCH($A125,'M6'!$K$10:$K$49,0)),"")</f>
        <v/>
      </c>
      <c r="C125" s="9">
        <f>IF(AND(matrizOK,$A125&lt;=nVariables,'M6'!$C$9&gt;0),INDEX('M6'!$H$10:$H$49,MATCH($A125,'M6'!$K$10:$K$49,0)),"")</f>
        <v/>
      </c>
      <c r="D125" s="8">
        <f>IF(AND(matrizOK,$A125&lt;=nVariables,'M6'!$C$9&gt;0),INDEX('M6'!$F$10:$F$49,MATCH($A125,'M6'!$K$10:$K$49,0)),"")</f>
        <v/>
      </c>
    </row>
    <row r="126" ht="22" customHeight="1" s="62">
      <c r="A126" s="6" t="n">
        <v>5</v>
      </c>
      <c r="B126" s="81">
        <f>IF(AND(matrizOK,$A126&lt;=nVariables,'M6'!$C$9&gt;0),INDEX('M6'!$B$10:$B$49,MATCH($A126,'M6'!$K$10:$K$49,0)),"")</f>
        <v/>
      </c>
      <c r="C126" s="9">
        <f>IF(AND(matrizOK,$A126&lt;=nVariables,'M6'!$C$9&gt;0),INDEX('M6'!$H$10:$H$49,MATCH($A126,'M6'!$K$10:$K$49,0)),"")</f>
        <v/>
      </c>
      <c r="D126" s="8">
        <f>IF(AND(matrizOK,$A126&lt;=nVariables,'M6'!$C$9&gt;0),INDEX('M6'!$F$10:$F$49,MATCH($A126,'M6'!$K$10:$K$49,0)),"")</f>
        <v/>
      </c>
    </row>
    <row r="127" ht="22" customHeight="1" s="62">
      <c r="A127" s="6" t="n">
        <v>6</v>
      </c>
      <c r="B127" s="81">
        <f>IF(AND(matrizOK,$A127&lt;=nVariables,'M6'!$C$9&gt;0),INDEX('M6'!$B$10:$B$49,MATCH($A127,'M6'!$K$10:$K$49,0)),"")</f>
        <v/>
      </c>
      <c r="C127" s="9">
        <f>IF(AND(matrizOK,$A127&lt;=nVariables,'M6'!$C$9&gt;0),INDEX('M6'!$H$10:$H$49,MATCH($A127,'M6'!$K$10:$K$49,0)),"")</f>
        <v/>
      </c>
      <c r="D127" s="8">
        <f>IF(AND(matrizOK,$A127&lt;=nVariables,'M6'!$C$9&gt;0),INDEX('M6'!$F$10:$F$49,MATCH($A127,'M6'!$K$10:$K$49,0)),"")</f>
        <v/>
      </c>
    </row>
    <row r="128" ht="22" customHeight="1" s="62">
      <c r="A128" s="6" t="n">
        <v>7</v>
      </c>
      <c r="B128" s="81">
        <f>IF(AND(matrizOK,$A128&lt;=nVariables,'M6'!$C$9&gt;0),INDEX('M6'!$B$10:$B$49,MATCH($A128,'M6'!$K$10:$K$49,0)),"")</f>
        <v/>
      </c>
      <c r="C128" s="9">
        <f>IF(AND(matrizOK,$A128&lt;=nVariables,'M6'!$C$9&gt;0),INDEX('M6'!$H$10:$H$49,MATCH($A128,'M6'!$K$10:$K$49,0)),"")</f>
        <v/>
      </c>
      <c r="D128" s="8">
        <f>IF(AND(matrizOK,$A128&lt;=nVariables,'M6'!$C$9&gt;0),INDEX('M6'!$F$10:$F$49,MATCH($A128,'M6'!$K$10:$K$49,0)),"")</f>
        <v/>
      </c>
    </row>
    <row r="129" ht="22" customHeight="1" s="62">
      <c r="A129" s="6" t="n">
        <v>8</v>
      </c>
      <c r="B129" s="81">
        <f>IF(AND(matrizOK,$A129&lt;=nVariables,'M6'!$C$9&gt;0),INDEX('M6'!$B$10:$B$49,MATCH($A129,'M6'!$K$10:$K$49,0)),"")</f>
        <v/>
      </c>
      <c r="C129" s="9">
        <f>IF(AND(matrizOK,$A129&lt;=nVariables,'M6'!$C$9&gt;0),INDEX('M6'!$H$10:$H$49,MATCH($A129,'M6'!$K$10:$K$49,0)),"")</f>
        <v/>
      </c>
      <c r="D129" s="8">
        <f>IF(AND(matrizOK,$A129&lt;=nVariables,'M6'!$C$9&gt;0),INDEX('M6'!$F$10:$F$49,MATCH($A129,'M6'!$K$10:$K$49,0)),"")</f>
        <v/>
      </c>
    </row>
    <row r="130" ht="22" customHeight="1" s="62">
      <c r="A130" s="6" t="n">
        <v>9</v>
      </c>
      <c r="B130" s="81">
        <f>IF(AND(matrizOK,$A130&lt;=nVariables,'M6'!$C$9&gt;0),INDEX('M6'!$B$10:$B$49,MATCH($A130,'M6'!$K$10:$K$49,0)),"")</f>
        <v/>
      </c>
      <c r="C130" s="9">
        <f>IF(AND(matrizOK,$A130&lt;=nVariables,'M6'!$C$9&gt;0),INDEX('M6'!$H$10:$H$49,MATCH($A130,'M6'!$K$10:$K$49,0)),"")</f>
        <v/>
      </c>
      <c r="D130" s="8">
        <f>IF(AND(matrizOK,$A130&lt;=nVariables,'M6'!$C$9&gt;0),INDEX('M6'!$F$10:$F$49,MATCH($A130,'M6'!$K$10:$K$49,0)),"")</f>
        <v/>
      </c>
    </row>
    <row r="131" ht="22" customHeight="1" s="62">
      <c r="A131" s="6" t="n">
        <v>10</v>
      </c>
      <c r="B131" s="81">
        <f>IF(AND(matrizOK,$A131&lt;=nVariables,'M6'!$C$9&gt;0),INDEX('M6'!$B$10:$B$49,MATCH($A131,'M6'!$K$10:$K$49,0)),"")</f>
        <v/>
      </c>
      <c r="C131" s="9">
        <f>IF(AND(matrizOK,$A131&lt;=nVariables,'M6'!$C$9&gt;0),INDEX('M6'!$H$10:$H$49,MATCH($A131,'M6'!$K$10:$K$49,0)),"")</f>
        <v/>
      </c>
      <c r="D131" s="8">
        <f>IF(AND(matrizOK,$A131&lt;=nVariables,'M6'!$C$9&gt;0),INDEX('M6'!$F$10:$F$49,MATCH($A131,'M6'!$K$10:$K$49,0)),"")</f>
        <v/>
      </c>
    </row>
    <row r="132" ht="22" customHeight="1" s="62">
      <c r="A132" s="6" t="n">
        <v>11</v>
      </c>
      <c r="B132" s="81">
        <f>IF(AND(matrizOK,$A132&lt;=nVariables,'M6'!$C$9&gt;0),INDEX('M6'!$B$10:$B$49,MATCH($A132,'M6'!$K$10:$K$49,0)),"")</f>
        <v/>
      </c>
      <c r="C132" s="9">
        <f>IF(AND(matrizOK,$A132&lt;=nVariables,'M6'!$C$9&gt;0),INDEX('M6'!$H$10:$H$49,MATCH($A132,'M6'!$K$10:$K$49,0)),"")</f>
        <v/>
      </c>
      <c r="D132" s="8">
        <f>IF(AND(matrizOK,$A132&lt;=nVariables,'M6'!$C$9&gt;0),INDEX('M6'!$F$10:$F$49,MATCH($A132,'M6'!$K$10:$K$49,0)),"")</f>
        <v/>
      </c>
    </row>
    <row r="133" ht="22" customHeight="1" s="62">
      <c r="A133" s="6" t="n">
        <v>12</v>
      </c>
      <c r="B133" s="81">
        <f>IF(AND(matrizOK,$A133&lt;=nVariables,'M6'!$C$9&gt;0),INDEX('M6'!$B$10:$B$49,MATCH($A133,'M6'!$K$10:$K$49,0)),"")</f>
        <v/>
      </c>
      <c r="C133" s="9">
        <f>IF(AND(matrizOK,$A133&lt;=nVariables,'M6'!$C$9&gt;0),INDEX('M6'!$H$10:$H$49,MATCH($A133,'M6'!$K$10:$K$49,0)),"")</f>
        <v/>
      </c>
      <c r="D133" s="8">
        <f>IF(AND(matrizOK,$A133&lt;=nVariables,'M6'!$C$9&gt;0),INDEX('M6'!$F$10:$F$49,MATCH($A133,'M6'!$K$10:$K$49,0)),"")</f>
        <v/>
      </c>
    </row>
    <row r="134" ht="22" customHeight="1" s="62">
      <c r="A134" s="6" t="n">
        <v>13</v>
      </c>
      <c r="B134" s="81">
        <f>IF(AND(matrizOK,$A134&lt;=nVariables,'M6'!$C$9&gt;0),INDEX('M6'!$B$10:$B$49,MATCH($A134,'M6'!$K$10:$K$49,0)),"")</f>
        <v/>
      </c>
      <c r="C134" s="9">
        <f>IF(AND(matrizOK,$A134&lt;=nVariables,'M6'!$C$9&gt;0),INDEX('M6'!$H$10:$H$49,MATCH($A134,'M6'!$K$10:$K$49,0)),"")</f>
        <v/>
      </c>
      <c r="D134" s="8">
        <f>IF(AND(matrizOK,$A134&lt;=nVariables,'M6'!$C$9&gt;0),INDEX('M6'!$F$10:$F$49,MATCH($A134,'M6'!$K$10:$K$49,0)),"")</f>
        <v/>
      </c>
    </row>
    <row r="135" ht="22" customHeight="1" s="62">
      <c r="A135" s="6" t="n">
        <v>14</v>
      </c>
      <c r="B135" s="81">
        <f>IF(AND(matrizOK,$A135&lt;=nVariables,'M6'!$C$9&gt;0),INDEX('M6'!$B$10:$B$49,MATCH($A135,'M6'!$K$10:$K$49,0)),"")</f>
        <v/>
      </c>
      <c r="C135" s="9">
        <f>IF(AND(matrizOK,$A135&lt;=nVariables,'M6'!$C$9&gt;0),INDEX('M6'!$H$10:$H$49,MATCH($A135,'M6'!$K$10:$K$49,0)),"")</f>
        <v/>
      </c>
      <c r="D135" s="8">
        <f>IF(AND(matrizOK,$A135&lt;=nVariables,'M6'!$C$9&gt;0),INDEX('M6'!$F$10:$F$49,MATCH($A135,'M6'!$K$10:$K$49,0)),"")</f>
        <v/>
      </c>
    </row>
    <row r="136" ht="22" customHeight="1" s="62">
      <c r="A136" s="6" t="n">
        <v>15</v>
      </c>
      <c r="B136" s="81">
        <f>IF(AND(matrizOK,$A136&lt;=nVariables,'M6'!$C$9&gt;0),INDEX('M6'!$B$10:$B$49,MATCH($A136,'M6'!$K$10:$K$49,0)),"")</f>
        <v/>
      </c>
      <c r="C136" s="9">
        <f>IF(AND(matrizOK,$A136&lt;=nVariables,'M6'!$C$9&gt;0),INDEX('M6'!$H$10:$H$49,MATCH($A136,'M6'!$K$10:$K$49,0)),"")</f>
        <v/>
      </c>
      <c r="D136" s="8">
        <f>IF(AND(matrizOK,$A136&lt;=nVariables,'M6'!$C$9&gt;0),INDEX('M6'!$F$10:$F$49,MATCH($A136,'M6'!$K$10:$K$49,0)),"")</f>
        <v/>
      </c>
    </row>
    <row r="137" ht="22" customHeight="1" s="62">
      <c r="A137" s="6" t="n">
        <v>16</v>
      </c>
      <c r="B137" s="81">
        <f>IF(AND(matrizOK,$A137&lt;=nVariables,'M6'!$C$9&gt;0),INDEX('M6'!$B$10:$B$49,MATCH($A137,'M6'!$K$10:$K$49,0)),"")</f>
        <v/>
      </c>
      <c r="C137" s="9">
        <f>IF(AND(matrizOK,$A137&lt;=nVariables,'M6'!$C$9&gt;0),INDEX('M6'!$H$10:$H$49,MATCH($A137,'M6'!$K$10:$K$49,0)),"")</f>
        <v/>
      </c>
      <c r="D137" s="8">
        <f>IF(AND(matrizOK,$A137&lt;=nVariables,'M6'!$C$9&gt;0),INDEX('M6'!$F$10:$F$49,MATCH($A137,'M6'!$K$10:$K$49,0)),"")</f>
        <v/>
      </c>
    </row>
    <row r="138" ht="22" customHeight="1" s="62">
      <c r="A138" s="6" t="n">
        <v>17</v>
      </c>
      <c r="B138" s="81">
        <f>IF(AND(matrizOK,$A138&lt;=nVariables,'M6'!$C$9&gt;0),INDEX('M6'!$B$10:$B$49,MATCH($A138,'M6'!$K$10:$K$49,0)),"")</f>
        <v/>
      </c>
      <c r="C138" s="9">
        <f>IF(AND(matrizOK,$A138&lt;=nVariables,'M6'!$C$9&gt;0),INDEX('M6'!$H$10:$H$49,MATCH($A138,'M6'!$K$10:$K$49,0)),"")</f>
        <v/>
      </c>
      <c r="D138" s="8">
        <f>IF(AND(matrizOK,$A138&lt;=nVariables,'M6'!$C$9&gt;0),INDEX('M6'!$F$10:$F$49,MATCH($A138,'M6'!$K$10:$K$49,0)),"")</f>
        <v/>
      </c>
    </row>
    <row r="139" ht="22" customHeight="1" s="62">
      <c r="A139" s="6" t="n">
        <v>18</v>
      </c>
      <c r="B139" s="81">
        <f>IF(AND(matrizOK,$A139&lt;=nVariables,'M6'!$C$9&gt;0),INDEX('M6'!$B$10:$B$49,MATCH($A139,'M6'!$K$10:$K$49,0)),"")</f>
        <v/>
      </c>
      <c r="C139" s="9">
        <f>IF(AND(matrizOK,$A139&lt;=nVariables,'M6'!$C$9&gt;0),INDEX('M6'!$H$10:$H$49,MATCH($A139,'M6'!$K$10:$K$49,0)),"")</f>
        <v/>
      </c>
      <c r="D139" s="8">
        <f>IF(AND(matrizOK,$A139&lt;=nVariables,'M6'!$C$9&gt;0),INDEX('M6'!$F$10:$F$49,MATCH($A139,'M6'!$K$10:$K$49,0)),"")</f>
        <v/>
      </c>
    </row>
    <row r="140" ht="22" customHeight="1" s="62">
      <c r="A140" s="6" t="n">
        <v>19</v>
      </c>
      <c r="B140" s="81">
        <f>IF(AND(matrizOK,$A140&lt;=nVariables,'M6'!$C$9&gt;0),INDEX('M6'!$B$10:$B$49,MATCH($A140,'M6'!$K$10:$K$49,0)),"")</f>
        <v/>
      </c>
      <c r="C140" s="9">
        <f>IF(AND(matrizOK,$A140&lt;=nVariables,'M6'!$C$9&gt;0),INDEX('M6'!$H$10:$H$49,MATCH($A140,'M6'!$K$10:$K$49,0)),"")</f>
        <v/>
      </c>
      <c r="D140" s="8">
        <f>IF(AND(matrizOK,$A140&lt;=nVariables,'M6'!$C$9&gt;0),INDEX('M6'!$F$10:$F$49,MATCH($A140,'M6'!$K$10:$K$49,0)),"")</f>
        <v/>
      </c>
    </row>
    <row r="141" ht="22" customHeight="1" s="62">
      <c r="A141" s="6" t="n">
        <v>20</v>
      </c>
      <c r="B141" s="81">
        <f>IF(AND(matrizOK,$A141&lt;=nVariables,'M6'!$C$9&gt;0),INDEX('M6'!$B$10:$B$49,MATCH($A141,'M6'!$K$10:$K$49,0)),"")</f>
        <v/>
      </c>
      <c r="C141" s="9">
        <f>IF(AND(matrizOK,$A141&lt;=nVariables,'M6'!$C$9&gt;0),INDEX('M6'!$H$10:$H$49,MATCH($A141,'M6'!$K$10:$K$49,0)),"")</f>
        <v/>
      </c>
      <c r="D141" s="8">
        <f>IF(AND(matrizOK,$A141&lt;=nVariables,'M6'!$C$9&gt;0),INDEX('M6'!$F$10:$F$49,MATCH($A141,'M6'!$K$10:$K$49,0)),"")</f>
        <v/>
      </c>
    </row>
    <row r="142" ht="22" customHeight="1" s="62">
      <c r="A142" s="6" t="n">
        <v>21</v>
      </c>
      <c r="B142" s="81">
        <f>IF(AND(matrizOK,$A142&lt;=nVariables,'M6'!$C$9&gt;0),INDEX('M6'!$B$10:$B$49,MATCH($A142,'M6'!$K$10:$K$49,0)),"")</f>
        <v/>
      </c>
      <c r="C142" s="9">
        <f>IF(AND(matrizOK,$A142&lt;=nVariables,'M6'!$C$9&gt;0),INDEX('M6'!$H$10:$H$49,MATCH($A142,'M6'!$K$10:$K$49,0)),"")</f>
        <v/>
      </c>
      <c r="D142" s="8">
        <f>IF(AND(matrizOK,$A142&lt;=nVariables,'M6'!$C$9&gt;0),INDEX('M6'!$F$10:$F$49,MATCH($A142,'M6'!$K$10:$K$49,0)),"")</f>
        <v/>
      </c>
    </row>
    <row r="143" ht="22" customHeight="1" s="62">
      <c r="A143" s="6" t="n">
        <v>22</v>
      </c>
      <c r="B143" s="81">
        <f>IF(AND(matrizOK,$A143&lt;=nVariables,'M6'!$C$9&gt;0),INDEX('M6'!$B$10:$B$49,MATCH($A143,'M6'!$K$10:$K$49,0)),"")</f>
        <v/>
      </c>
      <c r="C143" s="9">
        <f>IF(AND(matrizOK,$A143&lt;=nVariables,'M6'!$C$9&gt;0),INDEX('M6'!$H$10:$H$49,MATCH($A143,'M6'!$K$10:$K$49,0)),"")</f>
        <v/>
      </c>
      <c r="D143" s="8">
        <f>IF(AND(matrizOK,$A143&lt;=nVariables,'M6'!$C$9&gt;0),INDEX('M6'!$F$10:$F$49,MATCH($A143,'M6'!$K$10:$K$49,0)),"")</f>
        <v/>
      </c>
    </row>
    <row r="144" ht="22" customHeight="1" s="62">
      <c r="A144" s="6" t="n">
        <v>23</v>
      </c>
      <c r="B144" s="81">
        <f>IF(AND(matrizOK,$A144&lt;=nVariables,'M6'!$C$9&gt;0),INDEX('M6'!$B$10:$B$49,MATCH($A144,'M6'!$K$10:$K$49,0)),"")</f>
        <v/>
      </c>
      <c r="C144" s="9">
        <f>IF(AND(matrizOK,$A144&lt;=nVariables,'M6'!$C$9&gt;0),INDEX('M6'!$H$10:$H$49,MATCH($A144,'M6'!$K$10:$K$49,0)),"")</f>
        <v/>
      </c>
      <c r="D144" s="8">
        <f>IF(AND(matrizOK,$A144&lt;=nVariables,'M6'!$C$9&gt;0),INDEX('M6'!$F$10:$F$49,MATCH($A144,'M6'!$K$10:$K$49,0)),"")</f>
        <v/>
      </c>
    </row>
    <row r="145" ht="22" customHeight="1" s="62">
      <c r="A145" s="6" t="n">
        <v>24</v>
      </c>
      <c r="B145" s="81">
        <f>IF(AND(matrizOK,$A145&lt;=nVariables,'M6'!$C$9&gt;0),INDEX('M6'!$B$10:$B$49,MATCH($A145,'M6'!$K$10:$K$49,0)),"")</f>
        <v/>
      </c>
      <c r="C145" s="9">
        <f>IF(AND(matrizOK,$A145&lt;=nVariables,'M6'!$C$9&gt;0),INDEX('M6'!$H$10:$H$49,MATCH($A145,'M6'!$K$10:$K$49,0)),"")</f>
        <v/>
      </c>
      <c r="D145" s="8">
        <f>IF(AND(matrizOK,$A145&lt;=nVariables,'M6'!$C$9&gt;0),INDEX('M6'!$F$10:$F$49,MATCH($A145,'M6'!$K$10:$K$49,0)),"")</f>
        <v/>
      </c>
    </row>
    <row r="146" ht="22" customHeight="1" s="62">
      <c r="A146" s="6" t="n">
        <v>25</v>
      </c>
      <c r="B146" s="81">
        <f>IF(AND(matrizOK,$A146&lt;=nVariables,'M6'!$C$9&gt;0),INDEX('M6'!$B$10:$B$49,MATCH($A146,'M6'!$K$10:$K$49,0)),"")</f>
        <v/>
      </c>
      <c r="C146" s="9">
        <f>IF(AND(matrizOK,$A146&lt;=nVariables,'M6'!$C$9&gt;0),INDEX('M6'!$H$10:$H$49,MATCH($A146,'M6'!$K$10:$K$49,0)),"")</f>
        <v/>
      </c>
      <c r="D146" s="8">
        <f>IF(AND(matrizOK,$A146&lt;=nVariables,'M6'!$C$9&gt;0),INDEX('M6'!$F$10:$F$49,MATCH($A146,'M6'!$K$10:$K$49,0)),"")</f>
        <v/>
      </c>
    </row>
    <row r="147" ht="22" customHeight="1" s="62">
      <c r="A147" s="6" t="n">
        <v>26</v>
      </c>
      <c r="B147" s="81">
        <f>IF(AND(matrizOK,$A147&lt;=nVariables,'M6'!$C$9&gt;0),INDEX('M6'!$B$10:$B$49,MATCH($A147,'M6'!$K$10:$K$49,0)),"")</f>
        <v/>
      </c>
      <c r="C147" s="9">
        <f>IF(AND(matrizOK,$A147&lt;=nVariables,'M6'!$C$9&gt;0),INDEX('M6'!$H$10:$H$49,MATCH($A147,'M6'!$K$10:$K$49,0)),"")</f>
        <v/>
      </c>
      <c r="D147" s="8">
        <f>IF(AND(matrizOK,$A147&lt;=nVariables,'M6'!$C$9&gt;0),INDEX('M6'!$F$10:$F$49,MATCH($A147,'M6'!$K$10:$K$49,0)),"")</f>
        <v/>
      </c>
    </row>
    <row r="148" ht="22" customHeight="1" s="62">
      <c r="A148" s="6" t="n">
        <v>27</v>
      </c>
      <c r="B148" s="81">
        <f>IF(AND(matrizOK,$A148&lt;=nVariables,'M6'!$C$9&gt;0),INDEX('M6'!$B$10:$B$49,MATCH($A148,'M6'!$K$10:$K$49,0)),"")</f>
        <v/>
      </c>
      <c r="C148" s="9">
        <f>IF(AND(matrizOK,$A148&lt;=nVariables,'M6'!$C$9&gt;0),INDEX('M6'!$H$10:$H$49,MATCH($A148,'M6'!$K$10:$K$49,0)),"")</f>
        <v/>
      </c>
      <c r="D148" s="8">
        <f>IF(AND(matrizOK,$A148&lt;=nVariables,'M6'!$C$9&gt;0),INDEX('M6'!$F$10:$F$49,MATCH($A148,'M6'!$K$10:$K$49,0)),"")</f>
        <v/>
      </c>
    </row>
    <row r="149" ht="22" customHeight="1" s="62">
      <c r="A149" s="6" t="n">
        <v>28</v>
      </c>
      <c r="B149" s="81">
        <f>IF(AND(matrizOK,$A149&lt;=nVariables,'M6'!$C$9&gt;0),INDEX('M6'!$B$10:$B$49,MATCH($A149,'M6'!$K$10:$K$49,0)),"")</f>
        <v/>
      </c>
      <c r="C149" s="9">
        <f>IF(AND(matrizOK,$A149&lt;=nVariables,'M6'!$C$9&gt;0),INDEX('M6'!$H$10:$H$49,MATCH($A149,'M6'!$K$10:$K$49,0)),"")</f>
        <v/>
      </c>
      <c r="D149" s="8">
        <f>IF(AND(matrizOK,$A149&lt;=nVariables,'M6'!$C$9&gt;0),INDEX('M6'!$F$10:$F$49,MATCH($A149,'M6'!$K$10:$K$49,0)),"")</f>
        <v/>
      </c>
    </row>
    <row r="150" ht="22" customHeight="1" s="62">
      <c r="A150" s="6" t="n">
        <v>29</v>
      </c>
      <c r="B150" s="81">
        <f>IF(AND(matrizOK,$A150&lt;=nVariables,'M6'!$C$9&gt;0),INDEX('M6'!$B$10:$B$49,MATCH($A150,'M6'!$K$10:$K$49,0)),"")</f>
        <v/>
      </c>
      <c r="C150" s="9">
        <f>IF(AND(matrizOK,$A150&lt;=nVariables,'M6'!$C$9&gt;0),INDEX('M6'!$H$10:$H$49,MATCH($A150,'M6'!$K$10:$K$49,0)),"")</f>
        <v/>
      </c>
      <c r="D150" s="8">
        <f>IF(AND(matrizOK,$A150&lt;=nVariables,'M6'!$C$9&gt;0),INDEX('M6'!$F$10:$F$49,MATCH($A150,'M6'!$K$10:$K$49,0)),"")</f>
        <v/>
      </c>
    </row>
    <row r="151" ht="22" customHeight="1" s="62">
      <c r="A151" s="6" t="n">
        <v>30</v>
      </c>
      <c r="B151" s="81">
        <f>IF(AND(matrizOK,$A151&lt;=nVariables,'M6'!$C$9&gt;0),INDEX('M6'!$B$10:$B$49,MATCH($A151,'M6'!$K$10:$K$49,0)),"")</f>
        <v/>
      </c>
      <c r="C151" s="9">
        <f>IF(AND(matrizOK,$A151&lt;=nVariables,'M6'!$C$9&gt;0),INDEX('M6'!$H$10:$H$49,MATCH($A151,'M6'!$K$10:$K$49,0)),"")</f>
        <v/>
      </c>
      <c r="D151" s="8">
        <f>IF(AND(matrizOK,$A151&lt;=nVariables,'M6'!$C$9&gt;0),INDEX('M6'!$F$10:$F$49,MATCH($A151,'M6'!$K$10:$K$49,0)),"")</f>
        <v/>
      </c>
    </row>
    <row r="152" ht="22" customHeight="1" s="62">
      <c r="A152" s="6" t="n">
        <v>31</v>
      </c>
      <c r="B152" s="81">
        <f>IF(AND(matrizOK,$A152&lt;=nVariables,'M6'!$C$9&gt;0),INDEX('M6'!$B$10:$B$49,MATCH($A152,'M6'!$K$10:$K$49,0)),"")</f>
        <v/>
      </c>
      <c r="C152" s="9">
        <f>IF(AND(matrizOK,$A152&lt;=nVariables,'M6'!$C$9&gt;0),INDEX('M6'!$H$10:$H$49,MATCH($A152,'M6'!$K$10:$K$49,0)),"")</f>
        <v/>
      </c>
      <c r="D152" s="8">
        <f>IF(AND(matrizOK,$A152&lt;=nVariables,'M6'!$C$9&gt;0),INDEX('M6'!$F$10:$F$49,MATCH($A152,'M6'!$K$10:$K$49,0)),"")</f>
        <v/>
      </c>
    </row>
    <row r="153" ht="22" customHeight="1" s="62">
      <c r="A153" s="6" t="n">
        <v>32</v>
      </c>
      <c r="B153" s="81">
        <f>IF(AND(matrizOK,$A153&lt;=nVariables,'M6'!$C$9&gt;0),INDEX('M6'!$B$10:$B$49,MATCH($A153,'M6'!$K$10:$K$49,0)),"")</f>
        <v/>
      </c>
      <c r="C153" s="9">
        <f>IF(AND(matrizOK,$A153&lt;=nVariables,'M6'!$C$9&gt;0),INDEX('M6'!$H$10:$H$49,MATCH($A153,'M6'!$K$10:$K$49,0)),"")</f>
        <v/>
      </c>
      <c r="D153" s="8">
        <f>IF(AND(matrizOK,$A153&lt;=nVariables,'M6'!$C$9&gt;0),INDEX('M6'!$F$10:$F$49,MATCH($A153,'M6'!$K$10:$K$49,0)),"")</f>
        <v/>
      </c>
    </row>
    <row r="154" ht="22" customHeight="1" s="62">
      <c r="A154" s="6" t="n">
        <v>33</v>
      </c>
      <c r="B154" s="81">
        <f>IF(AND(matrizOK,$A154&lt;=nVariables,'M6'!$C$9&gt;0),INDEX('M6'!$B$10:$B$49,MATCH($A154,'M6'!$K$10:$K$49,0)),"")</f>
        <v/>
      </c>
      <c r="C154" s="9">
        <f>IF(AND(matrizOK,$A154&lt;=nVariables,'M6'!$C$9&gt;0),INDEX('M6'!$H$10:$H$49,MATCH($A154,'M6'!$K$10:$K$49,0)),"")</f>
        <v/>
      </c>
      <c r="D154" s="8">
        <f>IF(AND(matrizOK,$A154&lt;=nVariables,'M6'!$C$9&gt;0),INDEX('M6'!$F$10:$F$49,MATCH($A154,'M6'!$K$10:$K$49,0)),"")</f>
        <v/>
      </c>
    </row>
    <row r="155" ht="22" customHeight="1" s="62">
      <c r="A155" s="6" t="n">
        <v>34</v>
      </c>
      <c r="B155" s="81">
        <f>IF(AND(matrizOK,$A155&lt;=nVariables,'M6'!$C$9&gt;0),INDEX('M6'!$B$10:$B$49,MATCH($A155,'M6'!$K$10:$K$49,0)),"")</f>
        <v/>
      </c>
      <c r="C155" s="9">
        <f>IF(AND(matrizOK,$A155&lt;=nVariables,'M6'!$C$9&gt;0),INDEX('M6'!$H$10:$H$49,MATCH($A155,'M6'!$K$10:$K$49,0)),"")</f>
        <v/>
      </c>
      <c r="D155" s="8">
        <f>IF(AND(matrizOK,$A155&lt;=nVariables,'M6'!$C$9&gt;0),INDEX('M6'!$F$10:$F$49,MATCH($A155,'M6'!$K$10:$K$49,0)),"")</f>
        <v/>
      </c>
    </row>
    <row r="156" ht="22" customHeight="1" s="62">
      <c r="A156" s="6" t="n">
        <v>35</v>
      </c>
      <c r="B156" s="81">
        <f>IF(AND(matrizOK,$A156&lt;=nVariables,'M6'!$C$9&gt;0),INDEX('M6'!$B$10:$B$49,MATCH($A156,'M6'!$K$10:$K$49,0)),"")</f>
        <v/>
      </c>
      <c r="C156" s="9">
        <f>IF(AND(matrizOK,$A156&lt;=nVariables,'M6'!$C$9&gt;0),INDEX('M6'!$H$10:$H$49,MATCH($A156,'M6'!$K$10:$K$49,0)),"")</f>
        <v/>
      </c>
      <c r="D156" s="8">
        <f>IF(AND(matrizOK,$A156&lt;=nVariables,'M6'!$C$9&gt;0),INDEX('M6'!$F$10:$F$49,MATCH($A156,'M6'!$K$10:$K$49,0)),"")</f>
        <v/>
      </c>
    </row>
    <row r="157" ht="22" customHeight="1" s="62">
      <c r="A157" s="6" t="n">
        <v>36</v>
      </c>
      <c r="B157" s="81">
        <f>IF(AND(matrizOK,$A157&lt;=nVariables,'M6'!$C$9&gt;0),INDEX('M6'!$B$10:$B$49,MATCH($A157,'M6'!$K$10:$K$49,0)),"")</f>
        <v/>
      </c>
      <c r="C157" s="9">
        <f>IF(AND(matrizOK,$A157&lt;=nVariables,'M6'!$C$9&gt;0),INDEX('M6'!$H$10:$H$49,MATCH($A157,'M6'!$K$10:$K$49,0)),"")</f>
        <v/>
      </c>
      <c r="D157" s="8">
        <f>IF(AND(matrizOK,$A157&lt;=nVariables,'M6'!$C$9&gt;0),INDEX('M6'!$F$10:$F$49,MATCH($A157,'M6'!$K$10:$K$49,0)),"")</f>
        <v/>
      </c>
    </row>
    <row r="158" ht="22" customHeight="1" s="62">
      <c r="A158" s="6" t="n">
        <v>37</v>
      </c>
      <c r="B158" s="81">
        <f>IF(AND(matrizOK,$A158&lt;=nVariables,'M6'!$C$9&gt;0),INDEX('M6'!$B$10:$B$49,MATCH($A158,'M6'!$K$10:$K$49,0)),"")</f>
        <v/>
      </c>
      <c r="C158" s="9">
        <f>IF(AND(matrizOK,$A158&lt;=nVariables,'M6'!$C$9&gt;0),INDEX('M6'!$H$10:$H$49,MATCH($A158,'M6'!$K$10:$K$49,0)),"")</f>
        <v/>
      </c>
      <c r="D158" s="8">
        <f>IF(AND(matrizOK,$A158&lt;=nVariables,'M6'!$C$9&gt;0),INDEX('M6'!$F$10:$F$49,MATCH($A158,'M6'!$K$10:$K$49,0)),"")</f>
        <v/>
      </c>
    </row>
    <row r="159" ht="22" customHeight="1" s="62">
      <c r="A159" s="6" t="n">
        <v>38</v>
      </c>
      <c r="B159" s="81">
        <f>IF(AND(matrizOK,$A159&lt;=nVariables,'M6'!$C$9&gt;0),INDEX('M6'!$B$10:$B$49,MATCH($A159,'M6'!$K$10:$K$49,0)),"")</f>
        <v/>
      </c>
      <c r="C159" s="9">
        <f>IF(AND(matrizOK,$A159&lt;=nVariables,'M6'!$C$9&gt;0),INDEX('M6'!$H$10:$H$49,MATCH($A159,'M6'!$K$10:$K$49,0)),"")</f>
        <v/>
      </c>
      <c r="D159" s="8">
        <f>IF(AND(matrizOK,$A159&lt;=nVariables,'M6'!$C$9&gt;0),INDEX('M6'!$F$10:$F$49,MATCH($A159,'M6'!$K$10:$K$49,0)),"")</f>
        <v/>
      </c>
    </row>
    <row r="160" ht="22" customHeight="1" s="62">
      <c r="A160" s="6" t="n">
        <v>39</v>
      </c>
      <c r="B160" s="81">
        <f>IF(AND(matrizOK,$A160&lt;=nVariables,'M6'!$C$9&gt;0),INDEX('M6'!$B$10:$B$49,MATCH($A160,'M6'!$K$10:$K$49,0)),"")</f>
        <v/>
      </c>
      <c r="C160" s="9">
        <f>IF(AND(matrizOK,$A160&lt;=nVariables,'M6'!$C$9&gt;0),INDEX('M6'!$H$10:$H$49,MATCH($A160,'M6'!$K$10:$K$49,0)),"")</f>
        <v/>
      </c>
      <c r="D160" s="8">
        <f>IF(AND(matrizOK,$A160&lt;=nVariables,'M6'!$C$9&gt;0),INDEX('M6'!$F$10:$F$49,MATCH($A160,'M6'!$K$10:$K$49,0)),"")</f>
        <v/>
      </c>
    </row>
    <row r="161" ht="22" customHeight="1" s="62">
      <c r="A161" s="6" t="n">
        <v>40</v>
      </c>
      <c r="B161" s="81">
        <f>IF(AND(matrizOK,$A161&lt;=nVariables,'M6'!$C$9&gt;0),INDEX('M6'!$B$10:$B$49,MATCH($A161,'M6'!$K$10:$K$49,0)),"")</f>
        <v/>
      </c>
      <c r="C161" s="9">
        <f>IF(AND(matrizOK,$A161&lt;=nVariables,'M6'!$C$9&gt;0),INDEX('M6'!$H$10:$H$49,MATCH($A161,'M6'!$K$10:$K$49,0)),"")</f>
        <v/>
      </c>
      <c r="D161" s="8">
        <f>IF(AND(matrizOK,$A161&lt;=nVariables,'M6'!$C$9&gt;0),INDEX('M6'!$F$10:$F$49,MATCH($A161,'M6'!$K$10:$K$49,0)),"")</f>
        <v/>
      </c>
    </row>
    <row r="163" ht="32" customHeight="1" s="62">
      <c r="A163" s="63" t="inlineStr">
        <is>
          <t>Use los órdenes como apoyo a una discusión de clase: explique por qué una variable puede influir a través de otras, examine desacuerdos y pruebe cambios justificados de M en una copia.</t>
        </is>
      </c>
    </row>
  </sheetData>
  <mergeCells count="5">
    <mergeCell ref="A2:L2"/>
    <mergeCell ref="A1:L1"/>
    <mergeCell ref="A3:L3"/>
    <mergeCell ref="A4:L4"/>
    <mergeCell ref="A163:L163"/>
  </mergeCells>
  <conditionalFormatting sqref="A79:D118">
    <cfRule type="expression" priority="11" dxfId="4" stopIfTrue="1">
      <formula>$A79&gt;nVariables</formula>
    </cfRule>
    <cfRule type="expression" priority="12" dxfId="3">
      <formula>$A79&lt;=nVariables</formula>
    </cfRule>
  </conditionalFormatting>
  <conditionalFormatting sqref="A122:D161">
    <cfRule type="expression" priority="13" dxfId="4" stopIfTrue="1">
      <formula>$A122&gt;nVariables</formula>
    </cfRule>
    <cfRule type="expression" priority="14" dxfId="3">
      <formula>$A122&lt;=nVariables</formula>
    </cfRule>
  </conditionalFormatting>
  <conditionalFormatting sqref="A35:L74">
    <cfRule type="expression" priority="1" dxfId="4" stopIfTrue="1">
      <formula>$A35&gt;nVariables</formula>
    </cfRule>
    <cfRule type="expression" priority="10" dxfId="106">
      <formula>$A35&lt;=nVariables</formula>
    </cfRule>
  </conditionalFormatting>
  <conditionalFormatting sqref="G35:G74">
    <cfRule type="expression" priority="2" dxfId="10" stopIfTrue="1">
      <formula>$G35="Motriz"</formula>
    </cfRule>
    <cfRule type="expression" priority="4" dxfId="9" stopIfTrue="1">
      <formula>$G35="Enlace"</formula>
    </cfRule>
    <cfRule type="expression" priority="6" dxfId="1" stopIfTrue="1">
      <formula>$G35="Resultado"</formula>
    </cfRule>
    <cfRule type="expression" priority="8" dxfId="7" stopIfTrue="1">
      <formula>$G35="Autónoma"</formula>
    </cfRule>
  </conditionalFormatting>
  <conditionalFormatting sqref="L35:L74">
    <cfRule type="expression" priority="3" dxfId="10" stopIfTrue="1">
      <formula>$L35="Motriz"</formula>
    </cfRule>
    <cfRule type="expression" priority="5" dxfId="9" stopIfTrue="1">
      <formula>$L35="Enlace"</formula>
    </cfRule>
    <cfRule type="expression" priority="7" dxfId="1" stopIfTrue="1">
      <formula>$L35="Resultado"</formula>
    </cfRule>
    <cfRule type="expression" priority="9" dxfId="7" stopIfTrue="1">
      <formula>$L35="Autónoma"</formula>
    </cfRule>
  </conditionalFormatting>
  <conditionalFormatting sqref="N35:AB74">
    <cfRule type="expression" priority="15" dxfId="37">
      <formula>AND(ISNUMBER(N35),N35&lt;0)</formula>
    </cfRule>
  </conditionalFormatting>
  <pageMargins left="0.75" right="0.75" top="1" bottom="1" header="0.5" footer="0.5"/>
  <pageSetup orientation="landscape" fitToHeight="0"/>
  <drawing xmlns:r="http://schemas.openxmlformats.org/officeDocument/2006/relationships" r:id="rId1"/>
</worksheet>
</file>

<file path=xl/worksheets/sheet2.xml><?xml version="1.0" encoding="utf-8"?>
<worksheet xmlns="http://schemas.openxmlformats.org/spreadsheetml/2006/main">
  <sheetPr>
    <tabColor rgb="FF2A3439"/>
    <outlinePr summaryBelow="1" summaryRight="1"/>
    <pageSetUpPr fitToPage="1"/>
  </sheetPr>
  <dimension ref="A1:AU55"/>
  <sheetViews>
    <sheetView showGridLines="0" zoomScale="50" workbookViewId="0">
      <pane xSplit="3" topLeftCell="D1" activePane="topRight" state="frozen"/>
      <selection pane="topRight" activeCell="X34" sqref="X34"/>
    </sheetView>
  </sheetViews>
  <sheetFormatPr baseColWidth="10" defaultColWidth="8.83203125" defaultRowHeight="15"/>
  <cols>
    <col width="5" customWidth="1" style="62" min="1" max="1"/>
    <col width="52" customWidth="1" style="62" min="2" max="2"/>
    <col width="20" customWidth="1" style="62" min="3" max="3"/>
    <col width="9.5" customWidth="1" style="62" min="4" max="43"/>
    <col width="2" customWidth="1" style="62" min="44" max="44"/>
    <col width="14" customWidth="1" style="62" min="45" max="47"/>
  </cols>
  <sheetData>
    <row r="1" ht="30" customHeight="1" s="62">
      <c r="A1" s="65" t="inlineStr">
        <is>
          <t>M  |  Matriz de influencias directas (Vester) — la única hoja que usted llena</t>
        </is>
      </c>
    </row>
    <row r="2" ht="58" customHeight="1" s="62">
      <c r="A2" s="63" t="inlineStr">
        <is>
          <t>Cómo llenar: (1) escriba el nombre de cada variable en la columna B, una por fila desde la fila 10, sin dejar filas vacías (mínimo 3, máximo 40; el estándar trae 15 espacios). (2) Valore solo las celdas azul claro: la variable de la FILA influye directamente sobre la variable de la COLUMNA; evalúe también la dirección contraria. Escala: 0 = sin influencia directa; 1 = débil; 2 = moderada; 3 = fuerte; celda vacía = pendiente. Al agregar o quitar nombres, todas las hojas se reconfiguran solas.</t>
        </is>
      </c>
    </row>
    <row r="3" ht="26" customHeight="1" s="62">
      <c r="A3" s="61">
        <f>IF(matrizOK,"M completa y válida: "&amp;$C$4&amp;" variables y "&amp;$G$4&amp;" valoraciones. Los resultados están calculados."&amp;IF($G$5&gt;0," Aviso: hay "&amp;$G$5&amp;" nombres repetidos.","")&amp;IF($K$5&gt;0," Aviso: hay "&amp;$K$5&amp;" valores fuera de la matriz activa; se ignoran (bórrelos si ya no los necesita).",""),IF($C$5&gt;0,"REVISAR: hay nombres debajo de una fila vacía. Llene o borre esa fila para que se cuenten todas las variables.",IF($C$4&lt;3,"Escriba al menos 3 nombres de variables en B10 hacia abajo (máximo 40).",IF($O$5&gt;0,"REVISAR: la diagonal debe valer 0 (déjela como está: se completa sola).","REVISAR M:"&amp;IF($G$4&gt;$K$4," valoraciones pendientes o con texto: "&amp;($G$4-$K$4)&amp;".","")&amp;IF($K$4&gt;$O$4," valores que no son enteros de 0 a 3: "&amp;($K$4-$O$4)&amp;" (celdas oscuras).","")))))</f>
        <v/>
      </c>
    </row>
    <row r="4" ht="20" customHeight="1" s="62">
      <c r="B4" s="64" t="inlineStr">
        <is>
          <t>Variables detectadas (N)</t>
        </is>
      </c>
      <c r="C4" s="13">
        <f>SUM(AS10:AS49)</f>
        <v/>
      </c>
      <c r="D4" s="64" t="inlineStr">
        <is>
          <t>Valoraciones necesarias</t>
        </is>
      </c>
      <c r="G4" s="14">
        <f>$C$4*($C$4-1)</f>
        <v/>
      </c>
      <c r="H4" s="64" t="inlineStr">
        <is>
          <t>Valoraciones numéricas</t>
        </is>
      </c>
      <c r="K4" s="14">
        <f>SUMPRODUCT(($A$10:$A$49&lt;=$C$4)*($D$7:$AQ$7&lt;=$C$4)*($A$10:$A$49&lt;&gt;$D$7:$AQ$7)*ISNUMBER($D$10:$AQ$49))</f>
        <v/>
      </c>
      <c r="L4" s="64" t="inlineStr">
        <is>
          <t>Valoraciones válidas (0–3)</t>
        </is>
      </c>
      <c r="O4" s="14">
        <f>SUMPRODUCT(($A$10:$A$49&lt;=$C$4)*($D$7:$AQ$7&lt;=$C$4)*($A$10:$A$49&lt;&gt;$D$7:$AQ$7)*ISNUMBER($D$10:$AQ$49)*(($D$10:$AQ$49=0)+($D$10:$AQ$49=1)+($D$10:$AQ$49=2)+($D$10:$AQ$49=3)))</f>
        <v/>
      </c>
    </row>
    <row r="5" ht="20" customHeight="1" s="62">
      <c r="B5" s="64" t="inlineStr">
        <is>
          <t>Nombres debajo de una fila vacía</t>
        </is>
      </c>
      <c r="C5" s="13">
        <f>SUMPRODUCT(--(TRIM($B$10:$B$49)&lt;&gt;""))-$C$4</f>
        <v/>
      </c>
      <c r="D5" s="64" t="inlineStr">
        <is>
          <t>Nombres repetidos</t>
        </is>
      </c>
      <c r="G5" s="14">
        <f>COUNTIF($AU$10:$AU$49,"&gt;1")</f>
        <v/>
      </c>
      <c r="H5" s="64" t="inlineStr">
        <is>
          <t>Valores fuera de la matriz</t>
        </is>
      </c>
      <c r="K5" s="14">
        <f>SUMPRODUCT(ISNUMBER($D$10:$AQ$49)*(1-($A$10:$A$49&lt;=$C$4)*($D$7:$AQ$7&lt;=$C$4)))</f>
        <v/>
      </c>
      <c r="L5" s="64" t="inlineStr">
        <is>
          <t>Diagonal distinta de 0</t>
        </is>
      </c>
      <c r="O5" s="14">
        <f>SUMPRODUCT(($A$10:$A$49=$D$7:$AQ$7)*($A$10:$A$49&lt;=$C$4)*ISNUMBER($D$10:$AQ$49)*($D$10:$AQ$49&lt;&gt;0))</f>
        <v/>
      </c>
    </row>
    <row r="6" ht="20" customHeight="1" s="62">
      <c r="B6" s="64" t="inlineStr">
        <is>
          <t>M lista para calcular</t>
        </is>
      </c>
      <c r="C6" s="13">
        <f>AND($C$4&gt;=3,$C$5=0,$K$4=$G$4,$O$4=$G$4,$O$5=0)</f>
        <v/>
      </c>
      <c r="D6" s="64" t="inlineStr">
        <is>
          <t>Nombre del estudio (opcional)</t>
        </is>
      </c>
      <c r="G6" s="66" t="inlineStr">
        <is>
          <t>SGR_CONV56_AIRE · S_TRABAJO_PROPUESTO (fichas paritarias, no ratificado)</t>
        </is>
      </c>
      <c r="H6" s="90" t="n"/>
      <c r="I6" s="90" t="n"/>
      <c r="J6" s="90" t="n"/>
      <c r="K6" s="90" t="n"/>
      <c r="L6" s="90" t="n"/>
      <c r="M6" s="90" t="n"/>
      <c r="N6" s="91" t="n"/>
    </row>
    <row r="7" ht="13" customHeight="1" s="62">
      <c r="D7" s="16" t="n">
        <v>1</v>
      </c>
      <c r="E7" s="16" t="n">
        <v>2</v>
      </c>
      <c r="F7" s="16" t="n">
        <v>3</v>
      </c>
      <c r="G7" s="16" t="n">
        <v>4</v>
      </c>
      <c r="H7" s="16" t="n">
        <v>5</v>
      </c>
      <c r="I7" s="16" t="n">
        <v>6</v>
      </c>
      <c r="J7" s="16" t="n">
        <v>7</v>
      </c>
      <c r="K7" s="16" t="n">
        <v>8</v>
      </c>
      <c r="L7" s="16" t="n">
        <v>9</v>
      </c>
      <c r="M7" s="16" t="n">
        <v>10</v>
      </c>
      <c r="N7" s="16" t="n">
        <v>11</v>
      </c>
      <c r="O7" s="16" t="n">
        <v>12</v>
      </c>
      <c r="P7" s="16" t="n">
        <v>13</v>
      </c>
      <c r="Q7" s="16" t="n">
        <v>14</v>
      </c>
      <c r="R7" s="16" t="n">
        <v>15</v>
      </c>
      <c r="S7" s="16" t="n">
        <v>16</v>
      </c>
      <c r="T7" s="16" t="n">
        <v>17</v>
      </c>
      <c r="U7" s="16" t="n">
        <v>18</v>
      </c>
      <c r="V7" s="16" t="n">
        <v>19</v>
      </c>
      <c r="W7" s="16" t="n">
        <v>20</v>
      </c>
      <c r="X7" s="16" t="n">
        <v>21</v>
      </c>
      <c r="Y7" s="16" t="n">
        <v>22</v>
      </c>
      <c r="Z7" s="16" t="n">
        <v>23</v>
      </c>
      <c r="AA7" s="16" t="n">
        <v>24</v>
      </c>
      <c r="AB7" s="16" t="n">
        <v>25</v>
      </c>
      <c r="AC7" s="16" t="n">
        <v>26</v>
      </c>
      <c r="AD7" s="16" t="n">
        <v>27</v>
      </c>
      <c r="AE7" s="16" t="n">
        <v>28</v>
      </c>
      <c r="AF7" s="16" t="n">
        <v>29</v>
      </c>
      <c r="AG7" s="16" t="n">
        <v>30</v>
      </c>
      <c r="AH7" s="16" t="n">
        <v>31</v>
      </c>
      <c r="AI7" s="16" t="n">
        <v>32</v>
      </c>
      <c r="AJ7" s="16" t="n">
        <v>33</v>
      </c>
      <c r="AK7" s="16" t="n">
        <v>34</v>
      </c>
      <c r="AL7" s="16" t="n">
        <v>35</v>
      </c>
      <c r="AM7" s="16" t="n">
        <v>36</v>
      </c>
      <c r="AN7" s="16" t="n">
        <v>37</v>
      </c>
      <c r="AO7" s="16" t="n">
        <v>38</v>
      </c>
      <c r="AP7" s="16" t="n">
        <v>39</v>
      </c>
      <c r="AQ7" s="16" t="n">
        <v>40</v>
      </c>
    </row>
    <row r="8" ht="64" customHeight="1" s="62">
      <c r="A8" s="69" t="inlineStr">
        <is>
          <t>N.º</t>
        </is>
      </c>
      <c r="B8" s="69" t="inlineStr">
        <is>
          <t>Variable  (escriba aquí el nombre completo)</t>
        </is>
      </c>
      <c r="C8" s="17" t="inlineStr">
        <is>
          <t>Etiqueta corta (opcional, ≤ 20 caracteres)</t>
        </is>
      </c>
      <c r="D8" s="18">
        <f>IF(D$7&lt;=$C$4,INDEX($AT$10:$AT$49,D$7),"")</f>
        <v/>
      </c>
      <c r="E8" s="18">
        <f>IF(E$7&lt;=$C$4,INDEX($AT$10:$AT$49,E$7),"")</f>
        <v/>
      </c>
      <c r="F8" s="18">
        <f>IF(F$7&lt;=$C$4,INDEX($AT$10:$AT$49,F$7),"")</f>
        <v/>
      </c>
      <c r="G8" s="18">
        <f>IF(G$7&lt;=$C$4,INDEX($AT$10:$AT$49,G$7),"")</f>
        <v/>
      </c>
      <c r="H8" s="18">
        <f>IF(H$7&lt;=$C$4,INDEX($AT$10:$AT$49,H$7),"")</f>
        <v/>
      </c>
      <c r="I8" s="18">
        <f>IF(I$7&lt;=$C$4,INDEX($AT$10:$AT$49,I$7),"")</f>
        <v/>
      </c>
      <c r="J8" s="18">
        <f>IF(J$7&lt;=$C$4,INDEX($AT$10:$AT$49,J$7),"")</f>
        <v/>
      </c>
      <c r="K8" s="18">
        <f>IF(K$7&lt;=$C$4,INDEX($AT$10:$AT$49,K$7),"")</f>
        <v/>
      </c>
      <c r="L8" s="18">
        <f>IF(L$7&lt;=$C$4,INDEX($AT$10:$AT$49,L$7),"")</f>
        <v/>
      </c>
      <c r="M8" s="18">
        <f>IF(M$7&lt;=$C$4,INDEX($AT$10:$AT$49,M$7),"")</f>
        <v/>
      </c>
      <c r="N8" s="18">
        <f>IF(N$7&lt;=$C$4,INDEX($AT$10:$AT$49,N$7),"")</f>
        <v/>
      </c>
      <c r="O8" s="18">
        <f>IF(O$7&lt;=$C$4,INDEX($AT$10:$AT$49,O$7),"")</f>
        <v/>
      </c>
      <c r="P8" s="18">
        <f>IF(P$7&lt;=$C$4,INDEX($AT$10:$AT$49,P$7),"")</f>
        <v/>
      </c>
      <c r="Q8" s="18">
        <f>IF(Q$7&lt;=$C$4,INDEX($AT$10:$AT$49,Q$7),"")</f>
        <v/>
      </c>
      <c r="R8" s="18">
        <f>IF(R$7&lt;=$C$4,INDEX($AT$10:$AT$49,R$7),"")</f>
        <v/>
      </c>
      <c r="S8" s="18">
        <f>IF(S$7&lt;=$C$4,INDEX($AT$10:$AT$49,S$7),"")</f>
        <v/>
      </c>
      <c r="T8" s="87" t="n"/>
      <c r="AK8" s="18" t="n"/>
      <c r="AL8" s="18" t="n"/>
      <c r="AM8" s="18" t="n"/>
      <c r="AN8" s="18">
        <f>IF(AN$7&lt;=$C$4,INDEX($AT$10:$AT$49,AN$7),"")</f>
        <v/>
      </c>
      <c r="AO8" s="18">
        <f>IF(AO$7&lt;=$C$4,INDEX($AT$10:$AT$49,AO$7),"")</f>
        <v/>
      </c>
      <c r="AP8" s="18">
        <f>IF(AP$7&lt;=$C$4,INDEX($AT$10:$AT$49,AP$7),"")</f>
        <v/>
      </c>
      <c r="AQ8" s="18">
        <f>IF(AQ$7&lt;=$C$4,INDEX($AT$10:$AT$49,AQ$7),"")</f>
        <v/>
      </c>
      <c r="AS8" s="16" t="inlineStr">
        <is>
          <t>Aux: nombre contiguo</t>
        </is>
      </c>
      <c r="AT8" s="16" t="inlineStr">
        <is>
          <t>Aux: etiqueta</t>
        </is>
      </c>
      <c r="AU8" s="16" t="inlineStr">
        <is>
          <t>Aux: repetidos</t>
        </is>
      </c>
    </row>
    <row r="9" ht="20" customHeight="1" s="62">
      <c r="A9" s="72" t="n"/>
      <c r="B9" s="64" t="inlineStr">
        <is>
          <t>Dependencia directa (Σ de cada columna)</t>
        </is>
      </c>
      <c r="C9" s="72" t="n"/>
      <c r="D9" s="20">
        <f>IF(D$7&lt;=$C$4,SUMPRODUCT(($A$10:$A$49&lt;=$C$4)*($A$10:$A$49&lt;&gt;D$7),D10:D49),"")</f>
        <v/>
      </c>
      <c r="E9" s="20">
        <f>IF(E$7&lt;=$C$4,SUMPRODUCT(($A$10:$A$49&lt;=$C$4)*($A$10:$A$49&lt;&gt;E$7),E10:E49),"")</f>
        <v/>
      </c>
      <c r="F9" s="20">
        <f>IF(F$7&lt;=$C$4,SUMPRODUCT(($A$10:$A$49&lt;=$C$4)*($A$10:$A$49&lt;&gt;F$7),F10:F49),"")</f>
        <v/>
      </c>
      <c r="G9" s="20">
        <f>IF(G$7&lt;=$C$4,SUMPRODUCT(($A$10:$A$49&lt;=$C$4)*($A$10:$A$49&lt;&gt;G$7),G10:G49),"")</f>
        <v/>
      </c>
      <c r="H9" s="20">
        <f>IF(H$7&lt;=$C$4,SUMPRODUCT(($A$10:$A$49&lt;=$C$4)*($A$10:$A$49&lt;&gt;H$7),H10:H49),"")</f>
        <v/>
      </c>
      <c r="I9" s="20">
        <f>IF(I$7&lt;=$C$4,SUMPRODUCT(($A$10:$A$49&lt;=$C$4)*($A$10:$A$49&lt;&gt;I$7),I10:I49),"")</f>
        <v/>
      </c>
      <c r="J9" s="20">
        <f>IF(J$7&lt;=$C$4,SUMPRODUCT(($A$10:$A$49&lt;=$C$4)*($A$10:$A$49&lt;&gt;J$7),J10:J49),"")</f>
        <v/>
      </c>
      <c r="K9" s="20">
        <f>IF(K$7&lt;=$C$4,SUMPRODUCT(($A$10:$A$49&lt;=$C$4)*($A$10:$A$49&lt;&gt;K$7),K10:K49),"")</f>
        <v/>
      </c>
      <c r="L9" s="20">
        <f>IF(L$7&lt;=$C$4,SUMPRODUCT(($A$10:$A$49&lt;=$C$4)*($A$10:$A$49&lt;&gt;L$7),L10:L49),"")</f>
        <v/>
      </c>
      <c r="M9" s="20">
        <f>IF(M$7&lt;=$C$4,SUMPRODUCT(($A$10:$A$49&lt;=$C$4)*($A$10:$A$49&lt;&gt;M$7),M10:M49),"")</f>
        <v/>
      </c>
      <c r="N9" s="20">
        <f>IF(N$7&lt;=$C$4,SUMPRODUCT(($A$10:$A$49&lt;=$C$4)*($A$10:$A$49&lt;&gt;N$7),N10:N49),"")</f>
        <v/>
      </c>
      <c r="O9" s="20">
        <f>IF(O$7&lt;=$C$4,SUMPRODUCT(($A$10:$A$49&lt;=$C$4)*($A$10:$A$49&lt;&gt;O$7),O10:O49),"")</f>
        <v/>
      </c>
      <c r="P9" s="20">
        <f>IF(P$7&lt;=$C$4,SUMPRODUCT(($A$10:$A$49&lt;=$C$4)*($A$10:$A$49&lt;&gt;P$7),P10:P49),"")</f>
        <v/>
      </c>
      <c r="Q9" s="20">
        <f>IF(Q$7&lt;=$C$4,SUMPRODUCT(($A$10:$A$49&lt;=$C$4)*($A$10:$A$49&lt;&gt;Q$7),Q10:Q49),"")</f>
        <v/>
      </c>
      <c r="R9" s="20">
        <f>IF(R$7&lt;=$C$4,SUMPRODUCT(($A$10:$A$49&lt;=$C$4)*($A$10:$A$49&lt;&gt;R$7),R10:R49),"")</f>
        <v/>
      </c>
      <c r="S9" s="20">
        <f>IF(S$7&lt;=$C$4,SUMPRODUCT(($A$10:$A$49&lt;=$C$4)*($A$10:$A$49&lt;&gt;S$7),S10:S49),"")</f>
        <v/>
      </c>
      <c r="T9" s="88" t="n"/>
      <c r="U9" s="88" t="n"/>
      <c r="V9" s="88" t="n"/>
      <c r="W9" s="88" t="n"/>
      <c r="X9" s="88" t="n"/>
      <c r="Y9" s="88" t="n"/>
      <c r="Z9" s="88" t="n"/>
      <c r="AA9" s="88" t="n"/>
      <c r="AB9" s="88" t="n"/>
      <c r="AC9" s="88" t="n"/>
      <c r="AD9" s="88" t="n"/>
      <c r="AE9" s="88" t="n"/>
      <c r="AF9" s="88" t="n"/>
      <c r="AG9" s="88" t="n"/>
      <c r="AH9" s="88" t="n"/>
      <c r="AI9" s="88" t="n"/>
      <c r="AJ9" s="88" t="n"/>
      <c r="AK9" s="20" t="n"/>
      <c r="AL9" s="20" t="n"/>
      <c r="AM9" s="20" t="n"/>
      <c r="AN9" s="20">
        <f>IF(AN$7&lt;=$C$4,SUMPRODUCT(($A$10:$A$49&lt;=$C$4)*($A$10:$A$49&lt;&gt;AN$7),AN10:AN49),"")</f>
        <v/>
      </c>
      <c r="AO9" s="20">
        <f>IF(AO$7&lt;=$C$4,SUMPRODUCT(($A$10:$A$49&lt;=$C$4)*($A$10:$A$49&lt;&gt;AO$7),AO10:AO49),"")</f>
        <v/>
      </c>
      <c r="AP9" s="20">
        <f>IF(AP$7&lt;=$C$4,SUMPRODUCT(($A$10:$A$49&lt;=$C$4)*($A$10:$A$49&lt;&gt;AP$7),AP10:AP49),"")</f>
        <v/>
      </c>
      <c r="AQ9" s="20">
        <f>IF(AQ$7&lt;=$C$4,SUMPRODUCT(($A$10:$A$49&lt;=$C$4)*($A$10:$A$49&lt;&gt;AQ$7),AQ10:AQ49),"")</f>
        <v/>
      </c>
    </row>
    <row r="10" ht="22" customHeight="1" s="62">
      <c r="A10" s="6" t="n">
        <v>1</v>
      </c>
      <c r="B10" s="85" t="inlineStr">
        <is>
          <t>Concentración PM2.5</t>
        </is>
      </c>
      <c r="C10" s="86" t="inlineStr">
        <is>
          <t>Masa de partículas &lt;2.5 µm (µg/m³).</t>
        </is>
      </c>
      <c r="D10" s="21" t="n">
        <v>0</v>
      </c>
      <c r="E10" s="21" t="n">
        <v>0</v>
      </c>
      <c r="F10" s="21" t="n">
        <v>0</v>
      </c>
      <c r="G10" s="21" t="n">
        <v>0</v>
      </c>
      <c r="H10" s="21" t="n">
        <v>0</v>
      </c>
      <c r="I10" s="21" t="n">
        <v>2</v>
      </c>
      <c r="J10" s="21" t="n">
        <v>0</v>
      </c>
      <c r="K10" s="21" t="n">
        <v>0</v>
      </c>
      <c r="L10" s="21" t="n">
        <v>0</v>
      </c>
      <c r="M10" s="21" t="n">
        <v>0</v>
      </c>
      <c r="N10" s="21" t="n">
        <v>3</v>
      </c>
      <c r="O10" s="21" t="n">
        <v>0</v>
      </c>
      <c r="P10" s="21" t="n">
        <v>0</v>
      </c>
      <c r="Q10" s="21" t="n">
        <v>1</v>
      </c>
      <c r="R10" s="21" t="n">
        <v>0</v>
      </c>
      <c r="T10" s="88" t="n"/>
      <c r="U10" s="85" t="n"/>
      <c r="V10" s="85" t="n"/>
      <c r="W10" s="85" t="n"/>
      <c r="X10" s="85" t="n"/>
      <c r="Y10" s="85" t="n"/>
      <c r="Z10" s="85" t="n"/>
      <c r="AA10" s="85" t="n"/>
      <c r="AB10" s="85" t="n"/>
      <c r="AC10" s="85" t="n"/>
      <c r="AD10" s="85" t="n"/>
      <c r="AE10" s="85" t="n"/>
      <c r="AF10" s="85" t="n"/>
      <c r="AG10" s="85" t="n"/>
      <c r="AH10" s="88" t="n"/>
      <c r="AI10" s="85" t="n"/>
      <c r="AJ10" s="88" t="n"/>
      <c r="AK10" s="21" t="n"/>
      <c r="AL10" s="21" t="n"/>
      <c r="AM10" s="21" t="n"/>
      <c r="AN10" s="21" t="n"/>
      <c r="AO10" s="21" t="n"/>
      <c r="AP10" s="21" t="n"/>
      <c r="AQ10" s="21" t="n"/>
      <c r="AS10" s="16">
        <f>IF(AND(TRIM(B10)&lt;&gt;"",1=1),1,0)</f>
        <v/>
      </c>
      <c r="AT10" s="3">
        <f>IF(AS10=1,A10&amp;". "&amp;IF(TRIM(C10)&lt;&gt;"",TRIM(C10),IF(LEN(TRIM(B10))&gt;18,LEFT(TRIM(B10),17)&amp;"…",TRIM(B10))),"")</f>
        <v/>
      </c>
      <c r="AU10" s="16">
        <f>IF(AS10=1,COUNTIF($B$10:$B$49,B10),0)</f>
        <v/>
      </c>
    </row>
    <row r="11" ht="22" customHeight="1" s="62">
      <c r="A11" s="6" t="n">
        <v>2</v>
      </c>
      <c r="B11" s="85" t="inlineStr">
        <is>
          <t>Concentración PM10</t>
        </is>
      </c>
      <c r="C11" s="86" t="inlineStr">
        <is>
          <t>Masa de partículas &lt;10 µm (µg/m³).</t>
        </is>
      </c>
      <c r="D11" s="21" t="n">
        <v>0</v>
      </c>
      <c r="E11" s="21" t="n">
        <v>0</v>
      </c>
      <c r="F11" s="21" t="n">
        <v>0</v>
      </c>
      <c r="G11" s="21" t="n">
        <v>0</v>
      </c>
      <c r="H11" s="21" t="n">
        <v>0</v>
      </c>
      <c r="I11" s="21" t="n">
        <v>3</v>
      </c>
      <c r="J11" s="21" t="n">
        <v>0</v>
      </c>
      <c r="K11" s="21" t="n">
        <v>0</v>
      </c>
      <c r="L11" s="21" t="n">
        <v>1</v>
      </c>
      <c r="M11" s="21" t="n">
        <v>0</v>
      </c>
      <c r="N11" s="21" t="n">
        <v>2</v>
      </c>
      <c r="O11" s="21" t="n">
        <v>0</v>
      </c>
      <c r="P11" s="21" t="n">
        <v>0</v>
      </c>
      <c r="Q11" s="21" t="n">
        <v>1</v>
      </c>
      <c r="R11" s="21" t="n">
        <v>0</v>
      </c>
      <c r="S11" s="21" t="n"/>
      <c r="T11" s="88" t="n"/>
      <c r="U11" s="85" t="n"/>
      <c r="V11" s="85" t="n"/>
      <c r="W11" s="85" t="n"/>
      <c r="X11" s="85" t="n"/>
      <c r="Y11" s="85" t="n"/>
      <c r="Z11" s="85" t="n"/>
      <c r="AA11" s="85" t="n"/>
      <c r="AB11" s="85" t="n"/>
      <c r="AC11" s="85" t="n"/>
      <c r="AD11" s="85" t="n"/>
      <c r="AE11" s="85" t="n"/>
      <c r="AF11" s="85" t="n"/>
      <c r="AG11" s="85" t="n"/>
      <c r="AH11" s="88" t="n"/>
      <c r="AI11" s="85" t="n"/>
      <c r="AJ11" s="88" t="n"/>
      <c r="AK11" s="21" t="n"/>
      <c r="AL11" s="21" t="n"/>
      <c r="AM11" s="21" t="n"/>
      <c r="AN11" s="21" t="n"/>
      <c r="AO11" s="21" t="n"/>
      <c r="AP11" s="21" t="n"/>
      <c r="AQ11" s="21" t="n"/>
      <c r="AS11" s="16">
        <f>IF(AND(TRIM(B11)&lt;&gt;"",AS10=1),1,0)</f>
        <v/>
      </c>
      <c r="AT11" s="3">
        <f>IF(AS11=1,A11&amp;". "&amp;IF(TRIM(C11)&lt;&gt;"",TRIM(C11),IF(LEN(TRIM(B11))&gt;18,LEFT(TRIM(B11),17)&amp;"…",TRIM(B11))),"")</f>
        <v/>
      </c>
      <c r="AU11" s="16">
        <f>IF(AS11=1,COUNTIF($B$10:$B$49,B11),0)</f>
        <v/>
      </c>
    </row>
    <row r="12" ht="22" customHeight="1" s="62">
      <c r="A12" s="6" t="n">
        <v>3</v>
      </c>
      <c r="B12" s="85" t="inlineStr">
        <is>
          <t>Humedad Relativa</t>
        </is>
      </c>
      <c r="C12" s="86" t="inlineStr">
        <is>
          <t>Saturación de vapor de agua (%).</t>
        </is>
      </c>
      <c r="D12" s="21" t="n">
        <v>1</v>
      </c>
      <c r="E12" s="21" t="n">
        <v>1</v>
      </c>
      <c r="F12" s="21" t="n">
        <v>0</v>
      </c>
      <c r="G12" s="21" t="n">
        <v>0</v>
      </c>
      <c r="H12" s="21" t="n">
        <v>0</v>
      </c>
      <c r="I12" s="21" t="n">
        <v>3</v>
      </c>
      <c r="J12" s="21" t="n">
        <v>0</v>
      </c>
      <c r="K12" s="21" t="n">
        <v>0</v>
      </c>
      <c r="L12" s="21" t="n">
        <v>1</v>
      </c>
      <c r="M12" s="21" t="n">
        <v>0</v>
      </c>
      <c r="N12" s="21" t="n">
        <v>0</v>
      </c>
      <c r="O12" s="21" t="n">
        <v>0</v>
      </c>
      <c r="P12" s="21" t="n">
        <v>0</v>
      </c>
      <c r="Q12" s="21" t="n">
        <v>0</v>
      </c>
      <c r="R12" s="21" t="n">
        <v>0</v>
      </c>
      <c r="S12" s="21" t="n"/>
      <c r="T12" s="88" t="n"/>
      <c r="U12" s="85" t="n"/>
      <c r="V12" s="85" t="n"/>
      <c r="W12" s="85" t="n"/>
      <c r="X12" s="85" t="n"/>
      <c r="Y12" s="85" t="n"/>
      <c r="Z12" s="85" t="n"/>
      <c r="AA12" s="85" t="n"/>
      <c r="AB12" s="85" t="n"/>
      <c r="AC12" s="88" t="n"/>
      <c r="AD12" s="85" t="n"/>
      <c r="AE12" s="85" t="n"/>
      <c r="AF12" s="85" t="n"/>
      <c r="AG12" s="85" t="n"/>
      <c r="AH12" s="85" t="n"/>
      <c r="AI12" s="85" t="n"/>
      <c r="AJ12" s="88" t="n"/>
      <c r="AK12" s="21" t="n"/>
      <c r="AL12" s="21" t="n"/>
      <c r="AM12" s="21" t="n"/>
      <c r="AN12" s="21" t="n"/>
      <c r="AO12" s="21" t="n"/>
      <c r="AP12" s="21" t="n"/>
      <c r="AQ12" s="21" t="n"/>
      <c r="AS12" s="16">
        <f>IF(AND(TRIM(B12)&lt;&gt;"",AS11=1),1,0)</f>
        <v/>
      </c>
      <c r="AT12" s="3">
        <f>IF(AS12=1,A12&amp;". "&amp;IF(TRIM(C12)&lt;&gt;"",TRIM(C12),IF(LEN(TRIM(B12))&gt;18,LEFT(TRIM(B12),17)&amp;"…",TRIM(B12))),"")</f>
        <v/>
      </c>
      <c r="AU12" s="16">
        <f>IF(AS12=1,COUNTIF($B$10:$B$49,B12),0)</f>
        <v/>
      </c>
    </row>
    <row r="13" ht="22" customHeight="1" s="62">
      <c r="A13" s="6" t="n">
        <v>4</v>
      </c>
      <c r="B13" s="85" t="inlineStr">
        <is>
          <t>Velocidad Viento</t>
        </is>
      </c>
      <c r="C13" s="86" t="inlineStr">
        <is>
          <t>Fuerza de dispersión eólica superficial (m/s).</t>
        </is>
      </c>
      <c r="D13" s="21" t="n">
        <v>2</v>
      </c>
      <c r="E13" s="21" t="n">
        <v>2</v>
      </c>
      <c r="F13" s="21" t="n">
        <v>0</v>
      </c>
      <c r="G13" s="21" t="n">
        <v>0</v>
      </c>
      <c r="H13" s="21" t="n">
        <v>0</v>
      </c>
      <c r="I13" s="21" t="n">
        <v>1</v>
      </c>
      <c r="J13" s="21" t="n">
        <v>0</v>
      </c>
      <c r="K13" s="21" t="n">
        <v>1</v>
      </c>
      <c r="L13" s="21" t="n">
        <v>1</v>
      </c>
      <c r="M13" s="21" t="n">
        <v>0</v>
      </c>
      <c r="N13" s="21" t="n">
        <v>0</v>
      </c>
      <c r="O13" s="21" t="n">
        <v>0</v>
      </c>
      <c r="P13" s="21" t="n">
        <v>1</v>
      </c>
      <c r="Q13" s="21" t="n">
        <v>0</v>
      </c>
      <c r="R13" s="21" t="n">
        <v>0</v>
      </c>
      <c r="S13" s="21" t="n"/>
      <c r="T13" s="88" t="n"/>
      <c r="U13" s="85" t="n"/>
      <c r="V13" s="85" t="n"/>
      <c r="W13" s="85" t="n"/>
      <c r="X13" s="85" t="n"/>
      <c r="Y13" s="85" t="n"/>
      <c r="Z13" s="85" t="n"/>
      <c r="AA13" s="85" t="n"/>
      <c r="AB13" s="88" t="n"/>
      <c r="AC13" s="85" t="n"/>
      <c r="AD13" s="85" t="n"/>
      <c r="AE13" s="85" t="n"/>
      <c r="AF13" s="85" t="n"/>
      <c r="AG13" s="85" t="n"/>
      <c r="AH13" s="85" t="n"/>
      <c r="AI13" s="85" t="n"/>
      <c r="AJ13" s="88" t="n"/>
      <c r="AK13" s="21" t="n"/>
      <c r="AL13" s="21" t="n"/>
      <c r="AM13" s="21" t="n"/>
      <c r="AN13" s="21" t="n"/>
      <c r="AO13" s="21" t="n"/>
      <c r="AP13" s="21" t="n"/>
      <c r="AQ13" s="21" t="n"/>
      <c r="AS13" s="16">
        <f>IF(AND(TRIM(B13)&lt;&gt;"",AS12=1),1,0)</f>
        <v/>
      </c>
      <c r="AT13" s="3">
        <f>IF(AS13=1,A13&amp;". "&amp;IF(TRIM(C13)&lt;&gt;"",TRIM(C13),IF(LEN(TRIM(B13))&gt;18,LEFT(TRIM(B13),17)&amp;"…",TRIM(B13))),"")</f>
        <v/>
      </c>
      <c r="AU13" s="16">
        <f>IF(AS13=1,COUNTIF($B$10:$B$49,B13),0)</f>
        <v/>
      </c>
    </row>
    <row r="14" ht="22" customHeight="1" s="62">
      <c r="A14" s="6" t="n">
        <v>5</v>
      </c>
      <c r="B14" s="85" t="inlineStr">
        <is>
          <t>Vol. Escombros</t>
        </is>
      </c>
      <c r="C14" s="86" t="inlineStr">
        <is>
          <t>Residuos removidos post-sismo (t/día).</t>
        </is>
      </c>
      <c r="D14" s="21" t="n">
        <v>2</v>
      </c>
      <c r="E14" s="21" t="n">
        <v>3</v>
      </c>
      <c r="F14" s="21" t="n">
        <v>0</v>
      </c>
      <c r="G14" s="21" t="n">
        <v>0</v>
      </c>
      <c r="H14" s="21" t="n">
        <v>0</v>
      </c>
      <c r="I14" s="21" t="n">
        <v>0</v>
      </c>
      <c r="J14" s="21" t="n">
        <v>0</v>
      </c>
      <c r="K14" s="21" t="n">
        <v>0</v>
      </c>
      <c r="L14" s="21" t="n">
        <v>2</v>
      </c>
      <c r="M14" s="21" t="n">
        <v>0</v>
      </c>
      <c r="N14" s="21" t="n">
        <v>0</v>
      </c>
      <c r="O14" s="21" t="n">
        <v>0</v>
      </c>
      <c r="P14" s="21" t="n">
        <v>0</v>
      </c>
      <c r="Q14" s="21" t="n">
        <v>0</v>
      </c>
      <c r="R14" s="21" t="n">
        <v>0</v>
      </c>
      <c r="S14" s="21" t="n"/>
      <c r="T14" s="88" t="n"/>
      <c r="U14" s="85" t="n"/>
      <c r="V14" s="85" t="n"/>
      <c r="W14" s="85" t="n"/>
      <c r="X14" s="85" t="n"/>
      <c r="Y14" s="85" t="n"/>
      <c r="Z14" s="85" t="n"/>
      <c r="AA14" s="85" t="n"/>
      <c r="AB14" s="85" t="n"/>
      <c r="AC14" s="88" t="n"/>
      <c r="AD14" s="85" t="n"/>
      <c r="AE14" s="85" t="n"/>
      <c r="AF14" s="85" t="n"/>
      <c r="AG14" s="85" t="n"/>
      <c r="AH14" s="85" t="n"/>
      <c r="AI14" s="85" t="n"/>
      <c r="AJ14" s="88" t="n"/>
      <c r="AK14" s="21" t="n"/>
      <c r="AL14" s="21" t="n"/>
      <c r="AM14" s="21" t="n"/>
      <c r="AN14" s="21" t="n"/>
      <c r="AO14" s="21" t="n"/>
      <c r="AP14" s="21" t="n"/>
      <c r="AQ14" s="21" t="n"/>
      <c r="AS14" s="16">
        <f>IF(AND(TRIM(B14)&lt;&gt;"",AS13=1),1,0)</f>
        <v/>
      </c>
      <c r="AT14" s="3">
        <f>IF(AS14=1,A14&amp;". "&amp;IF(TRIM(C14)&lt;&gt;"",TRIM(C14),IF(LEN(TRIM(B14))&gt;18,LEFT(TRIM(B14),17)&amp;"…",TRIM(B14))),"")</f>
        <v/>
      </c>
      <c r="AU14" s="16">
        <f>IF(AS14=1,COUNTIF($B$10:$B$49,B14),0)</f>
        <v/>
      </c>
    </row>
    <row r="15" ht="22" customHeight="1" s="62">
      <c r="A15" s="6" t="n">
        <v>6</v>
      </c>
      <c r="B15" s="85" t="inlineStr">
        <is>
          <t>Error Medición IoT</t>
        </is>
      </c>
      <c r="C15" s="86" t="inlineStr">
        <is>
          <t>Desfase metrológico del sensor láser (NMAE %).</t>
        </is>
      </c>
      <c r="D15" s="21" t="n">
        <v>0</v>
      </c>
      <c r="E15" s="21" t="n">
        <v>0</v>
      </c>
      <c r="F15" s="21" t="n">
        <v>0</v>
      </c>
      <c r="G15" s="21" t="n">
        <v>0</v>
      </c>
      <c r="H15" s="21" t="n">
        <v>0</v>
      </c>
      <c r="I15" s="21" t="n">
        <v>0</v>
      </c>
      <c r="J15" s="21" t="n">
        <v>1</v>
      </c>
      <c r="K15" s="21" t="n">
        <v>0</v>
      </c>
      <c r="L15" s="21" t="n">
        <v>1</v>
      </c>
      <c r="M15" s="21" t="n">
        <v>0</v>
      </c>
      <c r="N15" s="21" t="n">
        <v>3</v>
      </c>
      <c r="O15" s="21" t="n">
        <v>2</v>
      </c>
      <c r="P15" s="21" t="n">
        <v>0</v>
      </c>
      <c r="Q15" s="21" t="n">
        <v>0</v>
      </c>
      <c r="R15" s="21" t="n">
        <v>1</v>
      </c>
      <c r="S15" s="21" t="n"/>
      <c r="T15" s="88" t="n"/>
      <c r="U15" s="85" t="n"/>
      <c r="V15" s="85" t="n"/>
      <c r="W15" s="85" t="n"/>
      <c r="X15" s="85" t="n"/>
      <c r="Y15" s="85" t="n"/>
      <c r="Z15" s="85" t="n"/>
      <c r="AA15" s="85" t="n"/>
      <c r="AB15" s="85" t="n"/>
      <c r="AC15" s="85" t="n"/>
      <c r="AD15" s="85" t="n"/>
      <c r="AE15" s="85" t="n"/>
      <c r="AF15" s="85" t="n"/>
      <c r="AG15" s="85" t="n"/>
      <c r="AH15" s="85" t="n"/>
      <c r="AI15" s="85" t="n"/>
      <c r="AJ15" s="88" t="n"/>
      <c r="AK15" s="21" t="n"/>
      <c r="AL15" s="21" t="n"/>
      <c r="AM15" s="21" t="n"/>
      <c r="AN15" s="21" t="n"/>
      <c r="AO15" s="21" t="n"/>
      <c r="AP15" s="21" t="n"/>
      <c r="AQ15" s="21" t="n"/>
      <c r="AS15" s="16">
        <f>IF(AND(TRIM(B15)&lt;&gt;"",AS14=1),1,0)</f>
        <v/>
      </c>
      <c r="AT15" s="3">
        <f>IF(AS15=1,A15&amp;". "&amp;IF(TRIM(C15)&lt;&gt;"",TRIM(C15),IF(LEN(TRIM(B15))&gt;18,LEFT(TRIM(B15),17)&amp;"…",TRIM(B15))),"")</f>
        <v/>
      </c>
      <c r="AU15" s="16">
        <f>IF(AS15=1,COUNTIF($B$10:$B$49,B15),0)</f>
        <v/>
      </c>
    </row>
    <row r="16" ht="22" customHeight="1" s="62">
      <c r="A16" s="6" t="n">
        <v>7</v>
      </c>
      <c r="B16" s="85" t="inlineStr">
        <is>
          <t>Frec. Calibración</t>
        </is>
      </c>
      <c r="C16" s="86" t="inlineStr">
        <is>
          <t>Tasa de ajuste algorítmico del gemelo (Ajustes/sem).</t>
        </is>
      </c>
      <c r="D16" s="21" t="n">
        <v>0</v>
      </c>
      <c r="E16" s="21" t="n">
        <v>0</v>
      </c>
      <c r="F16" s="21" t="n">
        <v>0</v>
      </c>
      <c r="G16" s="21" t="n">
        <v>0</v>
      </c>
      <c r="H16" s="21" t="n">
        <v>0</v>
      </c>
      <c r="I16" s="21" t="n">
        <v>3</v>
      </c>
      <c r="J16" s="21" t="n">
        <v>0</v>
      </c>
      <c r="K16" s="21" t="n">
        <v>1</v>
      </c>
      <c r="L16" s="21" t="n">
        <v>1</v>
      </c>
      <c r="M16" s="21" t="n">
        <v>0</v>
      </c>
      <c r="N16" s="21" t="n">
        <v>0</v>
      </c>
      <c r="O16" s="21" t="n">
        <v>0</v>
      </c>
      <c r="P16" s="21" t="n">
        <v>0</v>
      </c>
      <c r="Q16" s="21" t="n">
        <v>0</v>
      </c>
      <c r="R16" s="21" t="n">
        <v>0</v>
      </c>
      <c r="S16" s="21" t="n"/>
      <c r="T16" s="88" t="n"/>
      <c r="U16" s="85" t="n"/>
      <c r="V16" s="85" t="n"/>
      <c r="W16" s="85" t="n"/>
      <c r="X16" s="85" t="n"/>
      <c r="Y16" s="85" t="n"/>
      <c r="Z16" s="85" t="n"/>
      <c r="AA16" s="85" t="n"/>
      <c r="AB16" s="88" t="n"/>
      <c r="AC16" s="85" t="n"/>
      <c r="AD16" s="85" t="n"/>
      <c r="AE16" s="85" t="n"/>
      <c r="AF16" s="85" t="n"/>
      <c r="AG16" s="85" t="n"/>
      <c r="AH16" s="85" t="n"/>
      <c r="AI16" s="85" t="n"/>
      <c r="AJ16" s="88" t="n"/>
      <c r="AK16" s="21" t="n"/>
      <c r="AL16" s="21" t="n"/>
      <c r="AM16" s="21" t="n"/>
      <c r="AN16" s="21" t="n"/>
      <c r="AO16" s="21" t="n"/>
      <c r="AP16" s="21" t="n"/>
      <c r="AQ16" s="21" t="n"/>
      <c r="AS16" s="16">
        <f>IF(AND(TRIM(B16)&lt;&gt;"",AS15=1),1,0)</f>
        <v/>
      </c>
      <c r="AT16" s="3">
        <f>IF(AS16=1,A16&amp;". "&amp;IF(TRIM(C16)&lt;&gt;"",TRIM(C16),IF(LEN(TRIM(B16))&gt;18,LEFT(TRIM(B16),17)&amp;"…",TRIM(B16))),"")</f>
        <v/>
      </c>
      <c r="AU16" s="16">
        <f>IF(AS16=1,COUNTIF($B$10:$B$49,B16),0)</f>
        <v/>
      </c>
    </row>
    <row r="17" ht="22" customHeight="1" s="62">
      <c r="A17" s="6" t="n">
        <v>8</v>
      </c>
      <c r="B17" s="85" t="inlineStr">
        <is>
          <t>Latencia Datos</t>
        </is>
      </c>
      <c r="C17" s="86" t="inlineStr">
        <is>
          <t>Retraso en transmisión a la nube central (minutos).</t>
        </is>
      </c>
      <c r="D17" s="21" t="n">
        <v>0</v>
      </c>
      <c r="E17" s="21" t="n">
        <v>0</v>
      </c>
      <c r="F17" s="21" t="n">
        <v>0</v>
      </c>
      <c r="G17" s="21" t="n">
        <v>0</v>
      </c>
      <c r="H17" s="21" t="n">
        <v>0</v>
      </c>
      <c r="I17" s="21" t="n">
        <v>0</v>
      </c>
      <c r="J17" s="21" t="n">
        <v>0</v>
      </c>
      <c r="K17" s="21" t="n">
        <v>0</v>
      </c>
      <c r="L17" s="21" t="n">
        <v>0</v>
      </c>
      <c r="M17" s="21" t="n">
        <v>0</v>
      </c>
      <c r="N17" s="21" t="n">
        <v>0</v>
      </c>
      <c r="O17" s="21" t="n">
        <v>0</v>
      </c>
      <c r="P17" s="21" t="n">
        <v>2</v>
      </c>
      <c r="Q17" s="21" t="n">
        <v>0</v>
      </c>
      <c r="R17" s="21" t="n">
        <v>0</v>
      </c>
      <c r="S17" s="21" t="n"/>
      <c r="T17" s="88" t="n"/>
      <c r="U17" s="85" t="n"/>
      <c r="V17" s="85" t="n"/>
      <c r="W17" s="85" t="n"/>
      <c r="X17" s="85" t="n"/>
      <c r="Y17" s="85" t="n"/>
      <c r="Z17" s="88" t="n"/>
      <c r="AA17" s="85" t="n"/>
      <c r="AB17" s="85" t="n"/>
      <c r="AC17" s="85" t="n"/>
      <c r="AD17" s="85" t="n"/>
      <c r="AE17" s="85" t="n"/>
      <c r="AF17" s="85" t="n"/>
      <c r="AG17" s="85" t="n"/>
      <c r="AH17" s="85" t="n"/>
      <c r="AI17" s="85" t="n"/>
      <c r="AJ17" s="88" t="n"/>
      <c r="AK17" s="21" t="n"/>
      <c r="AL17" s="21" t="n"/>
      <c r="AM17" s="21" t="n"/>
      <c r="AN17" s="21" t="n"/>
      <c r="AO17" s="21" t="n"/>
      <c r="AP17" s="21" t="n"/>
      <c r="AQ17" s="21" t="n"/>
      <c r="AS17" s="16">
        <f>IF(AND(TRIM(B17)&lt;&gt;"",AS16=1),1,0)</f>
        <v/>
      </c>
      <c r="AT17" s="3">
        <f>IF(AS17=1,A17&amp;". "&amp;IF(TRIM(C17)&lt;&gt;"",TRIM(C17),IF(LEN(TRIM(B17))&gt;18,LEFT(TRIM(B17),17)&amp;"…",TRIM(B17))),"")</f>
        <v/>
      </c>
      <c r="AU17" s="16">
        <f>IF(AS17=1,COUNTIF($B$10:$B$49,B17),0)</f>
        <v/>
      </c>
    </row>
    <row r="18" ht="22" customHeight="1" s="62">
      <c r="A18" s="6" t="n">
        <v>9</v>
      </c>
      <c r="B18" s="85" t="inlineStr">
        <is>
          <t>Disp. Nodos IoT</t>
        </is>
      </c>
      <c r="C18" s="86" t="inlineStr">
        <is>
          <t>Porcentaje de la red de sensores activa y con energía (%).</t>
        </is>
      </c>
      <c r="D18" s="21" t="n">
        <v>0</v>
      </c>
      <c r="E18" s="21" t="n">
        <v>0</v>
      </c>
      <c r="F18" s="21" t="n">
        <v>0</v>
      </c>
      <c r="G18" s="21" t="n">
        <v>0</v>
      </c>
      <c r="H18" s="21" t="n">
        <v>0</v>
      </c>
      <c r="I18" s="21" t="n">
        <v>0</v>
      </c>
      <c r="J18" s="21" t="n">
        <v>0</v>
      </c>
      <c r="K18" s="21" t="n">
        <v>0</v>
      </c>
      <c r="L18" s="21" t="n">
        <v>0</v>
      </c>
      <c r="M18" s="21" t="n">
        <v>3</v>
      </c>
      <c r="N18" s="21" t="n">
        <v>0</v>
      </c>
      <c r="O18" s="21" t="n">
        <v>0</v>
      </c>
      <c r="P18" s="21" t="n">
        <v>0</v>
      </c>
      <c r="Q18" s="21" t="n">
        <v>0</v>
      </c>
      <c r="R18" s="21" t="n">
        <v>1</v>
      </c>
      <c r="S18" s="21" t="n"/>
      <c r="T18" s="88" t="n"/>
      <c r="U18" s="85" t="n"/>
      <c r="V18" s="85" t="n"/>
      <c r="W18" s="85" t="n"/>
      <c r="X18" s="85" t="n"/>
      <c r="Y18" s="85" t="n"/>
      <c r="Z18" s="85" t="n"/>
      <c r="AA18" s="85" t="n"/>
      <c r="AB18" s="85" t="n"/>
      <c r="AC18" s="85" t="n"/>
      <c r="AD18" s="85" t="n"/>
      <c r="AE18" s="85" t="n"/>
      <c r="AF18" s="85" t="n"/>
      <c r="AG18" s="85" t="n"/>
      <c r="AH18" s="85" t="n"/>
      <c r="AI18" s="85" t="n"/>
      <c r="AJ18" s="88" t="n"/>
      <c r="AK18" s="21" t="n"/>
      <c r="AL18" s="21" t="n"/>
      <c r="AM18" s="21" t="n"/>
      <c r="AN18" s="21" t="n"/>
      <c r="AO18" s="21" t="n"/>
      <c r="AP18" s="21" t="n"/>
      <c r="AQ18" s="21" t="n"/>
      <c r="AS18" s="16">
        <f>IF(AND(TRIM(B18)&lt;&gt;"",AS17=1),1,0)</f>
        <v/>
      </c>
      <c r="AT18" s="3">
        <f>IF(AS18=1,A18&amp;". "&amp;IF(TRIM(C18)&lt;&gt;"",TRIM(C18),IF(LEN(TRIM(B18))&gt;18,LEFT(TRIM(B18),17)&amp;"…",TRIM(B18))),"")</f>
        <v/>
      </c>
      <c r="AU18" s="16">
        <f>IF(AS18=1,COUNTIF($B$10:$B$49,B18),0)</f>
        <v/>
      </c>
    </row>
    <row r="19" ht="22" customHeight="1" s="62">
      <c r="A19" s="6" t="n">
        <v>10</v>
      </c>
      <c r="B19" s="85" t="inlineStr">
        <is>
          <t>Densidad Gemelo</t>
        </is>
      </c>
      <c r="C19" s="86" t="inlineStr">
        <is>
          <t>Resolución del mapa predictivo espacial (nodos/km²).</t>
        </is>
      </c>
      <c r="D19" s="21" t="n">
        <v>0</v>
      </c>
      <c r="E19" s="21" t="n">
        <v>0</v>
      </c>
      <c r="F19" s="21" t="n">
        <v>0</v>
      </c>
      <c r="G19" s="21" t="n">
        <v>0</v>
      </c>
      <c r="H19" s="21" t="n">
        <v>0</v>
      </c>
      <c r="I19" s="21" t="n">
        <v>1</v>
      </c>
      <c r="J19" s="21" t="n">
        <v>0</v>
      </c>
      <c r="K19" s="21" t="n">
        <v>0</v>
      </c>
      <c r="L19" s="21" t="n">
        <v>0</v>
      </c>
      <c r="M19" s="21" t="n">
        <v>0</v>
      </c>
      <c r="N19" s="21" t="n">
        <v>2</v>
      </c>
      <c r="O19" s="21" t="n">
        <v>1</v>
      </c>
      <c r="P19" s="21" t="n">
        <v>1</v>
      </c>
      <c r="Q19" s="21" t="n">
        <v>0</v>
      </c>
      <c r="R19" s="21" t="n">
        <v>0</v>
      </c>
      <c r="S19" s="21" t="n"/>
      <c r="T19" s="88" t="n"/>
      <c r="U19" s="85" t="n"/>
      <c r="V19" s="85" t="n"/>
      <c r="W19" s="85" t="n"/>
      <c r="X19" s="85" t="n"/>
      <c r="Y19" s="85" t="n"/>
      <c r="Z19" s="85" t="n"/>
      <c r="AA19" s="85" t="n"/>
      <c r="AB19" s="85" t="n"/>
      <c r="AC19" s="85" t="n"/>
      <c r="AD19" s="85" t="n"/>
      <c r="AE19" s="85" t="n"/>
      <c r="AF19" s="85" t="n"/>
      <c r="AG19" s="85" t="n"/>
      <c r="AH19" s="85" t="n"/>
      <c r="AI19" s="85" t="n"/>
      <c r="AJ19" s="88" t="n"/>
      <c r="AK19" s="21" t="n"/>
      <c r="AL19" s="21" t="n"/>
      <c r="AM19" s="21" t="n"/>
      <c r="AN19" s="21" t="n"/>
      <c r="AO19" s="21" t="n"/>
      <c r="AP19" s="21" t="n"/>
      <c r="AQ19" s="21" t="n"/>
      <c r="AS19" s="16">
        <f>IF(AND(TRIM(B19)&lt;&gt;"",AS18=1),1,0)</f>
        <v/>
      </c>
      <c r="AT19" s="3">
        <f>IF(AS19=1,A19&amp;". "&amp;IF(TRIM(C19)&lt;&gt;"",TRIM(C19),IF(LEN(TRIM(B19))&gt;18,LEFT(TRIM(B19),17)&amp;"…",TRIM(B19))),"")</f>
        <v/>
      </c>
      <c r="AU19" s="16">
        <f>IF(AS19=1,COUNTIF($B$10:$B$49,B19),0)</f>
        <v/>
      </c>
    </row>
    <row r="20" ht="22" customHeight="1" s="62">
      <c r="A20" s="6" t="n">
        <v>11</v>
      </c>
      <c r="B20" s="85" t="inlineStr">
        <is>
          <t>Índice AQHI</t>
        </is>
      </c>
      <c r="C20" s="86" t="inlineStr">
        <is>
          <t>Nivel de peligro de salud pública emitido (1-10).</t>
        </is>
      </c>
      <c r="D20" s="21" t="n">
        <v>0</v>
      </c>
      <c r="E20" s="21" t="n">
        <v>0</v>
      </c>
      <c r="F20" s="21" t="n">
        <v>0</v>
      </c>
      <c r="G20" s="21" t="n">
        <v>0</v>
      </c>
      <c r="H20" s="21" t="n">
        <v>0</v>
      </c>
      <c r="I20" s="21" t="n">
        <v>0</v>
      </c>
      <c r="J20" s="21" t="n">
        <v>0</v>
      </c>
      <c r="K20" s="21" t="n">
        <v>0</v>
      </c>
      <c r="L20" s="21" t="n">
        <v>0</v>
      </c>
      <c r="M20" s="21" t="n">
        <v>0</v>
      </c>
      <c r="N20" s="21" t="n">
        <v>0</v>
      </c>
      <c r="O20" s="21" t="n">
        <v>2</v>
      </c>
      <c r="P20" s="21" t="n">
        <v>0</v>
      </c>
      <c r="Q20" s="21" t="n">
        <v>2</v>
      </c>
      <c r="R20" s="21" t="n">
        <v>1</v>
      </c>
      <c r="S20" s="21" t="n"/>
      <c r="T20" s="88" t="n"/>
      <c r="U20" s="85" t="n"/>
      <c r="V20" s="85" t="n"/>
      <c r="W20" s="85" t="n"/>
      <c r="X20" s="85" t="n"/>
      <c r="Y20" s="85" t="n"/>
      <c r="Z20" s="85" t="n"/>
      <c r="AA20" s="85" t="n"/>
      <c r="AB20" s="85" t="n"/>
      <c r="AC20" s="85" t="n"/>
      <c r="AD20" s="85" t="n"/>
      <c r="AE20" s="85" t="n"/>
      <c r="AF20" s="85" t="n"/>
      <c r="AG20" s="85" t="n"/>
      <c r="AH20" s="85" t="n"/>
      <c r="AI20" s="85" t="n"/>
      <c r="AJ20" s="88" t="n"/>
      <c r="AK20" s="21" t="n"/>
      <c r="AL20" s="21" t="n"/>
      <c r="AM20" s="21" t="n"/>
      <c r="AN20" s="21" t="n"/>
      <c r="AO20" s="21" t="n"/>
      <c r="AP20" s="21" t="n"/>
      <c r="AQ20" s="21" t="n"/>
      <c r="AS20" s="16">
        <f>IF(AND(TRIM(B20)&lt;&gt;"",AS19=1),1,0)</f>
        <v/>
      </c>
      <c r="AT20" s="3">
        <f>IF(AS20=1,A20&amp;". "&amp;IF(TRIM(C20)&lt;&gt;"",TRIM(C20),IF(LEN(TRIM(B20))&gt;18,LEFT(TRIM(B20),17)&amp;"…",TRIM(B20))),"")</f>
        <v/>
      </c>
      <c r="AU20" s="16">
        <f>IF(AS20=1,COUNTIF($B$10:$B$49,B20),0)</f>
        <v/>
      </c>
    </row>
    <row r="21" ht="22" customHeight="1" s="62">
      <c r="A21" s="6" t="n">
        <v>12</v>
      </c>
      <c r="B21" s="85" t="inlineStr">
        <is>
          <t>Falsas Alarmas</t>
        </is>
      </c>
      <c r="C21" s="86" t="inlineStr">
        <is>
          <t>Tasa de alertas emitidas sin superación de umbral real (%).</t>
        </is>
      </c>
      <c r="D21" s="21" t="n">
        <v>0</v>
      </c>
      <c r="E21" s="21" t="n">
        <v>0</v>
      </c>
      <c r="F21" s="21" t="n">
        <v>0</v>
      </c>
      <c r="G21" s="21" t="n">
        <v>0</v>
      </c>
      <c r="H21" s="21" t="n">
        <v>0</v>
      </c>
      <c r="I21" s="21" t="n">
        <v>0</v>
      </c>
      <c r="J21" s="21" t="n">
        <v>0</v>
      </c>
      <c r="K21" s="21" t="n">
        <v>0</v>
      </c>
      <c r="L21" s="21" t="n">
        <v>0</v>
      </c>
      <c r="M21" s="21" t="n">
        <v>0</v>
      </c>
      <c r="N21" s="21" t="n">
        <v>1</v>
      </c>
      <c r="O21" s="21" t="n">
        <v>0</v>
      </c>
      <c r="P21" s="21" t="n">
        <v>0</v>
      </c>
      <c r="Q21" s="21" t="n">
        <v>1</v>
      </c>
      <c r="R21" s="21" t="n">
        <v>2</v>
      </c>
      <c r="S21" s="21" t="n"/>
      <c r="T21" s="88" t="n"/>
      <c r="U21" s="85" t="n"/>
      <c r="V21" s="85" t="n"/>
      <c r="W21" s="85" t="n"/>
      <c r="X21" s="85" t="n"/>
      <c r="Y21" s="85" t="n"/>
      <c r="Z21" s="85" t="n"/>
      <c r="AA21" s="85" t="n"/>
      <c r="AB21" s="85" t="n"/>
      <c r="AC21" s="85" t="n"/>
      <c r="AD21" s="85" t="n"/>
      <c r="AE21" s="88" t="n"/>
      <c r="AF21" s="85" t="n"/>
      <c r="AG21" s="85" t="n"/>
      <c r="AH21" s="85" t="n"/>
      <c r="AI21" s="85" t="n"/>
      <c r="AJ21" s="88" t="n"/>
      <c r="AK21" s="21" t="n"/>
      <c r="AL21" s="21" t="n"/>
      <c r="AM21" s="21" t="n"/>
      <c r="AN21" s="21" t="n"/>
      <c r="AO21" s="21" t="n"/>
      <c r="AP21" s="21" t="n"/>
      <c r="AQ21" s="21" t="n"/>
      <c r="AS21" s="16">
        <f>IF(AND(TRIM(B21)&lt;&gt;"",AS20=1),1,0)</f>
        <v/>
      </c>
      <c r="AT21" s="3">
        <f>IF(AS21=1,A21&amp;". "&amp;IF(TRIM(C21)&lt;&gt;"",TRIM(C21),IF(LEN(TRIM(B21))&gt;18,LEFT(TRIM(B21),17)&amp;"…",TRIM(B21))),"")</f>
        <v/>
      </c>
      <c r="AU21" s="16">
        <f>IF(AS21=1,COUNTIF($B$10:$B$49,B21),0)</f>
        <v/>
      </c>
    </row>
    <row r="22" ht="22" customHeight="1" s="62">
      <c r="A22" s="6" t="n">
        <v>13</v>
      </c>
      <c r="B22" s="85" t="inlineStr">
        <is>
          <t>Anticipación</t>
        </is>
      </c>
      <c r="C22" s="86" t="inlineStr">
        <is>
          <t>Tiempo de aviso preventivo antes del impacto (Horas).</t>
        </is>
      </c>
      <c r="D22" s="21" t="n">
        <v>0</v>
      </c>
      <c r="E22" s="21" t="n">
        <v>0</v>
      </c>
      <c r="F22" s="21" t="n">
        <v>0</v>
      </c>
      <c r="G22" s="21" t="n">
        <v>0</v>
      </c>
      <c r="H22" s="21" t="n">
        <v>0</v>
      </c>
      <c r="I22" s="21" t="n">
        <v>0</v>
      </c>
      <c r="J22" s="21" t="n">
        <v>0</v>
      </c>
      <c r="K22" s="21" t="n">
        <v>0</v>
      </c>
      <c r="L22" s="21" t="n">
        <v>0</v>
      </c>
      <c r="M22" s="21" t="n">
        <v>0</v>
      </c>
      <c r="N22" s="21" t="n">
        <v>0</v>
      </c>
      <c r="O22" s="21" t="n">
        <v>0</v>
      </c>
      <c r="P22" s="21" t="n">
        <v>0</v>
      </c>
      <c r="Q22" s="21" t="n">
        <v>2</v>
      </c>
      <c r="R22" s="21" t="n">
        <v>0</v>
      </c>
      <c r="S22" s="21" t="n"/>
      <c r="T22" s="88" t="n"/>
      <c r="U22" s="85" t="n"/>
      <c r="V22" s="85" t="n"/>
      <c r="W22" s="85" t="n"/>
      <c r="X22" s="85" t="n"/>
      <c r="Y22" s="85" t="n"/>
      <c r="Z22" s="85" t="n"/>
      <c r="AA22" s="85" t="n"/>
      <c r="AB22" s="85" t="n"/>
      <c r="AC22" s="85" t="n"/>
      <c r="AD22" s="85" t="n"/>
      <c r="AE22" s="85" t="n"/>
      <c r="AF22" s="85" t="n"/>
      <c r="AG22" s="85" t="n"/>
      <c r="AH22" s="85" t="n"/>
      <c r="AI22" s="85" t="n"/>
      <c r="AJ22" s="88" t="n"/>
      <c r="AK22" s="21" t="n"/>
      <c r="AL22" s="21" t="n"/>
      <c r="AM22" s="21" t="n"/>
      <c r="AN22" s="21" t="n"/>
      <c r="AO22" s="21" t="n"/>
      <c r="AP22" s="21" t="n"/>
      <c r="AQ22" s="21" t="n"/>
      <c r="AS22" s="16">
        <f>IF(AND(TRIM(B22)&lt;&gt;"",AS21=1),1,0)</f>
        <v/>
      </c>
      <c r="AT22" s="3">
        <f>IF(AS22=1,A22&amp;". "&amp;IF(TRIM(C22)&lt;&gt;"",TRIM(C22),IF(LEN(TRIM(B22))&gt;18,LEFT(TRIM(B22),17)&amp;"…",TRIM(B22))),"")</f>
        <v/>
      </c>
      <c r="AU22" s="16">
        <f>IF(AS22=1,COUNTIF($B$10:$B$49,B22),0)</f>
        <v/>
      </c>
    </row>
    <row r="23" ht="22" customHeight="1" s="62">
      <c r="A23" s="6" t="n">
        <v>14</v>
      </c>
      <c r="B23" s="85" t="inlineStr">
        <is>
          <t>Pers. Alertado</t>
        </is>
      </c>
      <c r="C23" s="86" t="inlineStr">
        <is>
          <t>Población y operarios bajo protección efectiva (Conteo).</t>
        </is>
      </c>
      <c r="D23" s="21" t="n">
        <v>0</v>
      </c>
      <c r="E23" s="21" t="n">
        <v>0</v>
      </c>
      <c r="F23" s="21" t="n">
        <v>0</v>
      </c>
      <c r="G23" s="21" t="n">
        <v>0</v>
      </c>
      <c r="H23" s="21" t="n">
        <v>0</v>
      </c>
      <c r="I23" s="21" t="n">
        <v>0</v>
      </c>
      <c r="J23" s="21" t="n">
        <v>0</v>
      </c>
      <c r="K23" s="21" t="n">
        <v>0</v>
      </c>
      <c r="L23" s="21" t="n">
        <v>0</v>
      </c>
      <c r="M23" s="21" t="n">
        <v>0</v>
      </c>
      <c r="N23" s="21" t="n">
        <v>0</v>
      </c>
      <c r="O23" s="21" t="n">
        <v>0</v>
      </c>
      <c r="P23" s="21" t="n">
        <v>0</v>
      </c>
      <c r="Q23" s="21" t="n">
        <v>0</v>
      </c>
      <c r="R23" s="21" t="n">
        <v>2</v>
      </c>
      <c r="S23" s="21" t="n"/>
      <c r="T23" s="88" t="n"/>
      <c r="U23" s="85" t="n"/>
      <c r="V23" s="85" t="n"/>
      <c r="W23" s="85" t="n"/>
      <c r="X23" s="85" t="n"/>
      <c r="Y23" s="85" t="n"/>
      <c r="Z23" s="85" t="n"/>
      <c r="AA23" s="85" t="n"/>
      <c r="AB23" s="85" t="n"/>
      <c r="AC23" s="85" t="n"/>
      <c r="AD23" s="85" t="n"/>
      <c r="AE23" s="85" t="n"/>
      <c r="AF23" s="85" t="n"/>
      <c r="AG23" s="85" t="n"/>
      <c r="AH23" s="85" t="n"/>
      <c r="AI23" s="85" t="n"/>
      <c r="AJ23" s="88" t="n"/>
      <c r="AK23" s="21" t="n"/>
      <c r="AL23" s="21" t="n"/>
      <c r="AM23" s="21" t="n"/>
      <c r="AN23" s="21" t="n"/>
      <c r="AO23" s="21" t="n"/>
      <c r="AP23" s="21" t="n"/>
      <c r="AQ23" s="21" t="n"/>
      <c r="AS23" s="16">
        <f>IF(AND(TRIM(B23)&lt;&gt;"",AS22=1),1,0)</f>
        <v/>
      </c>
      <c r="AT23" s="3">
        <f>IF(AS23=1,A23&amp;". "&amp;IF(TRIM(C23)&lt;&gt;"",TRIM(C23),IF(LEN(TRIM(B23))&gt;18,LEFT(TRIM(B23),17)&amp;"…",TRIM(B23))),"")</f>
        <v/>
      </c>
      <c r="AU23" s="16">
        <f>IF(AS23=1,COUNTIF($B$10:$B$49,B23),0)</f>
        <v/>
      </c>
    </row>
    <row r="24" ht="22" customHeight="1" s="62">
      <c r="A24" s="6" t="n">
        <v>15</v>
      </c>
      <c r="B24" s="85" t="inlineStr">
        <is>
          <t>Adopción Institucional</t>
        </is>
      </c>
      <c r="C24" s="86" t="inlineStr">
        <is>
          <t>Uso efectivo del tablero por alcaldías/UNGRD (%).</t>
        </is>
      </c>
      <c r="D24" s="21" t="n">
        <v>0</v>
      </c>
      <c r="E24" s="21" t="n">
        <v>0</v>
      </c>
      <c r="F24" s="21" t="n">
        <v>0</v>
      </c>
      <c r="G24" s="21" t="n">
        <v>0</v>
      </c>
      <c r="H24" s="21" t="n">
        <v>1</v>
      </c>
      <c r="I24" s="21" t="n">
        <v>0</v>
      </c>
      <c r="J24" s="21" t="n">
        <v>1</v>
      </c>
      <c r="K24" s="21" t="n">
        <v>0</v>
      </c>
      <c r="L24" s="21" t="n">
        <v>2</v>
      </c>
      <c r="M24" s="21" t="n">
        <v>1</v>
      </c>
      <c r="N24" s="21" t="n">
        <v>0</v>
      </c>
      <c r="O24" s="21" t="n">
        <v>0</v>
      </c>
      <c r="P24" s="21" t="n">
        <v>0</v>
      </c>
      <c r="Q24" s="21" t="n">
        <v>2</v>
      </c>
      <c r="R24" s="21" t="n">
        <v>0</v>
      </c>
      <c r="S24" s="21" t="n"/>
      <c r="T24" s="88" t="n"/>
      <c r="U24" s="85" t="n"/>
      <c r="V24" s="85" t="n"/>
      <c r="W24" s="85" t="n"/>
      <c r="X24" s="85" t="n"/>
      <c r="Y24" s="85" t="n"/>
      <c r="Z24" s="85" t="n"/>
      <c r="AA24" s="88" t="n"/>
      <c r="AB24" s="85" t="n"/>
      <c r="AC24" s="88" t="n"/>
      <c r="AD24" s="85" t="n"/>
      <c r="AE24" s="85" t="n"/>
      <c r="AF24" s="85" t="n"/>
      <c r="AG24" s="85" t="n"/>
      <c r="AH24" s="85" t="n"/>
      <c r="AI24" s="85" t="n"/>
      <c r="AJ24" s="88" t="n"/>
      <c r="AK24" s="21" t="n"/>
      <c r="AL24" s="21" t="n"/>
      <c r="AM24" s="21" t="n"/>
      <c r="AN24" s="21" t="n"/>
      <c r="AO24" s="21" t="n"/>
      <c r="AP24" s="21" t="n"/>
      <c r="AQ24" s="21" t="n"/>
      <c r="AS24" s="16">
        <f>IF(AND(TRIM(B24)&lt;&gt;"",AS23=1),1,0)</f>
        <v/>
      </c>
      <c r="AT24" s="3">
        <f>IF(AS24=1,A24&amp;". "&amp;IF(TRIM(C24)&lt;&gt;"",TRIM(C24),IF(LEN(TRIM(B24))&gt;18,LEFT(TRIM(B24),17)&amp;"…",TRIM(B24))),"")</f>
        <v/>
      </c>
      <c r="AU24" s="16">
        <f>IF(AS24=1,COUNTIF($B$10:$B$49,B24),0)</f>
        <v/>
      </c>
    </row>
    <row r="25" ht="22" customHeight="1" s="62">
      <c r="A25" s="6" t="n">
        <v>16</v>
      </c>
      <c r="B25" s="81" t="n"/>
      <c r="C25" s="63" t="n"/>
      <c r="D25" s="21" t="n"/>
      <c r="E25" s="21" t="n"/>
      <c r="F25" s="21" t="n"/>
      <c r="G25" s="21" t="n"/>
      <c r="H25" s="21" t="n"/>
      <c r="I25" s="21" t="n"/>
      <c r="J25" s="21" t="n"/>
      <c r="K25" s="21" t="n"/>
      <c r="L25" s="21" t="n"/>
      <c r="M25" s="21" t="n"/>
      <c r="N25" s="21" t="n"/>
      <c r="O25" s="21" t="n"/>
      <c r="P25" s="21" t="n"/>
      <c r="Q25" s="21" t="n"/>
      <c r="R25" s="21" t="n"/>
      <c r="S25" s="21">
        <f>IF($A25&lt;=$C$4,0,"")</f>
        <v/>
      </c>
      <c r="T25" s="88" t="n"/>
      <c r="U25" s="88" t="n"/>
      <c r="V25" s="88" t="n"/>
      <c r="W25" s="88" t="n"/>
      <c r="X25" s="88" t="n"/>
      <c r="Y25" s="88" t="n"/>
      <c r="Z25" s="88" t="n"/>
      <c r="AA25" s="88" t="n"/>
      <c r="AB25" s="88" t="n"/>
      <c r="AC25" s="88" t="n"/>
      <c r="AD25" s="88" t="n"/>
      <c r="AE25" s="88" t="n"/>
      <c r="AF25" s="88" t="n"/>
      <c r="AG25" s="88" t="n"/>
      <c r="AH25" s="88" t="n"/>
      <c r="AI25" s="88" t="n"/>
      <c r="AJ25" s="88" t="n"/>
      <c r="AK25" s="21" t="n"/>
      <c r="AL25" s="21" t="n"/>
      <c r="AM25" s="21" t="n"/>
      <c r="AN25" s="21" t="n"/>
      <c r="AO25" s="21" t="n"/>
      <c r="AP25" s="21" t="n"/>
      <c r="AQ25" s="21" t="n"/>
      <c r="AS25" s="16">
        <f>IF(AND(TRIM(B25)&lt;&gt;"",AS24=1),1,0)</f>
        <v/>
      </c>
      <c r="AT25" s="3">
        <f>IF(AS25=1,A25&amp;". "&amp;IF(TRIM(C25)&lt;&gt;"",TRIM(C25),IF(LEN(TRIM(B25))&gt;18,LEFT(TRIM(B25),17)&amp;"…",TRIM(B25))),"")</f>
        <v/>
      </c>
      <c r="AU25" s="16">
        <f>IF(AS25=1,COUNTIF($B$10:$B$49,B25),0)</f>
        <v/>
      </c>
    </row>
    <row r="26" ht="22" customHeight="1" s="62">
      <c r="A26" s="6" t="n">
        <v>17</v>
      </c>
      <c r="B26" s="81" t="n"/>
      <c r="C26" s="63" t="n"/>
      <c r="D26" s="21" t="n"/>
      <c r="E26" s="21" t="n"/>
      <c r="F26" s="21" t="n"/>
      <c r="G26" s="21" t="n"/>
      <c r="H26" s="21" t="n"/>
      <c r="I26" s="21" t="n"/>
      <c r="J26" s="21" t="n"/>
      <c r="K26" s="21" t="n"/>
      <c r="L26" s="21" t="n"/>
      <c r="M26" s="21" t="n"/>
      <c r="N26" s="21" t="n"/>
      <c r="O26" s="21" t="n"/>
      <c r="P26" s="21" t="n"/>
      <c r="Q26" s="21" t="n"/>
      <c r="R26" s="21" t="n"/>
      <c r="S26" s="21" t="n"/>
      <c r="T26" s="89" t="n"/>
      <c r="AK26" s="21" t="n"/>
      <c r="AL26" s="21" t="n"/>
      <c r="AM26" s="21" t="n"/>
      <c r="AN26" s="21" t="n"/>
      <c r="AO26" s="21" t="n"/>
      <c r="AP26" s="21" t="n"/>
      <c r="AQ26" s="21" t="n"/>
      <c r="AS26" s="16">
        <f>IF(AND(TRIM(B26)&lt;&gt;"",AS25=1),1,0)</f>
        <v/>
      </c>
      <c r="AT26" s="3">
        <f>IF(AS26=1,A26&amp;". "&amp;IF(TRIM(C26)&lt;&gt;"",TRIM(C26),IF(LEN(TRIM(B26))&gt;18,LEFT(TRIM(B26),17)&amp;"…",TRIM(B26))),"")</f>
        <v/>
      </c>
      <c r="AU26" s="16">
        <f>IF(AS26=1,COUNTIF($B$10:$B$49,B26),0)</f>
        <v/>
      </c>
    </row>
    <row r="27" ht="22" customHeight="1" s="62">
      <c r="A27" s="6" t="n">
        <v>18</v>
      </c>
      <c r="B27" s="81" t="n"/>
      <c r="C27" s="63"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c r="AA27" s="21" t="n"/>
      <c r="AB27" s="21" t="n"/>
      <c r="AC27" s="21" t="n"/>
      <c r="AD27" s="21" t="n"/>
      <c r="AE27" s="21" t="n"/>
      <c r="AF27" s="21" t="n"/>
      <c r="AG27" s="21" t="n"/>
      <c r="AH27" s="21" t="n"/>
      <c r="AI27" s="21" t="n"/>
      <c r="AJ27" s="21" t="n"/>
      <c r="AK27" s="21" t="n"/>
      <c r="AL27" s="21" t="n"/>
      <c r="AM27" s="21" t="n"/>
      <c r="AN27" s="21" t="n"/>
      <c r="AO27" s="21" t="n"/>
      <c r="AP27" s="21" t="n"/>
      <c r="AQ27" s="21" t="n"/>
      <c r="AS27" s="16">
        <f>IF(AND(TRIM(B27)&lt;&gt;"",AS26=1),1,0)</f>
        <v/>
      </c>
      <c r="AT27" s="3">
        <f>IF(AS27=1,A27&amp;". "&amp;IF(TRIM(C27)&lt;&gt;"",TRIM(C27),IF(LEN(TRIM(B27))&gt;18,LEFT(TRIM(B27),17)&amp;"…",TRIM(B27))),"")</f>
        <v/>
      </c>
      <c r="AU27" s="16">
        <f>IF(AS27=1,COUNTIF($B$10:$B$49,B27),0)</f>
        <v/>
      </c>
    </row>
    <row r="28" ht="22" customHeight="1" s="62">
      <c r="A28" s="6" t="n">
        <v>19</v>
      </c>
      <c r="B28" s="81" t="n"/>
      <c r="C28" s="63" t="n"/>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1" t="n"/>
      <c r="AC28" s="21" t="n"/>
      <c r="AD28" s="21" t="n"/>
      <c r="AE28" s="21" t="n"/>
      <c r="AF28" s="21" t="n"/>
      <c r="AG28" s="21" t="n"/>
      <c r="AH28" s="21" t="n"/>
      <c r="AI28" s="21" t="n"/>
      <c r="AJ28" s="21" t="n"/>
      <c r="AK28" s="21" t="n"/>
      <c r="AL28" s="21" t="n"/>
      <c r="AM28" s="21" t="n"/>
      <c r="AN28" s="21" t="n"/>
      <c r="AO28" s="21" t="n"/>
      <c r="AP28" s="21" t="n"/>
      <c r="AQ28" s="21" t="n"/>
      <c r="AS28" s="16">
        <f>IF(AND(TRIM(B28)&lt;&gt;"",AS27=1),1,0)</f>
        <v/>
      </c>
      <c r="AT28" s="3">
        <f>IF(AS28=1,A28&amp;". "&amp;IF(TRIM(C28)&lt;&gt;"",TRIM(C28),IF(LEN(TRIM(B28))&gt;18,LEFT(TRIM(B28),17)&amp;"…",TRIM(B28))),"")</f>
        <v/>
      </c>
      <c r="AU28" s="16">
        <f>IF(AS28=1,COUNTIF($B$10:$B$49,B28),0)</f>
        <v/>
      </c>
    </row>
    <row r="29" ht="22" customHeight="1" s="62">
      <c r="A29" s="6" t="n">
        <v>20</v>
      </c>
      <c r="B29" s="81" t="n"/>
      <c r="C29" s="63"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S29" s="16">
        <f>IF(AND(TRIM(B29)&lt;&gt;"",AS28=1),1,0)</f>
        <v/>
      </c>
      <c r="AT29" s="3">
        <f>IF(AS29=1,A29&amp;". "&amp;IF(TRIM(C29)&lt;&gt;"",TRIM(C29),IF(LEN(TRIM(B29))&gt;18,LEFT(TRIM(B29),17)&amp;"…",TRIM(B29))),"")</f>
        <v/>
      </c>
      <c r="AU29" s="16">
        <f>IF(AS29=1,COUNTIF($B$10:$B$49,B29),0)</f>
        <v/>
      </c>
    </row>
    <row r="30" ht="22" customHeight="1" s="62">
      <c r="A30" s="6" t="n">
        <v>21</v>
      </c>
      <c r="B30" s="81" t="n"/>
      <c r="C30" s="63" t="n"/>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c r="AA30" s="21" t="n"/>
      <c r="AB30" s="21" t="n"/>
      <c r="AC30" s="21" t="n"/>
      <c r="AD30" s="21" t="n"/>
      <c r="AE30" s="21" t="n"/>
      <c r="AF30" s="21" t="n"/>
      <c r="AG30" s="21" t="n"/>
      <c r="AH30" s="21" t="n"/>
      <c r="AI30" s="21" t="n"/>
      <c r="AJ30" s="21" t="n"/>
      <c r="AK30" s="21" t="n"/>
      <c r="AL30" s="21" t="n"/>
      <c r="AM30" s="21" t="n"/>
      <c r="AN30" s="21" t="n"/>
      <c r="AO30" s="21" t="n"/>
      <c r="AP30" s="21" t="n"/>
      <c r="AQ30" s="21" t="n"/>
      <c r="AS30" s="16">
        <f>IF(AND(TRIM(B30)&lt;&gt;"",AS29=1),1,0)</f>
        <v/>
      </c>
      <c r="AT30" s="3">
        <f>IF(AS30=1,A30&amp;". "&amp;IF(TRIM(C30)&lt;&gt;"",TRIM(C30),IF(LEN(TRIM(B30))&gt;18,LEFT(TRIM(B30),17)&amp;"…",TRIM(B30))),"")</f>
        <v/>
      </c>
      <c r="AU30" s="16">
        <f>IF(AS30=1,COUNTIF($B$10:$B$49,B30),0)</f>
        <v/>
      </c>
    </row>
    <row r="31" ht="22" customHeight="1" s="62">
      <c r="A31" s="6" t="n">
        <v>22</v>
      </c>
      <c r="B31" s="81" t="n"/>
      <c r="C31" s="63"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f>IF($A31&lt;=$C$4,0,"")</f>
        <v/>
      </c>
      <c r="Z31" s="21" t="n"/>
      <c r="AA31" s="21" t="n"/>
      <c r="AB31" s="21" t="n"/>
      <c r="AC31" s="21" t="n"/>
      <c r="AD31" s="21" t="n"/>
      <c r="AE31" s="21" t="n"/>
      <c r="AF31" s="21" t="n"/>
      <c r="AG31" s="21" t="n"/>
      <c r="AH31" s="21" t="n"/>
      <c r="AI31" s="21" t="n"/>
      <c r="AJ31" s="21" t="n"/>
      <c r="AK31" s="21" t="n"/>
      <c r="AL31" s="21" t="n"/>
      <c r="AM31" s="21" t="n"/>
      <c r="AN31" s="21" t="n"/>
      <c r="AO31" s="21" t="n"/>
      <c r="AP31" s="21" t="n"/>
      <c r="AQ31" s="21" t="n"/>
      <c r="AS31" s="16">
        <f>IF(AND(TRIM(B31)&lt;&gt;"",AS30=1),1,0)</f>
        <v/>
      </c>
      <c r="AT31" s="3">
        <f>IF(AS31=1,A31&amp;". "&amp;IF(TRIM(C31)&lt;&gt;"",TRIM(C31),IF(LEN(TRIM(B31))&gt;18,LEFT(TRIM(B31),17)&amp;"…",TRIM(B31))),"")</f>
        <v/>
      </c>
      <c r="AU31" s="16">
        <f>IF(AS31=1,COUNTIF($B$10:$B$49,B31),0)</f>
        <v/>
      </c>
    </row>
    <row r="32" ht="22" customHeight="1" s="62">
      <c r="A32" s="6" t="n">
        <v>23</v>
      </c>
      <c r="B32" s="81" t="n"/>
      <c r="C32" s="63"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f>IF($A32&lt;=$C$4,0,"")</f>
        <v/>
      </c>
      <c r="AA32" s="21" t="n"/>
      <c r="AB32" s="21" t="n"/>
      <c r="AC32" s="21" t="n"/>
      <c r="AD32" s="21" t="n"/>
      <c r="AE32" s="21" t="n"/>
      <c r="AF32" s="21" t="n"/>
      <c r="AG32" s="21" t="n"/>
      <c r="AH32" s="21" t="n"/>
      <c r="AI32" s="21" t="n"/>
      <c r="AJ32" s="21" t="n"/>
      <c r="AK32" s="21" t="n"/>
      <c r="AL32" s="21" t="n"/>
      <c r="AM32" s="21" t="n"/>
      <c r="AN32" s="21" t="n"/>
      <c r="AO32" s="21" t="n"/>
      <c r="AP32" s="21" t="n"/>
      <c r="AQ32" s="21" t="n"/>
      <c r="AS32" s="16">
        <f>IF(AND(TRIM(B32)&lt;&gt;"",AS31=1),1,0)</f>
        <v/>
      </c>
      <c r="AT32" s="3">
        <f>IF(AS32=1,A32&amp;". "&amp;IF(TRIM(C32)&lt;&gt;"",TRIM(C32),IF(LEN(TRIM(B32))&gt;18,LEFT(TRIM(B32),17)&amp;"…",TRIM(B32))),"")</f>
        <v/>
      </c>
      <c r="AU32" s="16">
        <f>IF(AS32=1,COUNTIF($B$10:$B$49,B32),0)</f>
        <v/>
      </c>
    </row>
    <row r="33" ht="22" customHeight="1" s="62">
      <c r="A33" s="6" t="n">
        <v>24</v>
      </c>
      <c r="B33" s="81" t="n"/>
      <c r="C33" s="63"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f>IF($A33&lt;=$C$4,0,"")</f>
        <v/>
      </c>
      <c r="AB33" s="21" t="n"/>
      <c r="AC33" s="21" t="n"/>
      <c r="AD33" s="21" t="n"/>
      <c r="AE33" s="21" t="n"/>
      <c r="AF33" s="21" t="n"/>
      <c r="AG33" s="21" t="n"/>
      <c r="AH33" s="21" t="n"/>
      <c r="AI33" s="21" t="n"/>
      <c r="AJ33" s="21" t="n"/>
      <c r="AK33" s="21" t="n"/>
      <c r="AL33" s="21" t="n"/>
      <c r="AM33" s="21" t="n"/>
      <c r="AN33" s="21" t="n"/>
      <c r="AO33" s="21" t="n"/>
      <c r="AP33" s="21" t="n"/>
      <c r="AQ33" s="21" t="n"/>
      <c r="AS33" s="16">
        <f>IF(AND(TRIM(B33)&lt;&gt;"",AS32=1),1,0)</f>
        <v/>
      </c>
      <c r="AT33" s="3">
        <f>IF(AS33=1,A33&amp;". "&amp;IF(TRIM(C33)&lt;&gt;"",TRIM(C33),IF(LEN(TRIM(B33))&gt;18,LEFT(TRIM(B33),17)&amp;"…",TRIM(B33))),"")</f>
        <v/>
      </c>
      <c r="AU33" s="16">
        <f>IF(AS33=1,COUNTIF($B$10:$B$49,B33),0)</f>
        <v/>
      </c>
    </row>
    <row r="34" ht="22" customHeight="1" s="62">
      <c r="A34" s="6" t="n">
        <v>25</v>
      </c>
      <c r="B34" s="81" t="n"/>
      <c r="C34" s="63"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f>IF($A34&lt;=$C$4,0,"")</f>
        <v/>
      </c>
      <c r="AC34" s="21" t="n"/>
      <c r="AD34" s="21" t="n"/>
      <c r="AE34" s="21" t="n"/>
      <c r="AF34" s="21" t="n"/>
      <c r="AG34" s="21" t="n"/>
      <c r="AH34" s="21" t="n"/>
      <c r="AI34" s="21" t="n"/>
      <c r="AJ34" s="21" t="n"/>
      <c r="AK34" s="21" t="n"/>
      <c r="AL34" s="21" t="n"/>
      <c r="AM34" s="21" t="n"/>
      <c r="AN34" s="21" t="n"/>
      <c r="AO34" s="21" t="n"/>
      <c r="AP34" s="21" t="n"/>
      <c r="AQ34" s="21" t="n"/>
      <c r="AS34" s="16">
        <f>IF(AND(TRIM(B34)&lt;&gt;"",AS33=1),1,0)</f>
        <v/>
      </c>
      <c r="AT34" s="3">
        <f>IF(AS34=1,A34&amp;". "&amp;IF(TRIM(C34)&lt;&gt;"",TRIM(C34),IF(LEN(TRIM(B34))&gt;18,LEFT(TRIM(B34),17)&amp;"…",TRIM(B34))),"")</f>
        <v/>
      </c>
      <c r="AU34" s="16">
        <f>IF(AS34=1,COUNTIF($B$10:$B$49,B34),0)</f>
        <v/>
      </c>
    </row>
    <row r="35" ht="22" customHeight="1" s="62">
      <c r="A35" s="6" t="n">
        <v>26</v>
      </c>
      <c r="B35" s="81" t="n"/>
      <c r="C35" s="63"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f>IF($A35&lt;=$C$4,0,"")</f>
        <v/>
      </c>
      <c r="AD35" s="21" t="n"/>
      <c r="AE35" s="21" t="n"/>
      <c r="AF35" s="21" t="n"/>
      <c r="AG35" s="21" t="n"/>
      <c r="AH35" s="21" t="n"/>
      <c r="AI35" s="21" t="n"/>
      <c r="AJ35" s="21" t="n"/>
      <c r="AK35" s="21" t="n"/>
      <c r="AL35" s="21" t="n"/>
      <c r="AM35" s="21" t="n"/>
      <c r="AN35" s="21" t="n"/>
      <c r="AO35" s="21" t="n"/>
      <c r="AP35" s="21" t="n"/>
      <c r="AQ35" s="21" t="n"/>
      <c r="AS35" s="16">
        <f>IF(AND(TRIM(B35)&lt;&gt;"",AS34=1),1,0)</f>
        <v/>
      </c>
      <c r="AT35" s="3">
        <f>IF(AS35=1,A35&amp;". "&amp;IF(TRIM(C35)&lt;&gt;"",TRIM(C35),IF(LEN(TRIM(B35))&gt;18,LEFT(TRIM(B35),17)&amp;"…",TRIM(B35))),"")</f>
        <v/>
      </c>
      <c r="AU35" s="16">
        <f>IF(AS35=1,COUNTIF($B$10:$B$49,B35),0)</f>
        <v/>
      </c>
    </row>
    <row r="36" ht="22" customHeight="1" s="62">
      <c r="A36" s="6" t="n">
        <v>27</v>
      </c>
      <c r="B36" s="81" t="n"/>
      <c r="C36" s="63"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21" t="n"/>
      <c r="AC36" s="21" t="n"/>
      <c r="AD36" s="21">
        <f>IF($A36&lt;=$C$4,0,"")</f>
        <v/>
      </c>
      <c r="AE36" s="21" t="n"/>
      <c r="AF36" s="21" t="n"/>
      <c r="AG36" s="21" t="n"/>
      <c r="AH36" s="21" t="n"/>
      <c r="AI36" s="21" t="n"/>
      <c r="AJ36" s="21" t="n"/>
      <c r="AK36" s="21" t="n"/>
      <c r="AL36" s="21" t="n"/>
      <c r="AM36" s="21" t="n"/>
      <c r="AN36" s="21" t="n"/>
      <c r="AO36" s="21" t="n"/>
      <c r="AP36" s="21" t="n"/>
      <c r="AQ36" s="21" t="n"/>
      <c r="AS36" s="16">
        <f>IF(AND(TRIM(B36)&lt;&gt;"",AS35=1),1,0)</f>
        <v/>
      </c>
      <c r="AT36" s="3">
        <f>IF(AS36=1,A36&amp;". "&amp;IF(TRIM(C36)&lt;&gt;"",TRIM(C36),IF(LEN(TRIM(B36))&gt;18,LEFT(TRIM(B36),17)&amp;"…",TRIM(B36))),"")</f>
        <v/>
      </c>
      <c r="AU36" s="16">
        <f>IF(AS36=1,COUNTIF($B$10:$B$49,B36),0)</f>
        <v/>
      </c>
    </row>
    <row r="37" ht="22" customHeight="1" s="62">
      <c r="A37" s="6" t="n">
        <v>28</v>
      </c>
      <c r="B37" s="81" t="n"/>
      <c r="C37" s="63"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f>IF($A37&lt;=$C$4,0,"")</f>
        <v/>
      </c>
      <c r="AF37" s="21" t="n"/>
      <c r="AG37" s="21" t="n"/>
      <c r="AH37" s="21" t="n"/>
      <c r="AI37" s="21" t="n"/>
      <c r="AJ37" s="21" t="n"/>
      <c r="AK37" s="21" t="n"/>
      <c r="AL37" s="21" t="n"/>
      <c r="AM37" s="21" t="n"/>
      <c r="AN37" s="21" t="n"/>
      <c r="AO37" s="21" t="n"/>
      <c r="AP37" s="21" t="n"/>
      <c r="AQ37" s="21" t="n"/>
      <c r="AS37" s="16">
        <f>IF(AND(TRIM(B37)&lt;&gt;"",AS36=1),1,0)</f>
        <v/>
      </c>
      <c r="AT37" s="3">
        <f>IF(AS37=1,A37&amp;". "&amp;IF(TRIM(C37)&lt;&gt;"",TRIM(C37),IF(LEN(TRIM(B37))&gt;18,LEFT(TRIM(B37),17)&amp;"…",TRIM(B37))),"")</f>
        <v/>
      </c>
      <c r="AU37" s="16">
        <f>IF(AS37=1,COUNTIF($B$10:$B$49,B37),0)</f>
        <v/>
      </c>
    </row>
    <row r="38" ht="22" customHeight="1" s="62">
      <c r="A38" s="6" t="n">
        <v>29</v>
      </c>
      <c r="B38" s="81" t="n"/>
      <c r="C38" s="63"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c r="AA38" s="21" t="n"/>
      <c r="AB38" s="21" t="n"/>
      <c r="AC38" s="21" t="n"/>
      <c r="AD38" s="21" t="n"/>
      <c r="AE38" s="21" t="n"/>
      <c r="AF38" s="21">
        <f>IF($A38&lt;=$C$4,0,"")</f>
        <v/>
      </c>
      <c r="AG38" s="21" t="n"/>
      <c r="AH38" s="21" t="n"/>
      <c r="AI38" s="21" t="n"/>
      <c r="AJ38" s="21" t="n"/>
      <c r="AK38" s="21" t="n"/>
      <c r="AL38" s="21" t="n"/>
      <c r="AM38" s="21" t="n"/>
      <c r="AN38" s="21" t="n"/>
      <c r="AO38" s="21" t="n"/>
      <c r="AP38" s="21" t="n"/>
      <c r="AQ38" s="21" t="n"/>
      <c r="AS38" s="16">
        <f>IF(AND(TRIM(B38)&lt;&gt;"",AS37=1),1,0)</f>
        <v/>
      </c>
      <c r="AT38" s="3">
        <f>IF(AS38=1,A38&amp;". "&amp;IF(TRIM(C38)&lt;&gt;"",TRIM(C38),IF(LEN(TRIM(B38))&gt;18,LEFT(TRIM(B38),17)&amp;"…",TRIM(B38))),"")</f>
        <v/>
      </c>
      <c r="AU38" s="16">
        <f>IF(AS38=1,COUNTIF($B$10:$B$49,B38),0)</f>
        <v/>
      </c>
    </row>
    <row r="39" ht="22" customHeight="1" s="62">
      <c r="A39" s="6" t="n">
        <v>30</v>
      </c>
      <c r="B39" s="81" t="n"/>
      <c r="C39" s="63"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c r="AA39" s="21" t="n"/>
      <c r="AB39" s="21" t="n"/>
      <c r="AC39" s="21" t="n"/>
      <c r="AD39" s="21" t="n"/>
      <c r="AE39" s="21" t="n"/>
      <c r="AF39" s="21" t="n"/>
      <c r="AG39" s="21">
        <f>IF($A39&lt;=$C$4,0,"")</f>
        <v/>
      </c>
      <c r="AH39" s="21" t="n"/>
      <c r="AI39" s="21" t="n"/>
      <c r="AJ39" s="21" t="n"/>
      <c r="AK39" s="21" t="n"/>
      <c r="AL39" s="21" t="n"/>
      <c r="AM39" s="21" t="n"/>
      <c r="AN39" s="21" t="n"/>
      <c r="AO39" s="21" t="n"/>
      <c r="AP39" s="21" t="n"/>
      <c r="AQ39" s="21" t="n"/>
      <c r="AS39" s="16">
        <f>IF(AND(TRIM(B39)&lt;&gt;"",AS38=1),1,0)</f>
        <v/>
      </c>
      <c r="AT39" s="3">
        <f>IF(AS39=1,A39&amp;". "&amp;IF(TRIM(C39)&lt;&gt;"",TRIM(C39),IF(LEN(TRIM(B39))&gt;18,LEFT(TRIM(B39),17)&amp;"…",TRIM(B39))),"")</f>
        <v/>
      </c>
      <c r="AU39" s="16">
        <f>IF(AS39=1,COUNTIF($B$10:$B$49,B39),0)</f>
        <v/>
      </c>
    </row>
    <row r="40" ht="22" customHeight="1" s="62">
      <c r="A40" s="6" t="n">
        <v>31</v>
      </c>
      <c r="B40" s="81" t="n"/>
      <c r="C40" s="63"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21" t="n"/>
      <c r="AC40" s="21" t="n"/>
      <c r="AD40" s="21" t="n"/>
      <c r="AE40" s="21" t="n"/>
      <c r="AF40" s="21" t="n"/>
      <c r="AG40" s="21" t="n"/>
      <c r="AH40" s="21">
        <f>IF($A40&lt;=$C$4,0,"")</f>
        <v/>
      </c>
      <c r="AI40" s="21" t="n"/>
      <c r="AJ40" s="21" t="n"/>
      <c r="AK40" s="21" t="n"/>
      <c r="AL40" s="21" t="n"/>
      <c r="AM40" s="21" t="n"/>
      <c r="AN40" s="21" t="n"/>
      <c r="AO40" s="21" t="n"/>
      <c r="AP40" s="21" t="n"/>
      <c r="AQ40" s="21" t="n"/>
      <c r="AS40" s="16">
        <f>IF(AND(TRIM(B40)&lt;&gt;"",AS39=1),1,0)</f>
        <v/>
      </c>
      <c r="AT40" s="3">
        <f>IF(AS40=1,A40&amp;". "&amp;IF(TRIM(C40)&lt;&gt;"",TRIM(C40),IF(LEN(TRIM(B40))&gt;18,LEFT(TRIM(B40),17)&amp;"…",TRIM(B40))),"")</f>
        <v/>
      </c>
      <c r="AU40" s="16">
        <f>IF(AS40=1,COUNTIF($B$10:$B$49,B40),0)</f>
        <v/>
      </c>
    </row>
    <row r="41" ht="22" customHeight="1" s="62">
      <c r="A41" s="6" t="n">
        <v>32</v>
      </c>
      <c r="B41" s="81" t="n"/>
      <c r="C41" s="63"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21" t="n"/>
      <c r="AC41" s="21" t="n"/>
      <c r="AD41" s="21" t="n"/>
      <c r="AE41" s="21" t="n"/>
      <c r="AF41" s="21" t="n"/>
      <c r="AG41" s="21" t="n"/>
      <c r="AH41" s="21" t="n"/>
      <c r="AI41" s="21">
        <f>IF($A41&lt;=$C$4,0,"")</f>
        <v/>
      </c>
      <c r="AJ41" s="21" t="n"/>
      <c r="AK41" s="21" t="n"/>
      <c r="AL41" s="21" t="n"/>
      <c r="AM41" s="21" t="n"/>
      <c r="AN41" s="21" t="n"/>
      <c r="AO41" s="21" t="n"/>
      <c r="AP41" s="21" t="n"/>
      <c r="AQ41" s="21" t="n"/>
      <c r="AS41" s="16">
        <f>IF(AND(TRIM(B41)&lt;&gt;"",AS40=1),1,0)</f>
        <v/>
      </c>
      <c r="AT41" s="3">
        <f>IF(AS41=1,A41&amp;". "&amp;IF(TRIM(C41)&lt;&gt;"",TRIM(C41),IF(LEN(TRIM(B41))&gt;18,LEFT(TRIM(B41),17)&amp;"…",TRIM(B41))),"")</f>
        <v/>
      </c>
      <c r="AU41" s="16">
        <f>IF(AS41=1,COUNTIF($B$10:$B$49,B41),0)</f>
        <v/>
      </c>
    </row>
    <row r="42" ht="22" customHeight="1" s="62">
      <c r="A42" s="6" t="n">
        <v>33</v>
      </c>
      <c r="B42" s="81" t="n"/>
      <c r="C42" s="63"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21" t="n"/>
      <c r="AC42" s="21" t="n"/>
      <c r="AD42" s="21" t="n"/>
      <c r="AE42" s="21" t="n"/>
      <c r="AF42" s="21" t="n"/>
      <c r="AG42" s="21" t="n"/>
      <c r="AH42" s="21" t="n"/>
      <c r="AI42" s="21" t="n"/>
      <c r="AJ42" s="21">
        <f>IF($A42&lt;=$C$4,0,"")</f>
        <v/>
      </c>
      <c r="AK42" s="21" t="n"/>
      <c r="AL42" s="21" t="n"/>
      <c r="AM42" s="21" t="n"/>
      <c r="AN42" s="21" t="n"/>
      <c r="AO42" s="21" t="n"/>
      <c r="AP42" s="21" t="n"/>
      <c r="AQ42" s="21" t="n"/>
      <c r="AS42" s="16">
        <f>IF(AND(TRIM(B42)&lt;&gt;"",AS41=1),1,0)</f>
        <v/>
      </c>
      <c r="AT42" s="3">
        <f>IF(AS42=1,A42&amp;". "&amp;IF(TRIM(C42)&lt;&gt;"",TRIM(C42),IF(LEN(TRIM(B42))&gt;18,LEFT(TRIM(B42),17)&amp;"…",TRIM(B42))),"")</f>
        <v/>
      </c>
      <c r="AU42" s="16">
        <f>IF(AS42=1,COUNTIF($B$10:$B$49,B42),0)</f>
        <v/>
      </c>
    </row>
    <row r="43" ht="22" customHeight="1" s="62">
      <c r="A43" s="6" t="n">
        <v>34</v>
      </c>
      <c r="B43" s="81" t="n"/>
      <c r="C43" s="63"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f>IF($A43&lt;=$C$4,0,"")</f>
        <v/>
      </c>
      <c r="AL43" s="21" t="n"/>
      <c r="AM43" s="21" t="n"/>
      <c r="AN43" s="21" t="n"/>
      <c r="AO43" s="21" t="n"/>
      <c r="AP43" s="21" t="n"/>
      <c r="AQ43" s="21" t="n"/>
      <c r="AS43" s="16">
        <f>IF(AND(TRIM(B43)&lt;&gt;"",AS42=1),1,0)</f>
        <v/>
      </c>
      <c r="AT43" s="3">
        <f>IF(AS43=1,A43&amp;". "&amp;IF(TRIM(C43)&lt;&gt;"",TRIM(C43),IF(LEN(TRIM(B43))&gt;18,LEFT(TRIM(B43),17)&amp;"…",TRIM(B43))),"")</f>
        <v/>
      </c>
      <c r="AU43" s="16">
        <f>IF(AS43=1,COUNTIF($B$10:$B$49,B43),0)</f>
        <v/>
      </c>
    </row>
    <row r="44" ht="22" customHeight="1" s="62">
      <c r="A44" s="6" t="n">
        <v>35</v>
      </c>
      <c r="B44" s="81" t="n"/>
      <c r="C44" s="63"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f>IF($A44&lt;=$C$4,0,"")</f>
        <v/>
      </c>
      <c r="AM44" s="21" t="n"/>
      <c r="AN44" s="21" t="n"/>
      <c r="AO44" s="21" t="n"/>
      <c r="AP44" s="21" t="n"/>
      <c r="AQ44" s="21" t="n"/>
      <c r="AS44" s="16">
        <f>IF(AND(TRIM(B44)&lt;&gt;"",AS43=1),1,0)</f>
        <v/>
      </c>
      <c r="AT44" s="3">
        <f>IF(AS44=1,A44&amp;". "&amp;IF(TRIM(C44)&lt;&gt;"",TRIM(C44),IF(LEN(TRIM(B44))&gt;18,LEFT(TRIM(B44),17)&amp;"…",TRIM(B44))),"")</f>
        <v/>
      </c>
      <c r="AU44" s="16">
        <f>IF(AS44=1,COUNTIF($B$10:$B$49,B44),0)</f>
        <v/>
      </c>
    </row>
    <row r="45" ht="22" customHeight="1" s="62">
      <c r="A45" s="6" t="n">
        <v>36</v>
      </c>
      <c r="B45" s="81" t="n"/>
      <c r="C45" s="63"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c r="AA45" s="21" t="n"/>
      <c r="AB45" s="21" t="n"/>
      <c r="AC45" s="21" t="n"/>
      <c r="AD45" s="21" t="n"/>
      <c r="AE45" s="21" t="n"/>
      <c r="AF45" s="21" t="n"/>
      <c r="AG45" s="21" t="n"/>
      <c r="AH45" s="21" t="n"/>
      <c r="AI45" s="21" t="n"/>
      <c r="AJ45" s="21" t="n"/>
      <c r="AK45" s="21" t="n"/>
      <c r="AL45" s="21" t="n"/>
      <c r="AM45" s="21">
        <f>IF($A45&lt;=$C$4,0,"")</f>
        <v/>
      </c>
      <c r="AN45" s="21" t="n"/>
      <c r="AO45" s="21" t="n"/>
      <c r="AP45" s="21" t="n"/>
      <c r="AQ45" s="21" t="n"/>
      <c r="AS45" s="16">
        <f>IF(AND(TRIM(B45)&lt;&gt;"",AS44=1),1,0)</f>
        <v/>
      </c>
      <c r="AT45" s="3">
        <f>IF(AS45=1,A45&amp;". "&amp;IF(TRIM(C45)&lt;&gt;"",TRIM(C45),IF(LEN(TRIM(B45))&gt;18,LEFT(TRIM(B45),17)&amp;"…",TRIM(B45))),"")</f>
        <v/>
      </c>
      <c r="AU45" s="16">
        <f>IF(AS45=1,COUNTIF($B$10:$B$49,B45),0)</f>
        <v/>
      </c>
    </row>
    <row r="46" ht="22" customHeight="1" s="62">
      <c r="A46" s="6" t="n">
        <v>37</v>
      </c>
      <c r="B46" s="81" t="n"/>
      <c r="C46" s="63"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c r="AA46" s="21" t="n"/>
      <c r="AB46" s="21" t="n"/>
      <c r="AC46" s="21" t="n"/>
      <c r="AD46" s="21" t="n"/>
      <c r="AE46" s="21" t="n"/>
      <c r="AF46" s="21" t="n"/>
      <c r="AG46" s="21" t="n"/>
      <c r="AH46" s="21" t="n"/>
      <c r="AI46" s="21" t="n"/>
      <c r="AJ46" s="21" t="n"/>
      <c r="AK46" s="21" t="n"/>
      <c r="AL46" s="21" t="n"/>
      <c r="AM46" s="21" t="n"/>
      <c r="AN46" s="21">
        <f>IF($A46&lt;=$C$4,0,"")</f>
        <v/>
      </c>
      <c r="AO46" s="21" t="n"/>
      <c r="AP46" s="21" t="n"/>
      <c r="AQ46" s="21" t="n"/>
      <c r="AS46" s="16">
        <f>IF(AND(TRIM(B46)&lt;&gt;"",AS45=1),1,0)</f>
        <v/>
      </c>
      <c r="AT46" s="3">
        <f>IF(AS46=1,A46&amp;". "&amp;IF(TRIM(C46)&lt;&gt;"",TRIM(C46),IF(LEN(TRIM(B46))&gt;18,LEFT(TRIM(B46),17)&amp;"…",TRIM(B46))),"")</f>
        <v/>
      </c>
      <c r="AU46" s="16">
        <f>IF(AS46=1,COUNTIF($B$10:$B$49,B46),0)</f>
        <v/>
      </c>
    </row>
    <row r="47" ht="22" customHeight="1" s="62">
      <c r="A47" s="6" t="n">
        <v>38</v>
      </c>
      <c r="B47" s="81" t="n"/>
      <c r="C47" s="63"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c r="AA47" s="21" t="n"/>
      <c r="AB47" s="21" t="n"/>
      <c r="AC47" s="21" t="n"/>
      <c r="AD47" s="21" t="n"/>
      <c r="AE47" s="21" t="n"/>
      <c r="AF47" s="21" t="n"/>
      <c r="AG47" s="21" t="n"/>
      <c r="AH47" s="21" t="n"/>
      <c r="AI47" s="21" t="n"/>
      <c r="AJ47" s="21" t="n"/>
      <c r="AK47" s="21" t="n"/>
      <c r="AL47" s="21" t="n"/>
      <c r="AM47" s="21" t="n"/>
      <c r="AN47" s="21" t="n"/>
      <c r="AO47" s="21">
        <f>IF($A47&lt;=$C$4,0,"")</f>
        <v/>
      </c>
      <c r="AP47" s="21" t="n"/>
      <c r="AQ47" s="21" t="n"/>
      <c r="AS47" s="16">
        <f>IF(AND(TRIM(B47)&lt;&gt;"",AS46=1),1,0)</f>
        <v/>
      </c>
      <c r="AT47" s="3">
        <f>IF(AS47=1,A47&amp;". "&amp;IF(TRIM(C47)&lt;&gt;"",TRIM(C47),IF(LEN(TRIM(B47))&gt;18,LEFT(TRIM(B47),17)&amp;"…",TRIM(B47))),"")</f>
        <v/>
      </c>
      <c r="AU47" s="16">
        <f>IF(AS47=1,COUNTIF($B$10:$B$49,B47),0)</f>
        <v/>
      </c>
    </row>
    <row r="48" ht="22" customHeight="1" s="62">
      <c r="A48" s="6" t="n">
        <v>39</v>
      </c>
      <c r="B48" s="81" t="n"/>
      <c r="C48" s="63"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f>IF($A48&lt;=$C$4,0,"")</f>
        <v/>
      </c>
      <c r="AQ48" s="21" t="n"/>
      <c r="AS48" s="16">
        <f>IF(AND(TRIM(B48)&lt;&gt;"",AS47=1),1,0)</f>
        <v/>
      </c>
      <c r="AT48" s="3">
        <f>IF(AS48=1,A48&amp;". "&amp;IF(TRIM(C48)&lt;&gt;"",TRIM(C48),IF(LEN(TRIM(B48))&gt;18,LEFT(TRIM(B48),17)&amp;"…",TRIM(B48))),"")</f>
        <v/>
      </c>
      <c r="AU48" s="16">
        <f>IF(AS48=1,COUNTIF($B$10:$B$49,B48),0)</f>
        <v/>
      </c>
    </row>
    <row r="49" ht="22" customHeight="1" s="62">
      <c r="A49" s="6" t="n">
        <v>40</v>
      </c>
      <c r="B49" s="81" t="n"/>
      <c r="C49" s="63"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c r="AA49" s="21" t="n"/>
      <c r="AB49" s="21" t="n"/>
      <c r="AC49" s="21" t="n"/>
      <c r="AD49" s="21" t="n"/>
      <c r="AE49" s="21" t="n"/>
      <c r="AF49" s="21" t="n"/>
      <c r="AG49" s="21" t="n"/>
      <c r="AH49" s="21" t="n"/>
      <c r="AI49" s="21" t="n"/>
      <c r="AJ49" s="21" t="n"/>
      <c r="AK49" s="21" t="n"/>
      <c r="AL49" s="21" t="n"/>
      <c r="AM49" s="21" t="n"/>
      <c r="AN49" s="21" t="n"/>
      <c r="AO49" s="21" t="n"/>
      <c r="AP49" s="21" t="n"/>
      <c r="AQ49" s="21">
        <f>IF($A49&lt;=$C$4,0,"")</f>
        <v/>
      </c>
      <c r="AS49" s="16">
        <f>IF(AND(TRIM(B49)&lt;&gt;"",AS48=1),1,0)</f>
        <v/>
      </c>
      <c r="AT49" s="3">
        <f>IF(AS49=1,A49&amp;". "&amp;IF(TRIM(C49)&lt;&gt;"",TRIM(C49),IF(LEN(TRIM(B49))&gt;18,LEFT(TRIM(B49),17)&amp;"…",TRIM(B49))),"")</f>
        <v/>
      </c>
      <c r="AU49" s="16">
        <f>IF(AS49=1,COUNTIF($B$10:$B$49,B49),0)</f>
        <v/>
      </c>
    </row>
    <row r="51" ht="18" customHeight="1" s="62">
      <c r="A51" s="63" t="inlineStr">
        <is>
          <t>La diagonal gris se completa sola con 0: no se pide una valoración directa de una variable sobre sí misma. En M2 a M6 pueden aparecer retornos y deben conservarse.</t>
        </is>
      </c>
    </row>
    <row r="52" ht="18" customHeight="1" s="62">
      <c r="A52" s="63" t="inlineStr">
        <is>
          <t>Control de cobertura: con N variables hay N × (N − 1) decisiones dirigidas (panel superior). Cada par de variables requiere dos preguntas: A hacia B y B hacia A.</t>
        </is>
      </c>
    </row>
    <row r="53" ht="18" customHeight="1" s="62">
      <c r="A53" s="63" t="inlineStr">
        <is>
          <t>Los números son posiciones de lectura, no resultados ni siglas. Los nombres completos aparecen a la izquierda. Mantenga el mismo orden de filas y columnas.</t>
        </is>
      </c>
    </row>
    <row r="54" ht="32" customHeight="1" s="62">
      <c r="A54" s="63" t="inlineStr">
        <is>
          <t>Para agregar una variable, escriba su nombre en la primera fila libre y valore su fila y su columna. Para quitar variables, borre el nombre y los valores de las últimas filas y columnas; no elimine filas ni columnas de Excel.</t>
        </is>
      </c>
    </row>
    <row r="55" ht="32" customHeight="1" s="62">
      <c r="A55" s="63" t="inlineStr">
        <is>
          <t>Todas las hojas se entregan sin protección. Solo las celdas azul claro de M (nombres, etiquetas cortas, valores) y las celdas azules del Árbol de Problemas son para escribir; el resto son fórmulas.</t>
        </is>
      </c>
    </row>
  </sheetData>
  <mergeCells count="16">
    <mergeCell ref="A3:R3"/>
    <mergeCell ref="A53:R53"/>
    <mergeCell ref="A55:R55"/>
    <mergeCell ref="D5:F5"/>
    <mergeCell ref="A2:R2"/>
    <mergeCell ref="A51:R51"/>
    <mergeCell ref="H5:J5"/>
    <mergeCell ref="D4:F4"/>
    <mergeCell ref="L5:N5"/>
    <mergeCell ref="H4:J4"/>
    <mergeCell ref="A52:R52"/>
    <mergeCell ref="A54:R54"/>
    <mergeCell ref="A1:R1"/>
    <mergeCell ref="G6:N6"/>
    <mergeCell ref="L4:N4"/>
    <mergeCell ref="D6:F6"/>
  </mergeCells>
  <conditionalFormatting sqref="A10:A49">
    <cfRule type="expression" priority="9" dxfId="37">
      <formula>$A10&gt;nVariables</formula>
    </cfRule>
  </conditionalFormatting>
  <conditionalFormatting sqref="B25:C49">
    <cfRule type="expression" priority="8" dxfId="89">
      <formula>$A25&lt;=MAX(15,nVariables+1)</formula>
    </cfRule>
  </conditionalFormatting>
  <conditionalFormatting sqref="D8:S8 AK8:AQ8">
    <cfRule type="expression" priority="1" dxfId="31">
      <formula>D$7&lt;=nVariables</formula>
    </cfRule>
  </conditionalFormatting>
  <conditionalFormatting sqref="D9:S9 AK9:AQ9">
    <cfRule type="expression" priority="2" dxfId="30">
      <formula>D$7&lt;=nVariables</formula>
    </cfRule>
  </conditionalFormatting>
  <conditionalFormatting sqref="D10:R10 D11:S26 D27:AQ49 AK10:AQ26">
    <cfRule type="expression" priority="3" dxfId="4" stopIfTrue="1">
      <formula>OR($A10&gt;MAX(15,nVariables),D$7&gt;MAX(15,nVariables))</formula>
    </cfRule>
    <cfRule type="expression" priority="4" dxfId="91" stopIfTrue="1">
      <formula>AND($A10&lt;&gt;D$7,$A10&lt;=nVariables,D$7&lt;=nVariables,D10&lt;&gt;"",IF(ISNUMBER(D10),OR(D10&lt;0,D10&gt;3,D10&lt;&gt;INT(D10)),TRUE))</formula>
    </cfRule>
    <cfRule type="expression" priority="5" dxfId="90" stopIfTrue="1">
      <formula>$A10=D$7</formula>
    </cfRule>
    <cfRule type="expression" priority="6" dxfId="89" stopIfTrue="1">
      <formula>AND($A10&lt;=nVariables,D$7&lt;=nVariables)</formula>
    </cfRule>
    <cfRule type="expression" priority="7" dxfId="28">
      <formula>TRUE</formula>
    </cfRule>
  </conditionalFormatting>
  <dataValidations count="1">
    <dataValidation sqref="D10:R49 S11:S49 T27:T49 U27:W49 X27:AJ49 AK10:AQ49" showDropDown="0" showInputMessage="1" showErrorMessage="1" allowBlank="1" errorTitle="Valor no permitido" error="Use un número entero: 0, 1, 2 o 3." promptTitle="Influencia directa" prompt="Vacío: pendiente. 0: ninguna; 1: débil; 2: moderada; 3: fuerte." type="whole">
      <formula1>0</formula1>
      <formula2>3</formula2>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G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6.5" customWidth="1" style="62" min="13" max="52"/>
  </cols>
  <sheetData>
    <row r="1" ht="30" customHeight="1" s="62">
      <c r="A1" s="65" t="inlineStr">
        <is>
          <t>M1  |  Relaciones directas  ·  M¹ = M</t>
        </is>
      </c>
    </row>
    <row r="2" ht="32" customHeight="1" s="62">
      <c r="A2" s="63" t="inlineStr">
        <is>
          <t>Esta hoja reproduce M. No representa otra valoración: es la primera potencia de la misma matriz. Fila = influencia ejercida; columna = dependencia recibida. La suma de cada una resume las valoraciones del grupo.</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IF(AND(matrizOK,$A10&lt;=nVariables,M$7&lt;=nVariables,$A10&lt;&gt;M$7),M!D10,0)</f>
        <v/>
      </c>
      <c r="N10" s="97">
        <f>IF(AND(matrizOK,$A10&lt;=nVariables,N$7&lt;=nVariables,$A10&lt;&gt;N$7),M!E10,0)</f>
        <v/>
      </c>
      <c r="O10" s="97">
        <f>IF(AND(matrizOK,$A10&lt;=nVariables,O$7&lt;=nVariables,$A10&lt;&gt;O$7),M!F10,0)</f>
        <v/>
      </c>
      <c r="P10" s="97">
        <f>IF(AND(matrizOK,$A10&lt;=nVariables,P$7&lt;=nVariables,$A10&lt;&gt;P$7),M!G10,0)</f>
        <v/>
      </c>
      <c r="Q10" s="97">
        <f>IF(AND(matrizOK,$A10&lt;=nVariables,Q$7&lt;=nVariables,$A10&lt;&gt;Q$7),M!H10,0)</f>
        <v/>
      </c>
      <c r="R10" s="97">
        <f>IF(AND(matrizOK,$A10&lt;=nVariables,R$7&lt;=nVariables,$A10&lt;&gt;R$7),M!I10,0)</f>
        <v/>
      </c>
      <c r="S10" s="97">
        <f>IF(AND(matrizOK,$A10&lt;=nVariables,S$7&lt;=nVariables,$A10&lt;&gt;S$7),M!J10,0)</f>
        <v/>
      </c>
      <c r="T10" s="97">
        <f>IF(AND(matrizOK,$A10&lt;=nVariables,T$7&lt;=nVariables,$A10&lt;&gt;T$7),M!K10,0)</f>
        <v/>
      </c>
      <c r="U10" s="97">
        <f>IF(AND(matrizOK,$A10&lt;=nVariables,U$7&lt;=nVariables,$A10&lt;&gt;U$7),M!L10,0)</f>
        <v/>
      </c>
      <c r="V10" s="97">
        <f>IF(AND(matrizOK,$A10&lt;=nVariables,V$7&lt;=nVariables,$A10&lt;&gt;V$7),M!M10,0)</f>
        <v/>
      </c>
      <c r="W10" s="97">
        <f>IF(AND(matrizOK,$A10&lt;=nVariables,W$7&lt;=nVariables,$A10&lt;&gt;W$7),M!N10,0)</f>
        <v/>
      </c>
      <c r="X10" s="97">
        <f>IF(AND(matrizOK,$A10&lt;=nVariables,X$7&lt;=nVariables,$A10&lt;&gt;X$7),M!O10,0)</f>
        <v/>
      </c>
      <c r="Y10" s="97">
        <f>IF(AND(matrizOK,$A10&lt;=nVariables,Y$7&lt;=nVariables,$A10&lt;&gt;Y$7),M!P10,0)</f>
        <v/>
      </c>
      <c r="Z10" s="97">
        <f>IF(AND(matrizOK,$A10&lt;=nVariables,Z$7&lt;=nVariables,$A10&lt;&gt;Z$7),M!Q10,0)</f>
        <v/>
      </c>
      <c r="AA10" s="97">
        <f>IF(AND(matrizOK,$A10&lt;=nVariables,AA$7&lt;=nVariables,$A10&lt;&gt;AA$7),M!R10,0)</f>
        <v/>
      </c>
      <c r="AB10" s="97">
        <f>IF(AND(matrizOK,$A10&lt;=nVariables,AB$7&lt;=nVariables,$A10&lt;&gt;AB$7),M!S10,0)</f>
        <v/>
      </c>
      <c r="AC10" s="97">
        <f>IF(AND(matrizOK,$A10&lt;=nVariables,AC$7&lt;=nVariables,$A10&lt;&gt;AC$7),M!T10,0)</f>
        <v/>
      </c>
      <c r="AD10" s="97">
        <f>IF(AND(matrizOK,$A10&lt;=nVariables,AD$7&lt;=nVariables,$A10&lt;&gt;AD$7),M!V10,0)</f>
        <v/>
      </c>
      <c r="AE10" s="97">
        <f>IF(AND(matrizOK,$A10&lt;=nVariables,AE$7&lt;=nVariables,$A10&lt;&gt;AE$7),M!W10,0)</f>
        <v/>
      </c>
      <c r="AF10" s="97">
        <f>IF(AND(matrizOK,$A10&lt;=nVariables,AF$7&lt;=nVariables,$A10&lt;&gt;AF$7),M!#REF!,0)</f>
        <v/>
      </c>
      <c r="AG10" s="97">
        <f>IF(AND(matrizOK,$A10&lt;=nVariables,AG$7&lt;=nVariables,$A10&lt;&gt;AG$7),M!X10,0)</f>
        <v/>
      </c>
      <c r="AH10" s="97">
        <f>IF(AND(matrizOK,$A10&lt;=nVariables,AH$7&lt;=nVariables,$A10&lt;&gt;AH$7),M!Y10,0)</f>
        <v/>
      </c>
      <c r="AI10" s="97">
        <f>IF(AND(matrizOK,$A10&lt;=nVariables,AI$7&lt;=nVariables,$A10&lt;&gt;AI$7),M!Z10,0)</f>
        <v/>
      </c>
      <c r="AJ10" s="97">
        <f>IF(AND(matrizOK,$A10&lt;=nVariables,AJ$7&lt;=nVariables,$A10&lt;&gt;AJ$7),M!AA10,0)</f>
        <v/>
      </c>
      <c r="AK10" s="97">
        <f>IF(AND(matrizOK,$A10&lt;=nVariables,AK$7&lt;=nVariables,$A10&lt;&gt;AK$7),M!AB10,0)</f>
        <v/>
      </c>
      <c r="AL10" s="97">
        <f>IF(AND(matrizOK,$A10&lt;=nVariables,AL$7&lt;=nVariables,$A10&lt;&gt;AL$7),M!AC10,0)</f>
        <v/>
      </c>
      <c r="AM10" s="97">
        <f>IF(AND(matrizOK,$A10&lt;=nVariables,AM$7&lt;=nVariables,$A10&lt;&gt;AM$7),M!AD10,0)</f>
        <v/>
      </c>
      <c r="AN10" s="97">
        <f>IF(AND(matrizOK,$A10&lt;=nVariables,AN$7&lt;=nVariables,$A10&lt;&gt;AN$7),M!AE10,0)</f>
        <v/>
      </c>
      <c r="AO10" s="97">
        <f>IF(AND(matrizOK,$A10&lt;=nVariables,AO$7&lt;=nVariables,$A10&lt;&gt;AO$7),M!AF10,0)</f>
        <v/>
      </c>
      <c r="AP10" s="97">
        <f>IF(AND(matrizOK,$A10&lt;=nVariables,AP$7&lt;=nVariables,$A10&lt;&gt;AP$7),M!AG10,0)</f>
        <v/>
      </c>
      <c r="AQ10" s="97">
        <f>IF(AND(matrizOK,$A10&lt;=nVariables,AQ$7&lt;=nVariables,$A10&lt;&gt;AQ$7),M!AH10,0)</f>
        <v/>
      </c>
      <c r="AR10" s="97">
        <f>IF(AND(matrizOK,$A10&lt;=nVariables,AR$7&lt;=nVariables,$A10&lt;&gt;AR$7),M!AI10,0)</f>
        <v/>
      </c>
      <c r="AS10" s="97">
        <f>IF(AND(matrizOK,$A10&lt;=nVariables,AS$7&lt;=nVariables,$A10&lt;&gt;AS$7),M!AJ10,0)</f>
        <v/>
      </c>
      <c r="AT10" s="97">
        <f>IF(AND(matrizOK,$A10&lt;=nVariables,AT$7&lt;=nVariables,$A10&lt;&gt;AT$7),M!AK10,0)</f>
        <v/>
      </c>
      <c r="AU10" s="97">
        <f>IF(AND(matrizOK,$A10&lt;=nVariables,AU$7&lt;=nVariables,$A10&lt;&gt;AU$7),M!AL10,0)</f>
        <v/>
      </c>
      <c r="AV10" s="97">
        <f>IF(AND(matrizOK,$A10&lt;=nVariables,AV$7&lt;=nVariables,$A10&lt;&gt;AV$7),M!AM10,0)</f>
        <v/>
      </c>
      <c r="AW10" s="97">
        <f>IF(AND(matrizOK,$A10&lt;=nVariables,AW$7&lt;=nVariables,$A10&lt;&gt;AW$7),M!AN10,0)</f>
        <v/>
      </c>
      <c r="AX10" s="97">
        <f>IF(AND(matrizOK,$A10&lt;=nVariables,AX$7&lt;=nVariables,$A10&lt;&gt;AX$7),M!AO10,0)</f>
        <v/>
      </c>
      <c r="AY10" s="97">
        <f>IF(AND(matrizOK,$A10&lt;=nVariables,AY$7&lt;=nVariables,$A10&lt;&gt;AY$7),M!AP10,0)</f>
        <v/>
      </c>
      <c r="AZ10" s="97">
        <f>IF(AND(matrizOK,$A10&lt;=nVariables,AZ$7&lt;=nVariables,$A10&lt;&gt;AZ$7),M!AQ10,0)</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IF(AND(matrizOK,$A11&lt;=nVariables,M$7&lt;=nVariables,$A11&lt;&gt;M$7),M!D11,0)</f>
        <v/>
      </c>
      <c r="N11" s="97">
        <f>IF(AND(matrizOK,$A11&lt;=nVariables,N$7&lt;=nVariables,$A11&lt;&gt;N$7),M!E11,0)</f>
        <v/>
      </c>
      <c r="O11" s="97">
        <f>IF(AND(matrizOK,$A11&lt;=nVariables,O$7&lt;=nVariables,$A11&lt;&gt;O$7),M!F11,0)</f>
        <v/>
      </c>
      <c r="P11" s="97">
        <f>IF(AND(matrizOK,$A11&lt;=nVariables,P$7&lt;=nVariables,$A11&lt;&gt;P$7),M!G11,0)</f>
        <v/>
      </c>
      <c r="Q11" s="97">
        <f>IF(AND(matrizOK,$A11&lt;=nVariables,Q$7&lt;=nVariables,$A11&lt;&gt;Q$7),M!H11,0)</f>
        <v/>
      </c>
      <c r="R11" s="97">
        <f>IF(AND(matrizOK,$A11&lt;=nVariables,R$7&lt;=nVariables,$A11&lt;&gt;R$7),M!I11,0)</f>
        <v/>
      </c>
      <c r="S11" s="97">
        <f>IF(AND(matrizOK,$A11&lt;=nVariables,S$7&lt;=nVariables,$A11&lt;&gt;S$7),M!J11,0)</f>
        <v/>
      </c>
      <c r="T11" s="97">
        <f>IF(AND(matrizOK,$A11&lt;=nVariables,T$7&lt;=nVariables,$A11&lt;&gt;T$7),M!K11,0)</f>
        <v/>
      </c>
      <c r="U11" s="97">
        <f>IF(AND(matrizOK,$A11&lt;=nVariables,U$7&lt;=nVariables,$A11&lt;&gt;U$7),M!L11,0)</f>
        <v/>
      </c>
      <c r="V11" s="97">
        <f>IF(AND(matrizOK,$A11&lt;=nVariables,V$7&lt;=nVariables,$A11&lt;&gt;V$7),M!M11,0)</f>
        <v/>
      </c>
      <c r="W11" s="97">
        <f>IF(AND(matrizOK,$A11&lt;=nVariables,W$7&lt;=nVariables,$A11&lt;&gt;W$7),M!N11,0)</f>
        <v/>
      </c>
      <c r="X11" s="97">
        <f>IF(AND(matrizOK,$A11&lt;=nVariables,X$7&lt;=nVariables,$A11&lt;&gt;X$7),M!O11,0)</f>
        <v/>
      </c>
      <c r="Y11" s="97">
        <f>IF(AND(matrizOK,$A11&lt;=nVariables,Y$7&lt;=nVariables,$A11&lt;&gt;Y$7),M!P11,0)</f>
        <v/>
      </c>
      <c r="Z11" s="97">
        <f>IF(AND(matrizOK,$A11&lt;=nVariables,Z$7&lt;=nVariables,$A11&lt;&gt;Z$7),M!Q11,0)</f>
        <v/>
      </c>
      <c r="AA11" s="97">
        <f>IF(AND(matrizOK,$A11&lt;=nVariables,AA$7&lt;=nVariables,$A11&lt;&gt;AA$7),M!R11,0)</f>
        <v/>
      </c>
      <c r="AB11" s="97">
        <f>IF(AND(matrizOK,$A11&lt;=nVariables,AB$7&lt;=nVariables,$A11&lt;&gt;AB$7),M!S11,0)</f>
        <v/>
      </c>
      <c r="AC11" s="97">
        <f>IF(AND(matrizOK,$A11&lt;=nVariables,AC$7&lt;=nVariables,$A11&lt;&gt;AC$7),M!T11,0)</f>
        <v/>
      </c>
      <c r="AD11" s="97">
        <f>IF(AND(matrizOK,$A11&lt;=nVariables,AD$7&lt;=nVariables,$A11&lt;&gt;AD$7),M!U11,0)</f>
        <v/>
      </c>
      <c r="AE11" s="97">
        <f>IF(AND(matrizOK,$A11&lt;=nVariables,AE$7&lt;=nVariables,$A11&lt;&gt;AE$7),M!V11,0)</f>
        <v/>
      </c>
      <c r="AF11" s="97">
        <f>IF(AND(matrizOK,$A11&lt;=nVariables,AF$7&lt;=nVariables,$A11&lt;&gt;AF$7),M!W11,0)</f>
        <v/>
      </c>
      <c r="AG11" s="97">
        <f>IF(AND(matrizOK,$A11&lt;=nVariables,AG$7&lt;=nVariables,$A11&lt;&gt;AG$7),M!X11,0)</f>
        <v/>
      </c>
      <c r="AH11" s="97">
        <f>IF(AND(matrizOK,$A11&lt;=nVariables,AH$7&lt;=nVariables,$A11&lt;&gt;AH$7),M!Y11,0)</f>
        <v/>
      </c>
      <c r="AI11" s="97">
        <f>IF(AND(matrizOK,$A11&lt;=nVariables,AI$7&lt;=nVariables,$A11&lt;&gt;AI$7),M!Z11,0)</f>
        <v/>
      </c>
      <c r="AJ11" s="97">
        <f>IF(AND(matrizOK,$A11&lt;=nVariables,AJ$7&lt;=nVariables,$A11&lt;&gt;AJ$7),M!AA11,0)</f>
        <v/>
      </c>
      <c r="AK11" s="97">
        <f>IF(AND(matrizOK,$A11&lt;=nVariables,AK$7&lt;=nVariables,$A11&lt;&gt;AK$7),M!AB11,0)</f>
        <v/>
      </c>
      <c r="AL11" s="97">
        <f>IF(AND(matrizOK,$A11&lt;=nVariables,AL$7&lt;=nVariables,$A11&lt;&gt;AL$7),M!AC11,0)</f>
        <v/>
      </c>
      <c r="AM11" s="97">
        <f>IF(AND(matrizOK,$A11&lt;=nVariables,AM$7&lt;=nVariables,$A11&lt;&gt;AM$7),M!AD11,0)</f>
        <v/>
      </c>
      <c r="AN11" s="97">
        <f>IF(AND(matrizOK,$A11&lt;=nVariables,AN$7&lt;=nVariables,$A11&lt;&gt;AN$7),M!AE11,0)</f>
        <v/>
      </c>
      <c r="AO11" s="97">
        <f>IF(AND(matrizOK,$A11&lt;=nVariables,AO$7&lt;=nVariables,$A11&lt;&gt;AO$7),M!AF11,0)</f>
        <v/>
      </c>
      <c r="AP11" s="97">
        <f>IF(AND(matrizOK,$A11&lt;=nVariables,AP$7&lt;=nVariables,$A11&lt;&gt;AP$7),M!AG11,0)</f>
        <v/>
      </c>
      <c r="AQ11" s="97">
        <f>IF(AND(matrizOK,$A11&lt;=nVariables,AQ$7&lt;=nVariables,$A11&lt;&gt;AQ$7),M!AH11,0)</f>
        <v/>
      </c>
      <c r="AR11" s="97">
        <f>IF(AND(matrizOK,$A11&lt;=nVariables,AR$7&lt;=nVariables,$A11&lt;&gt;AR$7),M!AI11,0)</f>
        <v/>
      </c>
      <c r="AS11" s="97">
        <f>IF(AND(matrizOK,$A11&lt;=nVariables,AS$7&lt;=nVariables,$A11&lt;&gt;AS$7),M!AJ11,0)</f>
        <v/>
      </c>
      <c r="AT11" s="97">
        <f>IF(AND(matrizOK,$A11&lt;=nVariables,AT$7&lt;=nVariables,$A11&lt;&gt;AT$7),M!AK11,0)</f>
        <v/>
      </c>
      <c r="AU11" s="97">
        <f>IF(AND(matrizOK,$A11&lt;=nVariables,AU$7&lt;=nVariables,$A11&lt;&gt;AU$7),M!AL11,0)</f>
        <v/>
      </c>
      <c r="AV11" s="97">
        <f>IF(AND(matrizOK,$A11&lt;=nVariables,AV$7&lt;=nVariables,$A11&lt;&gt;AV$7),M!AM11,0)</f>
        <v/>
      </c>
      <c r="AW11" s="97">
        <f>IF(AND(matrizOK,$A11&lt;=nVariables,AW$7&lt;=nVariables,$A11&lt;&gt;AW$7),M!AN11,0)</f>
        <v/>
      </c>
      <c r="AX11" s="97">
        <f>IF(AND(matrizOK,$A11&lt;=nVariables,AX$7&lt;=nVariables,$A11&lt;&gt;AX$7),M!AO11,0)</f>
        <v/>
      </c>
      <c r="AY11" s="97">
        <f>IF(AND(matrizOK,$A11&lt;=nVariables,AY$7&lt;=nVariables,$A11&lt;&gt;AY$7),M!AP11,0)</f>
        <v/>
      </c>
      <c r="AZ11" s="97">
        <f>IF(AND(matrizOK,$A11&lt;=nVariables,AZ$7&lt;=nVariables,$A11&lt;&gt;AZ$7),M!AQ11,0)</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IF(AND(matrizOK,$A12&lt;=nVariables,M$7&lt;=nVariables,$A12&lt;&gt;M$7),M!D12,0)</f>
        <v/>
      </c>
      <c r="N12" s="97">
        <f>IF(AND(matrizOK,$A12&lt;=nVariables,N$7&lt;=nVariables,$A12&lt;&gt;N$7),M!E12,0)</f>
        <v/>
      </c>
      <c r="O12" s="97">
        <f>IF(AND(matrizOK,$A12&lt;=nVariables,O$7&lt;=nVariables,$A12&lt;&gt;O$7),M!F12,0)</f>
        <v/>
      </c>
      <c r="P12" s="97">
        <f>IF(AND(matrizOK,$A12&lt;=nVariables,P$7&lt;=nVariables,$A12&lt;&gt;P$7),M!G12,0)</f>
        <v/>
      </c>
      <c r="Q12" s="97">
        <f>IF(AND(matrizOK,$A12&lt;=nVariables,Q$7&lt;=nVariables,$A12&lt;&gt;Q$7),M!H12,0)</f>
        <v/>
      </c>
      <c r="R12" s="97">
        <f>IF(AND(matrizOK,$A12&lt;=nVariables,R$7&lt;=nVariables,$A12&lt;&gt;R$7),M!I12,0)</f>
        <v/>
      </c>
      <c r="S12" s="97">
        <f>IF(AND(matrizOK,$A12&lt;=nVariables,S$7&lt;=nVariables,$A12&lt;&gt;S$7),M!J12,0)</f>
        <v/>
      </c>
      <c r="T12" s="97">
        <f>IF(AND(matrizOK,$A12&lt;=nVariables,T$7&lt;=nVariables,$A12&lt;&gt;T$7),M!K12,0)</f>
        <v/>
      </c>
      <c r="U12" s="97">
        <f>IF(AND(matrizOK,$A12&lt;=nVariables,U$7&lt;=nVariables,$A12&lt;&gt;U$7),M!L12,0)</f>
        <v/>
      </c>
      <c r="V12" s="97">
        <f>IF(AND(matrizOK,$A12&lt;=nVariables,V$7&lt;=nVariables,$A12&lt;&gt;V$7),M!M12,0)</f>
        <v/>
      </c>
      <c r="W12" s="97">
        <f>IF(AND(matrizOK,$A12&lt;=nVariables,W$7&lt;=nVariables,$A12&lt;&gt;W$7),M!N12,0)</f>
        <v/>
      </c>
      <c r="X12" s="97">
        <f>IF(AND(matrizOK,$A12&lt;=nVariables,X$7&lt;=nVariables,$A12&lt;&gt;X$7),M!O12,0)</f>
        <v/>
      </c>
      <c r="Y12" s="97">
        <f>IF(AND(matrizOK,$A12&lt;=nVariables,Y$7&lt;=nVariables,$A12&lt;&gt;Y$7),M!P12,0)</f>
        <v/>
      </c>
      <c r="Z12" s="97">
        <f>IF(AND(matrizOK,$A12&lt;=nVariables,Z$7&lt;=nVariables,$A12&lt;&gt;Z$7),M!Q12,0)</f>
        <v/>
      </c>
      <c r="AA12" s="97">
        <f>IF(AND(matrizOK,$A12&lt;=nVariables,AA$7&lt;=nVariables,$A12&lt;&gt;AA$7),M!R12,0)</f>
        <v/>
      </c>
      <c r="AB12" s="97">
        <f>IF(AND(matrizOK,$A12&lt;=nVariables,AB$7&lt;=nVariables,$A12&lt;&gt;AB$7),M!S12,0)</f>
        <v/>
      </c>
      <c r="AC12" s="97">
        <f>IF(AND(matrizOK,$A12&lt;=nVariables,AC$7&lt;=nVariables,$A12&lt;&gt;AC$7),M!T12,0)</f>
        <v/>
      </c>
      <c r="AD12" s="97">
        <f>IF(AND(matrizOK,$A12&lt;=nVariables,AD$7&lt;=nVariables,$A12&lt;&gt;AD$7),M!U12,0)</f>
        <v/>
      </c>
      <c r="AE12" s="97">
        <f>IF(AND(matrizOK,$A12&lt;=nVariables,AE$7&lt;=nVariables,$A12&lt;&gt;AE$7),M!V12,0)</f>
        <v/>
      </c>
      <c r="AF12" s="97">
        <f>IF(AND(matrizOK,$A12&lt;=nVariables,AF$7&lt;=nVariables,$A12&lt;&gt;AF$7),M!W12,0)</f>
        <v/>
      </c>
      <c r="AG12" s="97">
        <f>IF(AND(matrizOK,$A12&lt;=nVariables,AG$7&lt;=nVariables,$A12&lt;&gt;AG$7),M!X12,0)</f>
        <v/>
      </c>
      <c r="AH12" s="97">
        <f>IF(AND(matrizOK,$A12&lt;=nVariables,AH$7&lt;=nVariables,$A12&lt;&gt;AH$7),M!Y12,0)</f>
        <v/>
      </c>
      <c r="AI12" s="97">
        <f>IF(AND(matrizOK,$A12&lt;=nVariables,AI$7&lt;=nVariables,$A12&lt;&gt;AI$7),M!Z12,0)</f>
        <v/>
      </c>
      <c r="AJ12" s="97">
        <f>IF(AND(matrizOK,$A12&lt;=nVariables,AJ$7&lt;=nVariables,$A12&lt;&gt;AJ$7),M!AA12,0)</f>
        <v/>
      </c>
      <c r="AK12" s="97">
        <f>IF(AND(matrizOK,$A12&lt;=nVariables,AK$7&lt;=nVariables,$A12&lt;&gt;AK$7),M!AB12,0)</f>
        <v/>
      </c>
      <c r="AL12" s="97">
        <f>IF(AND(matrizOK,$A12&lt;=nVariables,AL$7&lt;=nVariables,$A12&lt;&gt;AL$7),M!AC12,0)</f>
        <v/>
      </c>
      <c r="AM12" s="97">
        <f>IF(AND(matrizOK,$A12&lt;=nVariables,AM$7&lt;=nVariables,$A12&lt;&gt;AM$7),M!AD12,0)</f>
        <v/>
      </c>
      <c r="AN12" s="97">
        <f>IF(AND(matrizOK,$A12&lt;=nVariables,AN$7&lt;=nVariables,$A12&lt;&gt;AN$7),M!AE12,0)</f>
        <v/>
      </c>
      <c r="AO12" s="97">
        <f>IF(AND(matrizOK,$A12&lt;=nVariables,AO$7&lt;=nVariables,$A12&lt;&gt;AO$7),M!AF12,0)</f>
        <v/>
      </c>
      <c r="AP12" s="97">
        <f>IF(AND(matrizOK,$A12&lt;=nVariables,AP$7&lt;=nVariables,$A12&lt;&gt;AP$7),M!AG12,0)</f>
        <v/>
      </c>
      <c r="AQ12" s="97">
        <f>IF(AND(matrizOK,$A12&lt;=nVariables,AQ$7&lt;=nVariables,$A12&lt;&gt;AQ$7),M!AH12,0)</f>
        <v/>
      </c>
      <c r="AR12" s="97">
        <f>IF(AND(matrizOK,$A12&lt;=nVariables,AR$7&lt;=nVariables,$A12&lt;&gt;AR$7),M!AI12,0)</f>
        <v/>
      </c>
      <c r="AS12" s="97">
        <f>IF(AND(matrizOK,$A12&lt;=nVariables,AS$7&lt;=nVariables,$A12&lt;&gt;AS$7),M!AJ12,0)</f>
        <v/>
      </c>
      <c r="AT12" s="97">
        <f>IF(AND(matrizOK,$A12&lt;=nVariables,AT$7&lt;=nVariables,$A12&lt;&gt;AT$7),M!AK12,0)</f>
        <v/>
      </c>
      <c r="AU12" s="97">
        <f>IF(AND(matrizOK,$A12&lt;=nVariables,AU$7&lt;=nVariables,$A12&lt;&gt;AU$7),M!AL12,0)</f>
        <v/>
      </c>
      <c r="AV12" s="97">
        <f>IF(AND(matrizOK,$A12&lt;=nVariables,AV$7&lt;=nVariables,$A12&lt;&gt;AV$7),M!AM12,0)</f>
        <v/>
      </c>
      <c r="AW12" s="97">
        <f>IF(AND(matrizOK,$A12&lt;=nVariables,AW$7&lt;=nVariables,$A12&lt;&gt;AW$7),M!AN12,0)</f>
        <v/>
      </c>
      <c r="AX12" s="97">
        <f>IF(AND(matrizOK,$A12&lt;=nVariables,AX$7&lt;=nVariables,$A12&lt;&gt;AX$7),M!AO12,0)</f>
        <v/>
      </c>
      <c r="AY12" s="97">
        <f>IF(AND(matrizOK,$A12&lt;=nVariables,AY$7&lt;=nVariables,$A12&lt;&gt;AY$7),M!AP12,0)</f>
        <v/>
      </c>
      <c r="AZ12" s="97">
        <f>IF(AND(matrizOK,$A12&lt;=nVariables,AZ$7&lt;=nVariables,$A12&lt;&gt;AZ$7),M!AQ12,0)</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IF(AND(matrizOK,$A13&lt;=nVariables,M$7&lt;=nVariables,$A13&lt;&gt;M$7),M!D13,0)</f>
        <v/>
      </c>
      <c r="N13" s="97">
        <f>IF(AND(matrizOK,$A13&lt;=nVariables,N$7&lt;=nVariables,$A13&lt;&gt;N$7),M!E13,0)</f>
        <v/>
      </c>
      <c r="O13" s="97">
        <f>IF(AND(matrizOK,$A13&lt;=nVariables,O$7&lt;=nVariables,$A13&lt;&gt;O$7),M!F13,0)</f>
        <v/>
      </c>
      <c r="P13" s="97">
        <f>IF(AND(matrizOK,$A13&lt;=nVariables,P$7&lt;=nVariables,$A13&lt;&gt;P$7),M!G13,0)</f>
        <v/>
      </c>
      <c r="Q13" s="97">
        <f>IF(AND(matrizOK,$A13&lt;=nVariables,Q$7&lt;=nVariables,$A13&lt;&gt;Q$7),M!H13,0)</f>
        <v/>
      </c>
      <c r="R13" s="97">
        <f>IF(AND(matrizOK,$A13&lt;=nVariables,R$7&lt;=nVariables,$A13&lt;&gt;R$7),M!I13,0)</f>
        <v/>
      </c>
      <c r="S13" s="97">
        <f>IF(AND(matrizOK,$A13&lt;=nVariables,S$7&lt;=nVariables,$A13&lt;&gt;S$7),M!J13,0)</f>
        <v/>
      </c>
      <c r="T13" s="97">
        <f>IF(AND(matrizOK,$A13&lt;=nVariables,T$7&lt;=nVariables,$A13&lt;&gt;T$7),M!K13,0)</f>
        <v/>
      </c>
      <c r="U13" s="97">
        <f>IF(AND(matrizOK,$A13&lt;=nVariables,U$7&lt;=nVariables,$A13&lt;&gt;U$7),M!L13,0)</f>
        <v/>
      </c>
      <c r="V13" s="97">
        <f>IF(AND(matrizOK,$A13&lt;=nVariables,V$7&lt;=nVariables,$A13&lt;&gt;V$7),M!M13,0)</f>
        <v/>
      </c>
      <c r="W13" s="97">
        <f>IF(AND(matrizOK,$A13&lt;=nVariables,W$7&lt;=nVariables,$A13&lt;&gt;W$7),M!N13,0)</f>
        <v/>
      </c>
      <c r="X13" s="97">
        <f>IF(AND(matrizOK,$A13&lt;=nVariables,X$7&lt;=nVariables,$A13&lt;&gt;X$7),M!O13,0)</f>
        <v/>
      </c>
      <c r="Y13" s="97">
        <f>IF(AND(matrizOK,$A13&lt;=nVariables,Y$7&lt;=nVariables,$A13&lt;&gt;Y$7),M!P13,0)</f>
        <v/>
      </c>
      <c r="Z13" s="97">
        <f>IF(AND(matrizOK,$A13&lt;=nVariables,Z$7&lt;=nVariables,$A13&lt;&gt;Z$7),M!Q13,0)</f>
        <v/>
      </c>
      <c r="AA13" s="97">
        <f>IF(AND(matrizOK,$A13&lt;=nVariables,AA$7&lt;=nVariables,$A13&lt;&gt;AA$7),M!R13,0)</f>
        <v/>
      </c>
      <c r="AB13" s="97">
        <f>IF(AND(matrizOK,$A13&lt;=nVariables,AB$7&lt;=nVariables,$A13&lt;&gt;AB$7),M!S13,0)</f>
        <v/>
      </c>
      <c r="AC13" s="97">
        <f>IF(AND(matrizOK,$A13&lt;=nVariables,AC$7&lt;=nVariables,$A13&lt;&gt;AC$7),M!T13,0)</f>
        <v/>
      </c>
      <c r="AD13" s="97">
        <f>IF(AND(matrizOK,$A13&lt;=nVariables,AD$7&lt;=nVariables,$A13&lt;&gt;AD$7),M!U13,0)</f>
        <v/>
      </c>
      <c r="AE13" s="97">
        <f>IF(AND(matrizOK,$A13&lt;=nVariables,AE$7&lt;=nVariables,$A13&lt;&gt;AE$7),M!V13,0)</f>
        <v/>
      </c>
      <c r="AF13" s="97">
        <f>IF(AND(matrizOK,$A13&lt;=nVariables,AF$7&lt;=nVariables,$A13&lt;&gt;AF$7),M!W13,0)</f>
        <v/>
      </c>
      <c r="AG13" s="97">
        <f>IF(AND(matrizOK,$A13&lt;=nVariables,AG$7&lt;=nVariables,$A13&lt;&gt;AG$7),M!X13,0)</f>
        <v/>
      </c>
      <c r="AH13" s="97">
        <f>IF(AND(matrizOK,$A13&lt;=nVariables,AH$7&lt;=nVariables,$A13&lt;&gt;AH$7),M!Y13,0)</f>
        <v/>
      </c>
      <c r="AI13" s="97">
        <f>IF(AND(matrizOK,$A13&lt;=nVariables,AI$7&lt;=nVariables,$A13&lt;&gt;AI$7),M!Z13,0)</f>
        <v/>
      </c>
      <c r="AJ13" s="97">
        <f>IF(AND(matrizOK,$A13&lt;=nVariables,AJ$7&lt;=nVariables,$A13&lt;&gt;AJ$7),M!AA13,0)</f>
        <v/>
      </c>
      <c r="AK13" s="97">
        <f>IF(AND(matrizOK,$A13&lt;=nVariables,AK$7&lt;=nVariables,$A13&lt;&gt;AK$7),M!AB13,0)</f>
        <v/>
      </c>
      <c r="AL13" s="97">
        <f>IF(AND(matrizOK,$A13&lt;=nVariables,AL$7&lt;=nVariables,$A13&lt;&gt;AL$7),M!AC13,0)</f>
        <v/>
      </c>
      <c r="AM13" s="97">
        <f>IF(AND(matrizOK,$A13&lt;=nVariables,AM$7&lt;=nVariables,$A13&lt;&gt;AM$7),M!AD13,0)</f>
        <v/>
      </c>
      <c r="AN13" s="97">
        <f>IF(AND(matrizOK,$A13&lt;=nVariables,AN$7&lt;=nVariables,$A13&lt;&gt;AN$7),M!AE13,0)</f>
        <v/>
      </c>
      <c r="AO13" s="97">
        <f>IF(AND(matrizOK,$A13&lt;=nVariables,AO$7&lt;=nVariables,$A13&lt;&gt;AO$7),M!AF13,0)</f>
        <v/>
      </c>
      <c r="AP13" s="97">
        <f>IF(AND(matrizOK,$A13&lt;=nVariables,AP$7&lt;=nVariables,$A13&lt;&gt;AP$7),M!AG13,0)</f>
        <v/>
      </c>
      <c r="AQ13" s="97">
        <f>IF(AND(matrizOK,$A13&lt;=nVariables,AQ$7&lt;=nVariables,$A13&lt;&gt;AQ$7),M!AH13,0)</f>
        <v/>
      </c>
      <c r="AR13" s="97">
        <f>IF(AND(matrizOK,$A13&lt;=nVariables,AR$7&lt;=nVariables,$A13&lt;&gt;AR$7),M!AI13,0)</f>
        <v/>
      </c>
      <c r="AS13" s="97">
        <f>IF(AND(matrizOK,$A13&lt;=nVariables,AS$7&lt;=nVariables,$A13&lt;&gt;AS$7),M!AJ13,0)</f>
        <v/>
      </c>
      <c r="AT13" s="97">
        <f>IF(AND(matrizOK,$A13&lt;=nVariables,AT$7&lt;=nVariables,$A13&lt;&gt;AT$7),M!AK13,0)</f>
        <v/>
      </c>
      <c r="AU13" s="97">
        <f>IF(AND(matrizOK,$A13&lt;=nVariables,AU$7&lt;=nVariables,$A13&lt;&gt;AU$7),M!AL13,0)</f>
        <v/>
      </c>
      <c r="AV13" s="97">
        <f>IF(AND(matrizOK,$A13&lt;=nVariables,AV$7&lt;=nVariables,$A13&lt;&gt;AV$7),M!AM13,0)</f>
        <v/>
      </c>
      <c r="AW13" s="97">
        <f>IF(AND(matrizOK,$A13&lt;=nVariables,AW$7&lt;=nVariables,$A13&lt;&gt;AW$7),M!AN13,0)</f>
        <v/>
      </c>
      <c r="AX13" s="97">
        <f>IF(AND(matrizOK,$A13&lt;=nVariables,AX$7&lt;=nVariables,$A13&lt;&gt;AX$7),M!AO13,0)</f>
        <v/>
      </c>
      <c r="AY13" s="97">
        <f>IF(AND(matrizOK,$A13&lt;=nVariables,AY$7&lt;=nVariables,$A13&lt;&gt;AY$7),M!AP13,0)</f>
        <v/>
      </c>
      <c r="AZ13" s="97">
        <f>IF(AND(matrizOK,$A13&lt;=nVariables,AZ$7&lt;=nVariables,$A13&lt;&gt;AZ$7),M!AQ13,0)</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IF(AND(matrizOK,$A14&lt;=nVariables,M$7&lt;=nVariables,$A14&lt;&gt;M$7),M!D14,0)</f>
        <v/>
      </c>
      <c r="N14" s="97">
        <f>IF(AND(matrizOK,$A14&lt;=nVariables,N$7&lt;=nVariables,$A14&lt;&gt;N$7),M!E14,0)</f>
        <v/>
      </c>
      <c r="O14" s="97">
        <f>IF(AND(matrizOK,$A14&lt;=nVariables,O$7&lt;=nVariables,$A14&lt;&gt;O$7),M!F14,0)</f>
        <v/>
      </c>
      <c r="P14" s="97">
        <f>IF(AND(matrizOK,$A14&lt;=nVariables,P$7&lt;=nVariables,$A14&lt;&gt;P$7),M!G14,0)</f>
        <v/>
      </c>
      <c r="Q14" s="97">
        <f>IF(AND(matrizOK,$A14&lt;=nVariables,Q$7&lt;=nVariables,$A14&lt;&gt;Q$7),M!H14,0)</f>
        <v/>
      </c>
      <c r="R14" s="97">
        <f>IF(AND(matrizOK,$A14&lt;=nVariables,R$7&lt;=nVariables,$A14&lt;&gt;R$7),M!I14,0)</f>
        <v/>
      </c>
      <c r="S14" s="97">
        <f>IF(AND(matrizOK,$A14&lt;=nVariables,S$7&lt;=nVariables,$A14&lt;&gt;S$7),M!J14,0)</f>
        <v/>
      </c>
      <c r="T14" s="97">
        <f>IF(AND(matrizOK,$A14&lt;=nVariables,T$7&lt;=nVariables,$A14&lt;&gt;T$7),M!K14,0)</f>
        <v/>
      </c>
      <c r="U14" s="97">
        <f>IF(AND(matrizOK,$A14&lt;=nVariables,U$7&lt;=nVariables,$A14&lt;&gt;U$7),M!L14,0)</f>
        <v/>
      </c>
      <c r="V14" s="97">
        <f>IF(AND(matrizOK,$A14&lt;=nVariables,V$7&lt;=nVariables,$A14&lt;&gt;V$7),M!M14,0)</f>
        <v/>
      </c>
      <c r="W14" s="97">
        <f>IF(AND(matrizOK,$A14&lt;=nVariables,W$7&lt;=nVariables,$A14&lt;&gt;W$7),M!N14,0)</f>
        <v/>
      </c>
      <c r="X14" s="97">
        <f>IF(AND(matrizOK,$A14&lt;=nVariables,X$7&lt;=nVariables,$A14&lt;&gt;X$7),M!O14,0)</f>
        <v/>
      </c>
      <c r="Y14" s="97">
        <f>IF(AND(matrizOK,$A14&lt;=nVariables,Y$7&lt;=nVariables,$A14&lt;&gt;Y$7),M!P14,0)</f>
        <v/>
      </c>
      <c r="Z14" s="97">
        <f>IF(AND(matrizOK,$A14&lt;=nVariables,Z$7&lt;=nVariables,$A14&lt;&gt;Z$7),M!Q14,0)</f>
        <v/>
      </c>
      <c r="AA14" s="97">
        <f>IF(AND(matrizOK,$A14&lt;=nVariables,AA$7&lt;=nVariables,$A14&lt;&gt;AA$7),M!R14,0)</f>
        <v/>
      </c>
      <c r="AB14" s="97">
        <f>IF(AND(matrizOK,$A14&lt;=nVariables,AB$7&lt;=nVariables,$A14&lt;&gt;AB$7),M!S14,0)</f>
        <v/>
      </c>
      <c r="AC14" s="97">
        <f>IF(AND(matrizOK,$A14&lt;=nVariables,AC$7&lt;=nVariables,$A14&lt;&gt;AC$7),M!T14,0)</f>
        <v/>
      </c>
      <c r="AD14" s="97">
        <f>IF(AND(matrizOK,$A14&lt;=nVariables,AD$7&lt;=nVariables,$A14&lt;&gt;AD$7),M!U14,0)</f>
        <v/>
      </c>
      <c r="AE14" s="97">
        <f>IF(AND(matrizOK,$A14&lt;=nVariables,AE$7&lt;=nVariables,$A14&lt;&gt;AE$7),M!V14,0)</f>
        <v/>
      </c>
      <c r="AF14" s="97">
        <f>IF(AND(matrizOK,$A14&lt;=nVariables,AF$7&lt;=nVariables,$A14&lt;&gt;AF$7),M!W14,0)</f>
        <v/>
      </c>
      <c r="AG14" s="97">
        <f>IF(AND(matrizOK,$A14&lt;=nVariables,AG$7&lt;=nVariables,$A14&lt;&gt;AG$7),M!X14,0)</f>
        <v/>
      </c>
      <c r="AH14" s="97">
        <f>IF(AND(matrizOK,$A14&lt;=nVariables,AH$7&lt;=nVariables,$A14&lt;&gt;AH$7),M!Y14,0)</f>
        <v/>
      </c>
      <c r="AI14" s="97">
        <f>IF(AND(matrizOK,$A14&lt;=nVariables,AI$7&lt;=nVariables,$A14&lt;&gt;AI$7),M!Z14,0)</f>
        <v/>
      </c>
      <c r="AJ14" s="97">
        <f>IF(AND(matrizOK,$A14&lt;=nVariables,AJ$7&lt;=nVariables,$A14&lt;&gt;AJ$7),M!AA14,0)</f>
        <v/>
      </c>
      <c r="AK14" s="97">
        <f>IF(AND(matrizOK,$A14&lt;=nVariables,AK$7&lt;=nVariables,$A14&lt;&gt;AK$7),M!AB14,0)</f>
        <v/>
      </c>
      <c r="AL14" s="97">
        <f>IF(AND(matrizOK,$A14&lt;=nVariables,AL$7&lt;=nVariables,$A14&lt;&gt;AL$7),M!AC14,0)</f>
        <v/>
      </c>
      <c r="AM14" s="97">
        <f>IF(AND(matrizOK,$A14&lt;=nVariables,AM$7&lt;=nVariables,$A14&lt;&gt;AM$7),M!AD14,0)</f>
        <v/>
      </c>
      <c r="AN14" s="97">
        <f>IF(AND(matrizOK,$A14&lt;=nVariables,AN$7&lt;=nVariables,$A14&lt;&gt;AN$7),M!AE14,0)</f>
        <v/>
      </c>
      <c r="AO14" s="97">
        <f>IF(AND(matrizOK,$A14&lt;=nVariables,AO$7&lt;=nVariables,$A14&lt;&gt;AO$7),M!AF14,0)</f>
        <v/>
      </c>
      <c r="AP14" s="97">
        <f>IF(AND(matrizOK,$A14&lt;=nVariables,AP$7&lt;=nVariables,$A14&lt;&gt;AP$7),M!AG14,0)</f>
        <v/>
      </c>
      <c r="AQ14" s="97">
        <f>IF(AND(matrizOK,$A14&lt;=nVariables,AQ$7&lt;=nVariables,$A14&lt;&gt;AQ$7),M!AH14,0)</f>
        <v/>
      </c>
      <c r="AR14" s="97">
        <f>IF(AND(matrizOK,$A14&lt;=nVariables,AR$7&lt;=nVariables,$A14&lt;&gt;AR$7),M!AI14,0)</f>
        <v/>
      </c>
      <c r="AS14" s="97">
        <f>IF(AND(matrizOK,$A14&lt;=nVariables,AS$7&lt;=nVariables,$A14&lt;&gt;AS$7),M!AJ14,0)</f>
        <v/>
      </c>
      <c r="AT14" s="97">
        <f>IF(AND(matrizOK,$A14&lt;=nVariables,AT$7&lt;=nVariables,$A14&lt;&gt;AT$7),M!AK14,0)</f>
        <v/>
      </c>
      <c r="AU14" s="97">
        <f>IF(AND(matrizOK,$A14&lt;=nVariables,AU$7&lt;=nVariables,$A14&lt;&gt;AU$7),M!AL14,0)</f>
        <v/>
      </c>
      <c r="AV14" s="97">
        <f>IF(AND(matrizOK,$A14&lt;=nVariables,AV$7&lt;=nVariables,$A14&lt;&gt;AV$7),M!AM14,0)</f>
        <v/>
      </c>
      <c r="AW14" s="97">
        <f>IF(AND(matrizOK,$A14&lt;=nVariables,AW$7&lt;=nVariables,$A14&lt;&gt;AW$7),M!AN14,0)</f>
        <v/>
      </c>
      <c r="AX14" s="97">
        <f>IF(AND(matrizOK,$A14&lt;=nVariables,AX$7&lt;=nVariables,$A14&lt;&gt;AX$7),M!AO14,0)</f>
        <v/>
      </c>
      <c r="AY14" s="97">
        <f>IF(AND(matrizOK,$A14&lt;=nVariables,AY$7&lt;=nVariables,$A14&lt;&gt;AY$7),M!AP14,0)</f>
        <v/>
      </c>
      <c r="AZ14" s="97">
        <f>IF(AND(matrizOK,$A14&lt;=nVariables,AZ$7&lt;=nVariables,$A14&lt;&gt;AZ$7),M!AQ14,0)</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IF(AND(matrizOK,$A15&lt;=nVariables,M$7&lt;=nVariables,$A15&lt;&gt;M$7),M!D15,0)</f>
        <v/>
      </c>
      <c r="N15" s="97">
        <f>IF(AND(matrizOK,$A15&lt;=nVariables,N$7&lt;=nVariables,$A15&lt;&gt;N$7),M!E15,0)</f>
        <v/>
      </c>
      <c r="O15" s="97">
        <f>IF(AND(matrizOK,$A15&lt;=nVariables,O$7&lt;=nVariables,$A15&lt;&gt;O$7),M!F15,0)</f>
        <v/>
      </c>
      <c r="P15" s="97">
        <f>IF(AND(matrizOK,$A15&lt;=nVariables,P$7&lt;=nVariables,$A15&lt;&gt;P$7),M!G15,0)</f>
        <v/>
      </c>
      <c r="Q15" s="97">
        <f>IF(AND(matrizOK,$A15&lt;=nVariables,Q$7&lt;=nVariables,$A15&lt;&gt;Q$7),M!H15,0)</f>
        <v/>
      </c>
      <c r="R15" s="97">
        <f>IF(AND(matrizOK,$A15&lt;=nVariables,R$7&lt;=nVariables,$A15&lt;&gt;R$7),M!I15,0)</f>
        <v/>
      </c>
      <c r="S15" s="97">
        <f>IF(AND(matrizOK,$A15&lt;=nVariables,S$7&lt;=nVariables,$A15&lt;&gt;S$7),M!J15,0)</f>
        <v/>
      </c>
      <c r="T15" s="97">
        <f>IF(AND(matrizOK,$A15&lt;=nVariables,T$7&lt;=nVariables,$A15&lt;&gt;T$7),M!K15,0)</f>
        <v/>
      </c>
      <c r="U15" s="97">
        <f>IF(AND(matrizOK,$A15&lt;=nVariables,U$7&lt;=nVariables,$A15&lt;&gt;U$7),M!L15,0)</f>
        <v/>
      </c>
      <c r="V15" s="97">
        <f>IF(AND(matrizOK,$A15&lt;=nVariables,V$7&lt;=nVariables,$A15&lt;&gt;V$7),M!M15,0)</f>
        <v/>
      </c>
      <c r="W15" s="97">
        <f>IF(AND(matrizOK,$A15&lt;=nVariables,W$7&lt;=nVariables,$A15&lt;&gt;W$7),M!N15,0)</f>
        <v/>
      </c>
      <c r="X15" s="97">
        <f>IF(AND(matrizOK,$A15&lt;=nVariables,X$7&lt;=nVariables,$A15&lt;&gt;X$7),M!O15,0)</f>
        <v/>
      </c>
      <c r="Y15" s="97">
        <f>IF(AND(matrizOK,$A15&lt;=nVariables,Y$7&lt;=nVariables,$A15&lt;&gt;Y$7),M!P15,0)</f>
        <v/>
      </c>
      <c r="Z15" s="97">
        <f>IF(AND(matrizOK,$A15&lt;=nVariables,Z$7&lt;=nVariables,$A15&lt;&gt;Z$7),M!Q15,0)</f>
        <v/>
      </c>
      <c r="AA15" s="97">
        <f>IF(AND(matrizOK,$A15&lt;=nVariables,AA$7&lt;=nVariables,$A15&lt;&gt;AA$7),M!R15,0)</f>
        <v/>
      </c>
      <c r="AB15" s="97">
        <f>IF(AND(matrizOK,$A15&lt;=nVariables,AB$7&lt;=nVariables,$A15&lt;&gt;AB$7),M!S15,0)</f>
        <v/>
      </c>
      <c r="AC15" s="97">
        <f>IF(AND(matrizOK,$A15&lt;=nVariables,AC$7&lt;=nVariables,$A15&lt;&gt;AC$7),M!T15,0)</f>
        <v/>
      </c>
      <c r="AD15" s="97">
        <f>IF(AND(matrizOK,$A15&lt;=nVariables,AD$7&lt;=nVariables,$A15&lt;&gt;AD$7),M!U15,0)</f>
        <v/>
      </c>
      <c r="AE15" s="97">
        <f>IF(AND(matrizOK,$A15&lt;=nVariables,AE$7&lt;=nVariables,$A15&lt;&gt;AE$7),M!V15,0)</f>
        <v/>
      </c>
      <c r="AF15" s="97">
        <f>IF(AND(matrizOK,$A15&lt;=nVariables,AF$7&lt;=nVariables,$A15&lt;&gt;AF$7),M!W15,0)</f>
        <v/>
      </c>
      <c r="AG15" s="97">
        <f>IF(AND(matrizOK,$A15&lt;=nVariables,AG$7&lt;=nVariables,$A15&lt;&gt;AG$7),M!X15,0)</f>
        <v/>
      </c>
      <c r="AH15" s="97">
        <f>IF(AND(matrizOK,$A15&lt;=nVariables,AH$7&lt;=nVariables,$A15&lt;&gt;AH$7),M!Y15,0)</f>
        <v/>
      </c>
      <c r="AI15" s="97">
        <f>IF(AND(matrizOK,$A15&lt;=nVariables,AI$7&lt;=nVariables,$A15&lt;&gt;AI$7),M!Z15,0)</f>
        <v/>
      </c>
      <c r="AJ15" s="97">
        <f>IF(AND(matrizOK,$A15&lt;=nVariables,AJ$7&lt;=nVariables,$A15&lt;&gt;AJ$7),M!AA15,0)</f>
        <v/>
      </c>
      <c r="AK15" s="97">
        <f>IF(AND(matrizOK,$A15&lt;=nVariables,AK$7&lt;=nVariables,$A15&lt;&gt;AK$7),M!AB15,0)</f>
        <v/>
      </c>
      <c r="AL15" s="97">
        <f>IF(AND(matrizOK,$A15&lt;=nVariables,AL$7&lt;=nVariables,$A15&lt;&gt;AL$7),M!AC15,0)</f>
        <v/>
      </c>
      <c r="AM15" s="97">
        <f>IF(AND(matrizOK,$A15&lt;=nVariables,AM$7&lt;=nVariables,$A15&lt;&gt;AM$7),M!AD15,0)</f>
        <v/>
      </c>
      <c r="AN15" s="97">
        <f>IF(AND(matrizOK,$A15&lt;=nVariables,AN$7&lt;=nVariables,$A15&lt;&gt;AN$7),M!AE15,0)</f>
        <v/>
      </c>
      <c r="AO15" s="97">
        <f>IF(AND(matrizOK,$A15&lt;=nVariables,AO$7&lt;=nVariables,$A15&lt;&gt;AO$7),M!AF15,0)</f>
        <v/>
      </c>
      <c r="AP15" s="97">
        <f>IF(AND(matrizOK,$A15&lt;=nVariables,AP$7&lt;=nVariables,$A15&lt;&gt;AP$7),M!AG15,0)</f>
        <v/>
      </c>
      <c r="AQ15" s="97">
        <f>IF(AND(matrizOK,$A15&lt;=nVariables,AQ$7&lt;=nVariables,$A15&lt;&gt;AQ$7),M!AH15,0)</f>
        <v/>
      </c>
      <c r="AR15" s="97">
        <f>IF(AND(matrizOK,$A15&lt;=nVariables,AR$7&lt;=nVariables,$A15&lt;&gt;AR$7),M!AI15,0)</f>
        <v/>
      </c>
      <c r="AS15" s="97">
        <f>IF(AND(matrizOK,$A15&lt;=nVariables,AS$7&lt;=nVariables,$A15&lt;&gt;AS$7),M!AJ15,0)</f>
        <v/>
      </c>
      <c r="AT15" s="97">
        <f>IF(AND(matrizOK,$A15&lt;=nVariables,AT$7&lt;=nVariables,$A15&lt;&gt;AT$7),M!AK15,0)</f>
        <v/>
      </c>
      <c r="AU15" s="97">
        <f>IF(AND(matrizOK,$A15&lt;=nVariables,AU$7&lt;=nVariables,$A15&lt;&gt;AU$7),M!AL15,0)</f>
        <v/>
      </c>
      <c r="AV15" s="97">
        <f>IF(AND(matrizOK,$A15&lt;=nVariables,AV$7&lt;=nVariables,$A15&lt;&gt;AV$7),M!AM15,0)</f>
        <v/>
      </c>
      <c r="AW15" s="97">
        <f>IF(AND(matrizOK,$A15&lt;=nVariables,AW$7&lt;=nVariables,$A15&lt;&gt;AW$7),M!AN15,0)</f>
        <v/>
      </c>
      <c r="AX15" s="97">
        <f>IF(AND(matrizOK,$A15&lt;=nVariables,AX$7&lt;=nVariables,$A15&lt;&gt;AX$7),M!AO15,0)</f>
        <v/>
      </c>
      <c r="AY15" s="97">
        <f>IF(AND(matrizOK,$A15&lt;=nVariables,AY$7&lt;=nVariables,$A15&lt;&gt;AY$7),M!AP15,0)</f>
        <v/>
      </c>
      <c r="AZ15" s="97">
        <f>IF(AND(matrizOK,$A15&lt;=nVariables,AZ$7&lt;=nVariables,$A15&lt;&gt;AZ$7),M!AQ15,0)</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IF(AND(matrizOK,$A16&lt;=nVariables,M$7&lt;=nVariables,$A16&lt;&gt;M$7),M!D16,0)</f>
        <v/>
      </c>
      <c r="N16" s="97">
        <f>IF(AND(matrizOK,$A16&lt;=nVariables,N$7&lt;=nVariables,$A16&lt;&gt;N$7),M!E16,0)</f>
        <v/>
      </c>
      <c r="O16" s="97">
        <f>IF(AND(matrizOK,$A16&lt;=nVariables,O$7&lt;=nVariables,$A16&lt;&gt;O$7),M!F16,0)</f>
        <v/>
      </c>
      <c r="P16" s="97">
        <f>IF(AND(matrizOK,$A16&lt;=nVariables,P$7&lt;=nVariables,$A16&lt;&gt;P$7),M!G16,0)</f>
        <v/>
      </c>
      <c r="Q16" s="97">
        <f>IF(AND(matrizOK,$A16&lt;=nVariables,Q$7&lt;=nVariables,$A16&lt;&gt;Q$7),M!H16,0)</f>
        <v/>
      </c>
      <c r="R16" s="97">
        <f>IF(AND(matrizOK,$A16&lt;=nVariables,R$7&lt;=nVariables,$A16&lt;&gt;R$7),M!I16,0)</f>
        <v/>
      </c>
      <c r="S16" s="97">
        <f>IF(AND(matrizOK,$A16&lt;=nVariables,S$7&lt;=nVariables,$A16&lt;&gt;S$7),M!J16,0)</f>
        <v/>
      </c>
      <c r="T16" s="97">
        <f>IF(AND(matrizOK,$A16&lt;=nVariables,T$7&lt;=nVariables,$A16&lt;&gt;T$7),M!K16,0)</f>
        <v/>
      </c>
      <c r="U16" s="97">
        <f>IF(AND(matrizOK,$A16&lt;=nVariables,U$7&lt;=nVariables,$A16&lt;&gt;U$7),M!L16,0)</f>
        <v/>
      </c>
      <c r="V16" s="97">
        <f>IF(AND(matrizOK,$A16&lt;=nVariables,V$7&lt;=nVariables,$A16&lt;&gt;V$7),M!M16,0)</f>
        <v/>
      </c>
      <c r="W16" s="97">
        <f>IF(AND(matrizOK,$A16&lt;=nVariables,W$7&lt;=nVariables,$A16&lt;&gt;W$7),M!N16,0)</f>
        <v/>
      </c>
      <c r="X16" s="97">
        <f>IF(AND(matrizOK,$A16&lt;=nVariables,X$7&lt;=nVariables,$A16&lt;&gt;X$7),M!O16,0)</f>
        <v/>
      </c>
      <c r="Y16" s="97">
        <f>IF(AND(matrizOK,$A16&lt;=nVariables,Y$7&lt;=nVariables,$A16&lt;&gt;Y$7),M!P16,0)</f>
        <v/>
      </c>
      <c r="Z16" s="97">
        <f>IF(AND(matrizOK,$A16&lt;=nVariables,Z$7&lt;=nVariables,$A16&lt;&gt;Z$7),M!Q16,0)</f>
        <v/>
      </c>
      <c r="AA16" s="97">
        <f>IF(AND(matrizOK,$A16&lt;=nVariables,AA$7&lt;=nVariables,$A16&lt;&gt;AA$7),M!R16,0)</f>
        <v/>
      </c>
      <c r="AB16" s="97">
        <f>IF(AND(matrizOK,$A16&lt;=nVariables,AB$7&lt;=nVariables,$A16&lt;&gt;AB$7),M!S16,0)</f>
        <v/>
      </c>
      <c r="AC16" s="97">
        <f>IF(AND(matrizOK,$A16&lt;=nVariables,AC$7&lt;=nVariables,$A16&lt;&gt;AC$7),M!T16,0)</f>
        <v/>
      </c>
      <c r="AD16" s="97">
        <f>IF(AND(matrizOK,$A16&lt;=nVariables,AD$7&lt;=nVariables,$A16&lt;&gt;AD$7),M!U16,0)</f>
        <v/>
      </c>
      <c r="AE16" s="97">
        <f>IF(AND(matrizOK,$A16&lt;=nVariables,AE$7&lt;=nVariables,$A16&lt;&gt;AE$7),M!V16,0)</f>
        <v/>
      </c>
      <c r="AF16" s="97">
        <f>IF(AND(matrizOK,$A16&lt;=nVariables,AF$7&lt;=nVariables,$A16&lt;&gt;AF$7),M!W16,0)</f>
        <v/>
      </c>
      <c r="AG16" s="97">
        <f>IF(AND(matrizOK,$A16&lt;=nVariables,AG$7&lt;=nVariables,$A16&lt;&gt;AG$7),M!X16,0)</f>
        <v/>
      </c>
      <c r="AH16" s="97">
        <f>IF(AND(matrizOK,$A16&lt;=nVariables,AH$7&lt;=nVariables,$A16&lt;&gt;AH$7),M!Y16,0)</f>
        <v/>
      </c>
      <c r="AI16" s="97">
        <f>IF(AND(matrizOK,$A16&lt;=nVariables,AI$7&lt;=nVariables,$A16&lt;&gt;AI$7),M!Z16,0)</f>
        <v/>
      </c>
      <c r="AJ16" s="97">
        <f>IF(AND(matrizOK,$A16&lt;=nVariables,AJ$7&lt;=nVariables,$A16&lt;&gt;AJ$7),M!AA16,0)</f>
        <v/>
      </c>
      <c r="AK16" s="97">
        <f>IF(AND(matrizOK,$A16&lt;=nVariables,AK$7&lt;=nVariables,$A16&lt;&gt;AK$7),M!AB16,0)</f>
        <v/>
      </c>
      <c r="AL16" s="97">
        <f>IF(AND(matrizOK,$A16&lt;=nVariables,AL$7&lt;=nVariables,$A16&lt;&gt;AL$7),M!AC16,0)</f>
        <v/>
      </c>
      <c r="AM16" s="97">
        <f>IF(AND(matrizOK,$A16&lt;=nVariables,AM$7&lt;=nVariables,$A16&lt;&gt;AM$7),M!AD16,0)</f>
        <v/>
      </c>
      <c r="AN16" s="97">
        <f>IF(AND(matrizOK,$A16&lt;=nVariables,AN$7&lt;=nVariables,$A16&lt;&gt;AN$7),M!AE16,0)</f>
        <v/>
      </c>
      <c r="AO16" s="97">
        <f>IF(AND(matrizOK,$A16&lt;=nVariables,AO$7&lt;=nVariables,$A16&lt;&gt;AO$7),M!AF16,0)</f>
        <v/>
      </c>
      <c r="AP16" s="97">
        <f>IF(AND(matrizOK,$A16&lt;=nVariables,AP$7&lt;=nVariables,$A16&lt;&gt;AP$7),M!AG16,0)</f>
        <v/>
      </c>
      <c r="AQ16" s="97">
        <f>IF(AND(matrizOK,$A16&lt;=nVariables,AQ$7&lt;=nVariables,$A16&lt;&gt;AQ$7),M!AH16,0)</f>
        <v/>
      </c>
      <c r="AR16" s="97">
        <f>IF(AND(matrizOK,$A16&lt;=nVariables,AR$7&lt;=nVariables,$A16&lt;&gt;AR$7),M!AI16,0)</f>
        <v/>
      </c>
      <c r="AS16" s="97">
        <f>IF(AND(matrizOK,$A16&lt;=nVariables,AS$7&lt;=nVariables,$A16&lt;&gt;AS$7),M!AJ16,0)</f>
        <v/>
      </c>
      <c r="AT16" s="97">
        <f>IF(AND(matrizOK,$A16&lt;=nVariables,AT$7&lt;=nVariables,$A16&lt;&gt;AT$7),M!AK16,0)</f>
        <v/>
      </c>
      <c r="AU16" s="97">
        <f>IF(AND(matrizOK,$A16&lt;=nVariables,AU$7&lt;=nVariables,$A16&lt;&gt;AU$7),M!AL16,0)</f>
        <v/>
      </c>
      <c r="AV16" s="97">
        <f>IF(AND(matrizOK,$A16&lt;=nVariables,AV$7&lt;=nVariables,$A16&lt;&gt;AV$7),M!AM16,0)</f>
        <v/>
      </c>
      <c r="AW16" s="97">
        <f>IF(AND(matrizOK,$A16&lt;=nVariables,AW$7&lt;=nVariables,$A16&lt;&gt;AW$7),M!AN16,0)</f>
        <v/>
      </c>
      <c r="AX16" s="97">
        <f>IF(AND(matrizOK,$A16&lt;=nVariables,AX$7&lt;=nVariables,$A16&lt;&gt;AX$7),M!AO16,0)</f>
        <v/>
      </c>
      <c r="AY16" s="97">
        <f>IF(AND(matrizOK,$A16&lt;=nVariables,AY$7&lt;=nVariables,$A16&lt;&gt;AY$7),M!AP16,0)</f>
        <v/>
      </c>
      <c r="AZ16" s="97">
        <f>IF(AND(matrizOK,$A16&lt;=nVariables,AZ$7&lt;=nVariables,$A16&lt;&gt;AZ$7),M!AQ16,0)</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IF(AND(matrizOK,$A17&lt;=nVariables,M$7&lt;=nVariables,$A17&lt;&gt;M$7),M!D17,0)</f>
        <v/>
      </c>
      <c r="N17" s="97">
        <f>IF(AND(matrizOK,$A17&lt;=nVariables,N$7&lt;=nVariables,$A17&lt;&gt;N$7),M!E17,0)</f>
        <v/>
      </c>
      <c r="O17" s="97">
        <f>IF(AND(matrizOK,$A17&lt;=nVariables,O$7&lt;=nVariables,$A17&lt;&gt;O$7),M!F17,0)</f>
        <v/>
      </c>
      <c r="P17" s="97">
        <f>IF(AND(matrizOK,$A17&lt;=nVariables,P$7&lt;=nVariables,$A17&lt;&gt;P$7),M!G17,0)</f>
        <v/>
      </c>
      <c r="Q17" s="97">
        <f>IF(AND(matrizOK,$A17&lt;=nVariables,Q$7&lt;=nVariables,$A17&lt;&gt;Q$7),M!H17,0)</f>
        <v/>
      </c>
      <c r="R17" s="97">
        <f>IF(AND(matrizOK,$A17&lt;=nVariables,R$7&lt;=nVariables,$A17&lt;&gt;R$7),M!I17,0)</f>
        <v/>
      </c>
      <c r="S17" s="97">
        <f>IF(AND(matrizOK,$A17&lt;=nVariables,S$7&lt;=nVariables,$A17&lt;&gt;S$7),M!J17,0)</f>
        <v/>
      </c>
      <c r="T17" s="97">
        <f>IF(AND(matrizOK,$A17&lt;=nVariables,T$7&lt;=nVariables,$A17&lt;&gt;T$7),M!K17,0)</f>
        <v/>
      </c>
      <c r="U17" s="97">
        <f>IF(AND(matrizOK,$A17&lt;=nVariables,U$7&lt;=nVariables,$A17&lt;&gt;U$7),M!L17,0)</f>
        <v/>
      </c>
      <c r="V17" s="97">
        <f>IF(AND(matrizOK,$A17&lt;=nVariables,V$7&lt;=nVariables,$A17&lt;&gt;V$7),M!M17,0)</f>
        <v/>
      </c>
      <c r="W17" s="97">
        <f>IF(AND(matrizOK,$A17&lt;=nVariables,W$7&lt;=nVariables,$A17&lt;&gt;W$7),M!N17,0)</f>
        <v/>
      </c>
      <c r="X17" s="97">
        <f>IF(AND(matrizOK,$A17&lt;=nVariables,X$7&lt;=nVariables,$A17&lt;&gt;X$7),M!O17,0)</f>
        <v/>
      </c>
      <c r="Y17" s="97">
        <f>IF(AND(matrizOK,$A17&lt;=nVariables,Y$7&lt;=nVariables,$A17&lt;&gt;Y$7),M!P17,0)</f>
        <v/>
      </c>
      <c r="Z17" s="97">
        <f>IF(AND(matrizOK,$A17&lt;=nVariables,Z$7&lt;=nVariables,$A17&lt;&gt;Z$7),M!Q17,0)</f>
        <v/>
      </c>
      <c r="AA17" s="97">
        <f>IF(AND(matrizOK,$A17&lt;=nVariables,AA$7&lt;=nVariables,$A17&lt;&gt;AA$7),M!R17,0)</f>
        <v/>
      </c>
      <c r="AB17" s="97">
        <f>IF(AND(matrizOK,$A17&lt;=nVariables,AB$7&lt;=nVariables,$A17&lt;&gt;AB$7),M!S17,0)</f>
        <v/>
      </c>
      <c r="AC17" s="97">
        <f>IF(AND(matrizOK,$A17&lt;=nVariables,AC$7&lt;=nVariables,$A17&lt;&gt;AC$7),M!T17,0)</f>
        <v/>
      </c>
      <c r="AD17" s="97">
        <f>IF(AND(matrizOK,$A17&lt;=nVariables,AD$7&lt;=nVariables,$A17&lt;&gt;AD$7),M!U17,0)</f>
        <v/>
      </c>
      <c r="AE17" s="97">
        <f>IF(AND(matrizOK,$A17&lt;=nVariables,AE$7&lt;=nVariables,$A17&lt;&gt;AE$7),M!V17,0)</f>
        <v/>
      </c>
      <c r="AF17" s="97">
        <f>IF(AND(matrizOK,$A17&lt;=nVariables,AF$7&lt;=nVariables,$A17&lt;&gt;AF$7),M!W17,0)</f>
        <v/>
      </c>
      <c r="AG17" s="97">
        <f>IF(AND(matrizOK,$A17&lt;=nVariables,AG$7&lt;=nVariables,$A17&lt;&gt;AG$7),M!X17,0)</f>
        <v/>
      </c>
      <c r="AH17" s="97">
        <f>IF(AND(matrizOK,$A17&lt;=nVariables,AH$7&lt;=nVariables,$A17&lt;&gt;AH$7),M!Y17,0)</f>
        <v/>
      </c>
      <c r="AI17" s="97">
        <f>IF(AND(matrizOK,$A17&lt;=nVariables,AI$7&lt;=nVariables,$A17&lt;&gt;AI$7),M!Z17,0)</f>
        <v/>
      </c>
      <c r="AJ17" s="97">
        <f>IF(AND(matrizOK,$A17&lt;=nVariables,AJ$7&lt;=nVariables,$A17&lt;&gt;AJ$7),M!AA17,0)</f>
        <v/>
      </c>
      <c r="AK17" s="97">
        <f>IF(AND(matrizOK,$A17&lt;=nVariables,AK$7&lt;=nVariables,$A17&lt;&gt;AK$7),M!AB17,0)</f>
        <v/>
      </c>
      <c r="AL17" s="97">
        <f>IF(AND(matrizOK,$A17&lt;=nVariables,AL$7&lt;=nVariables,$A17&lt;&gt;AL$7),M!AC17,0)</f>
        <v/>
      </c>
      <c r="AM17" s="97">
        <f>IF(AND(matrizOK,$A17&lt;=nVariables,AM$7&lt;=nVariables,$A17&lt;&gt;AM$7),M!AD17,0)</f>
        <v/>
      </c>
      <c r="AN17" s="97">
        <f>IF(AND(matrizOK,$A17&lt;=nVariables,AN$7&lt;=nVariables,$A17&lt;&gt;AN$7),M!AE17,0)</f>
        <v/>
      </c>
      <c r="AO17" s="97">
        <f>IF(AND(matrizOK,$A17&lt;=nVariables,AO$7&lt;=nVariables,$A17&lt;&gt;AO$7),M!AF17,0)</f>
        <v/>
      </c>
      <c r="AP17" s="97">
        <f>IF(AND(matrizOK,$A17&lt;=nVariables,AP$7&lt;=nVariables,$A17&lt;&gt;AP$7),M!AG17,0)</f>
        <v/>
      </c>
      <c r="AQ17" s="97">
        <f>IF(AND(matrizOK,$A17&lt;=nVariables,AQ$7&lt;=nVariables,$A17&lt;&gt;AQ$7),M!AH17,0)</f>
        <v/>
      </c>
      <c r="AR17" s="97">
        <f>IF(AND(matrizOK,$A17&lt;=nVariables,AR$7&lt;=nVariables,$A17&lt;&gt;AR$7),M!AI17,0)</f>
        <v/>
      </c>
      <c r="AS17" s="97">
        <f>IF(AND(matrizOK,$A17&lt;=nVariables,AS$7&lt;=nVariables,$A17&lt;&gt;AS$7),M!AJ17,0)</f>
        <v/>
      </c>
      <c r="AT17" s="97">
        <f>IF(AND(matrizOK,$A17&lt;=nVariables,AT$7&lt;=nVariables,$A17&lt;&gt;AT$7),M!AK17,0)</f>
        <v/>
      </c>
      <c r="AU17" s="97">
        <f>IF(AND(matrizOK,$A17&lt;=nVariables,AU$7&lt;=nVariables,$A17&lt;&gt;AU$7),M!AL17,0)</f>
        <v/>
      </c>
      <c r="AV17" s="97">
        <f>IF(AND(matrizOK,$A17&lt;=nVariables,AV$7&lt;=nVariables,$A17&lt;&gt;AV$7),M!AM17,0)</f>
        <v/>
      </c>
      <c r="AW17" s="97">
        <f>IF(AND(matrizOK,$A17&lt;=nVariables,AW$7&lt;=nVariables,$A17&lt;&gt;AW$7),M!AN17,0)</f>
        <v/>
      </c>
      <c r="AX17" s="97">
        <f>IF(AND(matrizOK,$A17&lt;=nVariables,AX$7&lt;=nVariables,$A17&lt;&gt;AX$7),M!AO17,0)</f>
        <v/>
      </c>
      <c r="AY17" s="97">
        <f>IF(AND(matrizOK,$A17&lt;=nVariables,AY$7&lt;=nVariables,$A17&lt;&gt;AY$7),M!AP17,0)</f>
        <v/>
      </c>
      <c r="AZ17" s="97">
        <f>IF(AND(matrizOK,$A17&lt;=nVariables,AZ$7&lt;=nVariables,$A17&lt;&gt;AZ$7),M!AQ17,0)</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IF(AND(matrizOK,$A18&lt;=nVariables,M$7&lt;=nVariables,$A18&lt;&gt;M$7),M!D18,0)</f>
        <v/>
      </c>
      <c r="N18" s="97">
        <f>IF(AND(matrizOK,$A18&lt;=nVariables,N$7&lt;=nVariables,$A18&lt;&gt;N$7),M!E18,0)</f>
        <v/>
      </c>
      <c r="O18" s="97">
        <f>IF(AND(matrizOK,$A18&lt;=nVariables,O$7&lt;=nVariables,$A18&lt;&gt;O$7),M!F18,0)</f>
        <v/>
      </c>
      <c r="P18" s="97">
        <f>IF(AND(matrizOK,$A18&lt;=nVariables,P$7&lt;=nVariables,$A18&lt;&gt;P$7),M!G18,0)</f>
        <v/>
      </c>
      <c r="Q18" s="97">
        <f>IF(AND(matrizOK,$A18&lt;=nVariables,Q$7&lt;=nVariables,$A18&lt;&gt;Q$7),M!H18,0)</f>
        <v/>
      </c>
      <c r="R18" s="97">
        <f>IF(AND(matrizOK,$A18&lt;=nVariables,R$7&lt;=nVariables,$A18&lt;&gt;R$7),M!I18,0)</f>
        <v/>
      </c>
      <c r="S18" s="97">
        <f>IF(AND(matrizOK,$A18&lt;=nVariables,S$7&lt;=nVariables,$A18&lt;&gt;S$7),M!J18,0)</f>
        <v/>
      </c>
      <c r="T18" s="97">
        <f>IF(AND(matrizOK,$A18&lt;=nVariables,T$7&lt;=nVariables,$A18&lt;&gt;T$7),M!K18,0)</f>
        <v/>
      </c>
      <c r="U18" s="97">
        <f>IF(AND(matrizOK,$A18&lt;=nVariables,U$7&lt;=nVariables,$A18&lt;&gt;U$7),M!L18,0)</f>
        <v/>
      </c>
      <c r="V18" s="97">
        <f>IF(AND(matrizOK,$A18&lt;=nVariables,V$7&lt;=nVariables,$A18&lt;&gt;V$7),M!M18,0)</f>
        <v/>
      </c>
      <c r="W18" s="97">
        <f>IF(AND(matrizOK,$A18&lt;=nVariables,W$7&lt;=nVariables,$A18&lt;&gt;W$7),M!N18,0)</f>
        <v/>
      </c>
      <c r="X18" s="97">
        <f>IF(AND(matrizOK,$A18&lt;=nVariables,X$7&lt;=nVariables,$A18&lt;&gt;X$7),M!O18,0)</f>
        <v/>
      </c>
      <c r="Y18" s="97">
        <f>IF(AND(matrizOK,$A18&lt;=nVariables,Y$7&lt;=nVariables,$A18&lt;&gt;Y$7),M!P18,0)</f>
        <v/>
      </c>
      <c r="Z18" s="97">
        <f>IF(AND(matrizOK,$A18&lt;=nVariables,Z$7&lt;=nVariables,$A18&lt;&gt;Z$7),M!Q18,0)</f>
        <v/>
      </c>
      <c r="AA18" s="97">
        <f>IF(AND(matrizOK,$A18&lt;=nVariables,AA$7&lt;=nVariables,$A18&lt;&gt;AA$7),M!R18,0)</f>
        <v/>
      </c>
      <c r="AB18" s="97">
        <f>IF(AND(matrizOK,$A18&lt;=nVariables,AB$7&lt;=nVariables,$A18&lt;&gt;AB$7),M!S18,0)</f>
        <v/>
      </c>
      <c r="AC18" s="97">
        <f>IF(AND(matrizOK,$A18&lt;=nVariables,AC$7&lt;=nVariables,$A18&lt;&gt;AC$7),M!T18,0)</f>
        <v/>
      </c>
      <c r="AD18" s="97">
        <f>IF(AND(matrizOK,$A18&lt;=nVariables,AD$7&lt;=nVariables,$A18&lt;&gt;AD$7),M!U18,0)</f>
        <v/>
      </c>
      <c r="AE18" s="97">
        <f>IF(AND(matrizOK,$A18&lt;=nVariables,AE$7&lt;=nVariables,$A18&lt;&gt;AE$7),M!V18,0)</f>
        <v/>
      </c>
      <c r="AF18" s="97">
        <f>IF(AND(matrizOK,$A18&lt;=nVariables,AF$7&lt;=nVariables,$A18&lt;&gt;AF$7),M!W18,0)</f>
        <v/>
      </c>
      <c r="AG18" s="97">
        <f>IF(AND(matrizOK,$A18&lt;=nVariables,AG$7&lt;=nVariables,$A18&lt;&gt;AG$7),M!X18,0)</f>
        <v/>
      </c>
      <c r="AH18" s="97">
        <f>IF(AND(matrizOK,$A18&lt;=nVariables,AH$7&lt;=nVariables,$A18&lt;&gt;AH$7),M!Y18,0)</f>
        <v/>
      </c>
      <c r="AI18" s="97">
        <f>IF(AND(matrizOK,$A18&lt;=nVariables,AI$7&lt;=nVariables,$A18&lt;&gt;AI$7),M!Z18,0)</f>
        <v/>
      </c>
      <c r="AJ18" s="97">
        <f>IF(AND(matrizOK,$A18&lt;=nVariables,AJ$7&lt;=nVariables,$A18&lt;&gt;AJ$7),M!AA18,0)</f>
        <v/>
      </c>
      <c r="AK18" s="97">
        <f>IF(AND(matrizOK,$A18&lt;=nVariables,AK$7&lt;=nVariables,$A18&lt;&gt;AK$7),M!AB18,0)</f>
        <v/>
      </c>
      <c r="AL18" s="97">
        <f>IF(AND(matrizOK,$A18&lt;=nVariables,AL$7&lt;=nVariables,$A18&lt;&gt;AL$7),M!AC18,0)</f>
        <v/>
      </c>
      <c r="AM18" s="97">
        <f>IF(AND(matrizOK,$A18&lt;=nVariables,AM$7&lt;=nVariables,$A18&lt;&gt;AM$7),M!AD18,0)</f>
        <v/>
      </c>
      <c r="AN18" s="97">
        <f>IF(AND(matrizOK,$A18&lt;=nVariables,AN$7&lt;=nVariables,$A18&lt;&gt;AN$7),M!AE18,0)</f>
        <v/>
      </c>
      <c r="AO18" s="97">
        <f>IF(AND(matrizOK,$A18&lt;=nVariables,AO$7&lt;=nVariables,$A18&lt;&gt;AO$7),M!AF18,0)</f>
        <v/>
      </c>
      <c r="AP18" s="97">
        <f>IF(AND(matrizOK,$A18&lt;=nVariables,AP$7&lt;=nVariables,$A18&lt;&gt;AP$7),M!AG18,0)</f>
        <v/>
      </c>
      <c r="AQ18" s="97">
        <f>IF(AND(matrizOK,$A18&lt;=nVariables,AQ$7&lt;=nVariables,$A18&lt;&gt;AQ$7),M!AH18,0)</f>
        <v/>
      </c>
      <c r="AR18" s="97">
        <f>IF(AND(matrizOK,$A18&lt;=nVariables,AR$7&lt;=nVariables,$A18&lt;&gt;AR$7),M!AI18,0)</f>
        <v/>
      </c>
      <c r="AS18" s="97">
        <f>IF(AND(matrizOK,$A18&lt;=nVariables,AS$7&lt;=nVariables,$A18&lt;&gt;AS$7),M!AJ18,0)</f>
        <v/>
      </c>
      <c r="AT18" s="97">
        <f>IF(AND(matrizOK,$A18&lt;=nVariables,AT$7&lt;=nVariables,$A18&lt;&gt;AT$7),M!AK18,0)</f>
        <v/>
      </c>
      <c r="AU18" s="97">
        <f>IF(AND(matrizOK,$A18&lt;=nVariables,AU$7&lt;=nVariables,$A18&lt;&gt;AU$7),M!AL18,0)</f>
        <v/>
      </c>
      <c r="AV18" s="97">
        <f>IF(AND(matrizOK,$A18&lt;=nVariables,AV$7&lt;=nVariables,$A18&lt;&gt;AV$7),M!AM18,0)</f>
        <v/>
      </c>
      <c r="AW18" s="97">
        <f>IF(AND(matrizOK,$A18&lt;=nVariables,AW$7&lt;=nVariables,$A18&lt;&gt;AW$7),M!AN18,0)</f>
        <v/>
      </c>
      <c r="AX18" s="97">
        <f>IF(AND(matrizOK,$A18&lt;=nVariables,AX$7&lt;=nVariables,$A18&lt;&gt;AX$7),M!AO18,0)</f>
        <v/>
      </c>
      <c r="AY18" s="97">
        <f>IF(AND(matrizOK,$A18&lt;=nVariables,AY$7&lt;=nVariables,$A18&lt;&gt;AY$7),M!AP18,0)</f>
        <v/>
      </c>
      <c r="AZ18" s="97">
        <f>IF(AND(matrizOK,$A18&lt;=nVariables,AZ$7&lt;=nVariables,$A18&lt;&gt;AZ$7),M!AQ18,0)</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IF(AND(matrizOK,$A19&lt;=nVariables,M$7&lt;=nVariables,$A19&lt;&gt;M$7),M!D19,0)</f>
        <v/>
      </c>
      <c r="N19" s="97">
        <f>IF(AND(matrizOK,$A19&lt;=nVariables,N$7&lt;=nVariables,$A19&lt;&gt;N$7),M!E19,0)</f>
        <v/>
      </c>
      <c r="O19" s="97">
        <f>IF(AND(matrizOK,$A19&lt;=nVariables,O$7&lt;=nVariables,$A19&lt;&gt;O$7),M!F19,0)</f>
        <v/>
      </c>
      <c r="P19" s="97">
        <f>IF(AND(matrizOK,$A19&lt;=nVariables,P$7&lt;=nVariables,$A19&lt;&gt;P$7),M!G19,0)</f>
        <v/>
      </c>
      <c r="Q19" s="97">
        <f>IF(AND(matrizOK,$A19&lt;=nVariables,Q$7&lt;=nVariables,$A19&lt;&gt;Q$7),M!H19,0)</f>
        <v/>
      </c>
      <c r="R19" s="97">
        <f>IF(AND(matrizOK,$A19&lt;=nVariables,R$7&lt;=nVariables,$A19&lt;&gt;R$7),M!I19,0)</f>
        <v/>
      </c>
      <c r="S19" s="97">
        <f>IF(AND(matrizOK,$A19&lt;=nVariables,S$7&lt;=nVariables,$A19&lt;&gt;S$7),M!J19,0)</f>
        <v/>
      </c>
      <c r="T19" s="97">
        <f>IF(AND(matrizOK,$A19&lt;=nVariables,T$7&lt;=nVariables,$A19&lt;&gt;T$7),M!K19,0)</f>
        <v/>
      </c>
      <c r="U19" s="97">
        <f>IF(AND(matrizOK,$A19&lt;=nVariables,U$7&lt;=nVariables,$A19&lt;&gt;U$7),M!L19,0)</f>
        <v/>
      </c>
      <c r="V19" s="97">
        <f>IF(AND(matrizOK,$A19&lt;=nVariables,V$7&lt;=nVariables,$A19&lt;&gt;V$7),M!M19,0)</f>
        <v/>
      </c>
      <c r="W19" s="97">
        <f>IF(AND(matrizOK,$A19&lt;=nVariables,W$7&lt;=nVariables,$A19&lt;&gt;W$7),M!N19,0)</f>
        <v/>
      </c>
      <c r="X19" s="97">
        <f>IF(AND(matrizOK,$A19&lt;=nVariables,X$7&lt;=nVariables,$A19&lt;&gt;X$7),M!O19,0)</f>
        <v/>
      </c>
      <c r="Y19" s="97">
        <f>IF(AND(matrizOK,$A19&lt;=nVariables,Y$7&lt;=nVariables,$A19&lt;&gt;Y$7),M!P19,0)</f>
        <v/>
      </c>
      <c r="Z19" s="97">
        <f>IF(AND(matrizOK,$A19&lt;=nVariables,Z$7&lt;=nVariables,$A19&lt;&gt;Z$7),M!Q19,0)</f>
        <v/>
      </c>
      <c r="AA19" s="97">
        <f>IF(AND(matrizOK,$A19&lt;=nVariables,AA$7&lt;=nVariables,$A19&lt;&gt;AA$7),M!R19,0)</f>
        <v/>
      </c>
      <c r="AB19" s="97">
        <f>IF(AND(matrizOK,$A19&lt;=nVariables,AB$7&lt;=nVariables,$A19&lt;&gt;AB$7),M!S19,0)</f>
        <v/>
      </c>
      <c r="AC19" s="97">
        <f>IF(AND(matrizOK,$A19&lt;=nVariables,AC$7&lt;=nVariables,$A19&lt;&gt;AC$7),M!T19,0)</f>
        <v/>
      </c>
      <c r="AD19" s="97">
        <f>IF(AND(matrizOK,$A19&lt;=nVariables,AD$7&lt;=nVariables,$A19&lt;&gt;AD$7),M!U19,0)</f>
        <v/>
      </c>
      <c r="AE19" s="97">
        <f>IF(AND(matrizOK,$A19&lt;=nVariables,AE$7&lt;=nVariables,$A19&lt;&gt;AE$7),M!V19,0)</f>
        <v/>
      </c>
      <c r="AF19" s="97">
        <f>IF(AND(matrizOK,$A19&lt;=nVariables,AF$7&lt;=nVariables,$A19&lt;&gt;AF$7),M!W19,0)</f>
        <v/>
      </c>
      <c r="AG19" s="97">
        <f>IF(AND(matrizOK,$A19&lt;=nVariables,AG$7&lt;=nVariables,$A19&lt;&gt;AG$7),M!X19,0)</f>
        <v/>
      </c>
      <c r="AH19" s="97">
        <f>IF(AND(matrizOK,$A19&lt;=nVariables,AH$7&lt;=nVariables,$A19&lt;&gt;AH$7),M!Y19,0)</f>
        <v/>
      </c>
      <c r="AI19" s="97">
        <f>IF(AND(matrizOK,$A19&lt;=nVariables,AI$7&lt;=nVariables,$A19&lt;&gt;AI$7),M!Z19,0)</f>
        <v/>
      </c>
      <c r="AJ19" s="97">
        <f>IF(AND(matrizOK,$A19&lt;=nVariables,AJ$7&lt;=nVariables,$A19&lt;&gt;AJ$7),M!AA19,0)</f>
        <v/>
      </c>
      <c r="AK19" s="97">
        <f>IF(AND(matrizOK,$A19&lt;=nVariables,AK$7&lt;=nVariables,$A19&lt;&gt;AK$7),M!AB19,0)</f>
        <v/>
      </c>
      <c r="AL19" s="97">
        <f>IF(AND(matrizOK,$A19&lt;=nVariables,AL$7&lt;=nVariables,$A19&lt;&gt;AL$7),M!AC19,0)</f>
        <v/>
      </c>
      <c r="AM19" s="97">
        <f>IF(AND(matrizOK,$A19&lt;=nVariables,AM$7&lt;=nVariables,$A19&lt;&gt;AM$7),M!AD19,0)</f>
        <v/>
      </c>
      <c r="AN19" s="97">
        <f>IF(AND(matrizOK,$A19&lt;=nVariables,AN$7&lt;=nVariables,$A19&lt;&gt;AN$7),M!AE19,0)</f>
        <v/>
      </c>
      <c r="AO19" s="97">
        <f>IF(AND(matrizOK,$A19&lt;=nVariables,AO$7&lt;=nVariables,$A19&lt;&gt;AO$7),M!AF19,0)</f>
        <v/>
      </c>
      <c r="AP19" s="97">
        <f>IF(AND(matrizOK,$A19&lt;=nVariables,AP$7&lt;=nVariables,$A19&lt;&gt;AP$7),M!AG19,0)</f>
        <v/>
      </c>
      <c r="AQ19" s="97">
        <f>IF(AND(matrizOK,$A19&lt;=nVariables,AQ$7&lt;=nVariables,$A19&lt;&gt;AQ$7),M!AH19,0)</f>
        <v/>
      </c>
      <c r="AR19" s="97">
        <f>IF(AND(matrizOK,$A19&lt;=nVariables,AR$7&lt;=nVariables,$A19&lt;&gt;AR$7),M!AI19,0)</f>
        <v/>
      </c>
      <c r="AS19" s="97">
        <f>IF(AND(matrizOK,$A19&lt;=nVariables,AS$7&lt;=nVariables,$A19&lt;&gt;AS$7),M!AJ19,0)</f>
        <v/>
      </c>
      <c r="AT19" s="97">
        <f>IF(AND(matrizOK,$A19&lt;=nVariables,AT$7&lt;=nVariables,$A19&lt;&gt;AT$7),M!AK19,0)</f>
        <v/>
      </c>
      <c r="AU19" s="97">
        <f>IF(AND(matrizOK,$A19&lt;=nVariables,AU$7&lt;=nVariables,$A19&lt;&gt;AU$7),M!AL19,0)</f>
        <v/>
      </c>
      <c r="AV19" s="97">
        <f>IF(AND(matrizOK,$A19&lt;=nVariables,AV$7&lt;=nVariables,$A19&lt;&gt;AV$7),M!AM19,0)</f>
        <v/>
      </c>
      <c r="AW19" s="97">
        <f>IF(AND(matrizOK,$A19&lt;=nVariables,AW$7&lt;=nVariables,$A19&lt;&gt;AW$7),M!AN19,0)</f>
        <v/>
      </c>
      <c r="AX19" s="97">
        <f>IF(AND(matrizOK,$A19&lt;=nVariables,AX$7&lt;=nVariables,$A19&lt;&gt;AX$7),M!AO19,0)</f>
        <v/>
      </c>
      <c r="AY19" s="97">
        <f>IF(AND(matrizOK,$A19&lt;=nVariables,AY$7&lt;=nVariables,$A19&lt;&gt;AY$7),M!AP19,0)</f>
        <v/>
      </c>
      <c r="AZ19" s="97">
        <f>IF(AND(matrizOK,$A19&lt;=nVariables,AZ$7&lt;=nVariables,$A19&lt;&gt;AZ$7),M!AQ19,0)</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IF(AND(matrizOK,$A20&lt;=nVariables,M$7&lt;=nVariables,$A20&lt;&gt;M$7),M!D20,0)</f>
        <v/>
      </c>
      <c r="N20" s="97">
        <f>IF(AND(matrizOK,$A20&lt;=nVariables,N$7&lt;=nVariables,$A20&lt;&gt;N$7),M!E20,0)</f>
        <v/>
      </c>
      <c r="O20" s="97">
        <f>IF(AND(matrizOK,$A20&lt;=nVariables,O$7&lt;=nVariables,$A20&lt;&gt;O$7),M!F20,0)</f>
        <v/>
      </c>
      <c r="P20" s="97">
        <f>IF(AND(matrizOK,$A20&lt;=nVariables,P$7&lt;=nVariables,$A20&lt;&gt;P$7),M!G20,0)</f>
        <v/>
      </c>
      <c r="Q20" s="97">
        <f>IF(AND(matrizOK,$A20&lt;=nVariables,Q$7&lt;=nVariables,$A20&lt;&gt;Q$7),M!H20,0)</f>
        <v/>
      </c>
      <c r="R20" s="97">
        <f>IF(AND(matrizOK,$A20&lt;=nVariables,R$7&lt;=nVariables,$A20&lt;&gt;R$7),M!I20,0)</f>
        <v/>
      </c>
      <c r="S20" s="97">
        <f>IF(AND(matrizOK,$A20&lt;=nVariables,S$7&lt;=nVariables,$A20&lt;&gt;S$7),M!J20,0)</f>
        <v/>
      </c>
      <c r="T20" s="97">
        <f>IF(AND(matrizOK,$A20&lt;=nVariables,T$7&lt;=nVariables,$A20&lt;&gt;T$7),M!K20,0)</f>
        <v/>
      </c>
      <c r="U20" s="97">
        <f>IF(AND(matrizOK,$A20&lt;=nVariables,U$7&lt;=nVariables,$A20&lt;&gt;U$7),M!L20,0)</f>
        <v/>
      </c>
      <c r="V20" s="97">
        <f>IF(AND(matrizOK,$A20&lt;=nVariables,V$7&lt;=nVariables,$A20&lt;&gt;V$7),M!M20,0)</f>
        <v/>
      </c>
      <c r="W20" s="97">
        <f>IF(AND(matrizOK,$A20&lt;=nVariables,W$7&lt;=nVariables,$A20&lt;&gt;W$7),M!N20,0)</f>
        <v/>
      </c>
      <c r="X20" s="97">
        <f>IF(AND(matrizOK,$A20&lt;=nVariables,X$7&lt;=nVariables,$A20&lt;&gt;X$7),M!O20,0)</f>
        <v/>
      </c>
      <c r="Y20" s="97">
        <f>IF(AND(matrizOK,$A20&lt;=nVariables,Y$7&lt;=nVariables,$A20&lt;&gt;Y$7),M!P20,0)</f>
        <v/>
      </c>
      <c r="Z20" s="97">
        <f>IF(AND(matrizOK,$A20&lt;=nVariables,Z$7&lt;=nVariables,$A20&lt;&gt;Z$7),M!Q20,0)</f>
        <v/>
      </c>
      <c r="AA20" s="97">
        <f>IF(AND(matrizOK,$A20&lt;=nVariables,AA$7&lt;=nVariables,$A20&lt;&gt;AA$7),M!R20,0)</f>
        <v/>
      </c>
      <c r="AB20" s="97">
        <f>IF(AND(matrizOK,$A20&lt;=nVariables,AB$7&lt;=nVariables,$A20&lt;&gt;AB$7),M!S20,0)</f>
        <v/>
      </c>
      <c r="AC20" s="97">
        <f>IF(AND(matrizOK,$A20&lt;=nVariables,AC$7&lt;=nVariables,$A20&lt;&gt;AC$7),M!T20,0)</f>
        <v/>
      </c>
      <c r="AD20" s="97">
        <f>IF(AND(matrizOK,$A20&lt;=nVariables,AD$7&lt;=nVariables,$A20&lt;&gt;AD$7),M!U20,0)</f>
        <v/>
      </c>
      <c r="AE20" s="97">
        <f>IF(AND(matrizOK,$A20&lt;=nVariables,AE$7&lt;=nVariables,$A20&lt;&gt;AE$7),M!V20,0)</f>
        <v/>
      </c>
      <c r="AF20" s="97">
        <f>IF(AND(matrizOK,$A20&lt;=nVariables,AF$7&lt;=nVariables,$A20&lt;&gt;AF$7),M!W20,0)</f>
        <v/>
      </c>
      <c r="AG20" s="97">
        <f>IF(AND(matrizOK,$A20&lt;=nVariables,AG$7&lt;=nVariables,$A20&lt;&gt;AG$7),M!X20,0)</f>
        <v/>
      </c>
      <c r="AH20" s="97">
        <f>IF(AND(matrizOK,$A20&lt;=nVariables,AH$7&lt;=nVariables,$A20&lt;&gt;AH$7),M!Y20,0)</f>
        <v/>
      </c>
      <c r="AI20" s="97">
        <f>IF(AND(matrizOK,$A20&lt;=nVariables,AI$7&lt;=nVariables,$A20&lt;&gt;AI$7),M!Z20,0)</f>
        <v/>
      </c>
      <c r="AJ20" s="97">
        <f>IF(AND(matrizOK,$A20&lt;=nVariables,AJ$7&lt;=nVariables,$A20&lt;&gt;AJ$7),M!AA20,0)</f>
        <v/>
      </c>
      <c r="AK20" s="97">
        <f>IF(AND(matrizOK,$A20&lt;=nVariables,AK$7&lt;=nVariables,$A20&lt;&gt;AK$7),M!AB20,0)</f>
        <v/>
      </c>
      <c r="AL20" s="97">
        <f>IF(AND(matrizOK,$A20&lt;=nVariables,AL$7&lt;=nVariables,$A20&lt;&gt;AL$7),M!AC20,0)</f>
        <v/>
      </c>
      <c r="AM20" s="97">
        <f>IF(AND(matrizOK,$A20&lt;=nVariables,AM$7&lt;=nVariables,$A20&lt;&gt;AM$7),M!AD20,0)</f>
        <v/>
      </c>
      <c r="AN20" s="97">
        <f>IF(AND(matrizOK,$A20&lt;=nVariables,AN$7&lt;=nVariables,$A20&lt;&gt;AN$7),M!AE20,0)</f>
        <v/>
      </c>
      <c r="AO20" s="97">
        <f>IF(AND(matrizOK,$A20&lt;=nVariables,AO$7&lt;=nVariables,$A20&lt;&gt;AO$7),M!AF20,0)</f>
        <v/>
      </c>
      <c r="AP20" s="97">
        <f>IF(AND(matrizOK,$A20&lt;=nVariables,AP$7&lt;=nVariables,$A20&lt;&gt;AP$7),M!AG20,0)</f>
        <v/>
      </c>
      <c r="AQ20" s="97">
        <f>IF(AND(matrizOK,$A20&lt;=nVariables,AQ$7&lt;=nVariables,$A20&lt;&gt;AQ$7),M!AH20,0)</f>
        <v/>
      </c>
      <c r="AR20" s="97">
        <f>IF(AND(matrizOK,$A20&lt;=nVariables,AR$7&lt;=nVariables,$A20&lt;&gt;AR$7),M!AI20,0)</f>
        <v/>
      </c>
      <c r="AS20" s="97">
        <f>IF(AND(matrizOK,$A20&lt;=nVariables,AS$7&lt;=nVariables,$A20&lt;&gt;AS$7),M!AJ20,0)</f>
        <v/>
      </c>
      <c r="AT20" s="97">
        <f>IF(AND(matrizOK,$A20&lt;=nVariables,AT$7&lt;=nVariables,$A20&lt;&gt;AT$7),M!AK20,0)</f>
        <v/>
      </c>
      <c r="AU20" s="97">
        <f>IF(AND(matrizOK,$A20&lt;=nVariables,AU$7&lt;=nVariables,$A20&lt;&gt;AU$7),M!AL20,0)</f>
        <v/>
      </c>
      <c r="AV20" s="97">
        <f>IF(AND(matrizOK,$A20&lt;=nVariables,AV$7&lt;=nVariables,$A20&lt;&gt;AV$7),M!AM20,0)</f>
        <v/>
      </c>
      <c r="AW20" s="97">
        <f>IF(AND(matrizOK,$A20&lt;=nVariables,AW$7&lt;=nVariables,$A20&lt;&gt;AW$7),M!AN20,0)</f>
        <v/>
      </c>
      <c r="AX20" s="97">
        <f>IF(AND(matrizOK,$A20&lt;=nVariables,AX$7&lt;=nVariables,$A20&lt;&gt;AX$7),M!AO20,0)</f>
        <v/>
      </c>
      <c r="AY20" s="97">
        <f>IF(AND(matrizOK,$A20&lt;=nVariables,AY$7&lt;=nVariables,$A20&lt;&gt;AY$7),M!AP20,0)</f>
        <v/>
      </c>
      <c r="AZ20" s="97">
        <f>IF(AND(matrizOK,$A20&lt;=nVariables,AZ$7&lt;=nVariables,$A20&lt;&gt;AZ$7),M!AQ20,0)</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IF(AND(matrizOK,$A21&lt;=nVariables,M$7&lt;=nVariables,$A21&lt;&gt;M$7),M!D21,0)</f>
        <v/>
      </c>
      <c r="N21" s="97">
        <f>IF(AND(matrizOK,$A21&lt;=nVariables,N$7&lt;=nVariables,$A21&lt;&gt;N$7),M!E21,0)</f>
        <v/>
      </c>
      <c r="O21" s="97">
        <f>IF(AND(matrizOK,$A21&lt;=nVariables,O$7&lt;=nVariables,$A21&lt;&gt;O$7),M!F21,0)</f>
        <v/>
      </c>
      <c r="P21" s="97">
        <f>IF(AND(matrizOK,$A21&lt;=nVariables,P$7&lt;=nVariables,$A21&lt;&gt;P$7),M!G21,0)</f>
        <v/>
      </c>
      <c r="Q21" s="97">
        <f>IF(AND(matrizOK,$A21&lt;=nVariables,Q$7&lt;=nVariables,$A21&lt;&gt;Q$7),M!H21,0)</f>
        <v/>
      </c>
      <c r="R21" s="97">
        <f>IF(AND(matrizOK,$A21&lt;=nVariables,R$7&lt;=nVariables,$A21&lt;&gt;R$7),M!I21,0)</f>
        <v/>
      </c>
      <c r="S21" s="97">
        <f>IF(AND(matrizOK,$A21&lt;=nVariables,S$7&lt;=nVariables,$A21&lt;&gt;S$7),M!J21,0)</f>
        <v/>
      </c>
      <c r="T21" s="97">
        <f>IF(AND(matrizOK,$A21&lt;=nVariables,T$7&lt;=nVariables,$A21&lt;&gt;T$7),M!K21,0)</f>
        <v/>
      </c>
      <c r="U21" s="97">
        <f>IF(AND(matrizOK,$A21&lt;=nVariables,U$7&lt;=nVariables,$A21&lt;&gt;U$7),M!L21,0)</f>
        <v/>
      </c>
      <c r="V21" s="97">
        <f>IF(AND(matrizOK,$A21&lt;=nVariables,V$7&lt;=nVariables,$A21&lt;&gt;V$7),M!M21,0)</f>
        <v/>
      </c>
      <c r="W21" s="97">
        <f>IF(AND(matrizOK,$A21&lt;=nVariables,W$7&lt;=nVariables,$A21&lt;&gt;W$7),M!N21,0)</f>
        <v/>
      </c>
      <c r="X21" s="97">
        <f>IF(AND(matrizOK,$A21&lt;=nVariables,X$7&lt;=nVariables,$A21&lt;&gt;X$7),M!O21,0)</f>
        <v/>
      </c>
      <c r="Y21" s="97">
        <f>IF(AND(matrizOK,$A21&lt;=nVariables,Y$7&lt;=nVariables,$A21&lt;&gt;Y$7),M!P21,0)</f>
        <v/>
      </c>
      <c r="Z21" s="97">
        <f>IF(AND(matrizOK,$A21&lt;=nVariables,Z$7&lt;=nVariables,$A21&lt;&gt;Z$7),M!Q21,0)</f>
        <v/>
      </c>
      <c r="AA21" s="97">
        <f>IF(AND(matrizOK,$A21&lt;=nVariables,AA$7&lt;=nVariables,$A21&lt;&gt;AA$7),M!R21,0)</f>
        <v/>
      </c>
      <c r="AB21" s="97">
        <f>IF(AND(matrizOK,$A21&lt;=nVariables,AB$7&lt;=nVariables,$A21&lt;&gt;AB$7),M!S21,0)</f>
        <v/>
      </c>
      <c r="AC21" s="97">
        <f>IF(AND(matrizOK,$A21&lt;=nVariables,AC$7&lt;=nVariables,$A21&lt;&gt;AC$7),M!T21,0)</f>
        <v/>
      </c>
      <c r="AD21" s="97">
        <f>IF(AND(matrizOK,$A21&lt;=nVariables,AD$7&lt;=nVariables,$A21&lt;&gt;AD$7),M!U21,0)</f>
        <v/>
      </c>
      <c r="AE21" s="97">
        <f>IF(AND(matrizOK,$A21&lt;=nVariables,AE$7&lt;=nVariables,$A21&lt;&gt;AE$7),M!V21,0)</f>
        <v/>
      </c>
      <c r="AF21" s="97">
        <f>IF(AND(matrizOK,$A21&lt;=nVariables,AF$7&lt;=nVariables,$A21&lt;&gt;AF$7),M!W21,0)</f>
        <v/>
      </c>
      <c r="AG21" s="97">
        <f>IF(AND(matrizOK,$A21&lt;=nVariables,AG$7&lt;=nVariables,$A21&lt;&gt;AG$7),M!X21,0)</f>
        <v/>
      </c>
      <c r="AH21" s="97">
        <f>IF(AND(matrizOK,$A21&lt;=nVariables,AH$7&lt;=nVariables,$A21&lt;&gt;AH$7),M!Y21,0)</f>
        <v/>
      </c>
      <c r="AI21" s="97">
        <f>IF(AND(matrizOK,$A21&lt;=nVariables,AI$7&lt;=nVariables,$A21&lt;&gt;AI$7),M!Z21,0)</f>
        <v/>
      </c>
      <c r="AJ21" s="97">
        <f>IF(AND(matrizOK,$A21&lt;=nVariables,AJ$7&lt;=nVariables,$A21&lt;&gt;AJ$7),M!AA21,0)</f>
        <v/>
      </c>
      <c r="AK21" s="97">
        <f>IF(AND(matrizOK,$A21&lt;=nVariables,AK$7&lt;=nVariables,$A21&lt;&gt;AK$7),M!AB21,0)</f>
        <v/>
      </c>
      <c r="AL21" s="97">
        <f>IF(AND(matrizOK,$A21&lt;=nVariables,AL$7&lt;=nVariables,$A21&lt;&gt;AL$7),M!AC21,0)</f>
        <v/>
      </c>
      <c r="AM21" s="97">
        <f>IF(AND(matrizOK,$A21&lt;=nVariables,AM$7&lt;=nVariables,$A21&lt;&gt;AM$7),M!AD21,0)</f>
        <v/>
      </c>
      <c r="AN21" s="97">
        <f>IF(AND(matrizOK,$A21&lt;=nVariables,AN$7&lt;=nVariables,$A21&lt;&gt;AN$7),M!AE21,0)</f>
        <v/>
      </c>
      <c r="AO21" s="97">
        <f>IF(AND(matrizOK,$A21&lt;=nVariables,AO$7&lt;=nVariables,$A21&lt;&gt;AO$7),M!AF21,0)</f>
        <v/>
      </c>
      <c r="AP21" s="97">
        <f>IF(AND(matrizOK,$A21&lt;=nVariables,AP$7&lt;=nVariables,$A21&lt;&gt;AP$7),M!AG21,0)</f>
        <v/>
      </c>
      <c r="AQ21" s="97">
        <f>IF(AND(matrizOK,$A21&lt;=nVariables,AQ$7&lt;=nVariables,$A21&lt;&gt;AQ$7),M!AH21,0)</f>
        <v/>
      </c>
      <c r="AR21" s="97">
        <f>IF(AND(matrizOK,$A21&lt;=nVariables,AR$7&lt;=nVariables,$A21&lt;&gt;AR$7),M!AI21,0)</f>
        <v/>
      </c>
      <c r="AS21" s="97">
        <f>IF(AND(matrizOK,$A21&lt;=nVariables,AS$7&lt;=nVariables,$A21&lt;&gt;AS$7),M!AJ21,0)</f>
        <v/>
      </c>
      <c r="AT21" s="97">
        <f>IF(AND(matrizOK,$A21&lt;=nVariables,AT$7&lt;=nVariables,$A21&lt;&gt;AT$7),M!AK21,0)</f>
        <v/>
      </c>
      <c r="AU21" s="97">
        <f>IF(AND(matrizOK,$A21&lt;=nVariables,AU$7&lt;=nVariables,$A21&lt;&gt;AU$7),M!AL21,0)</f>
        <v/>
      </c>
      <c r="AV21" s="97">
        <f>IF(AND(matrizOK,$A21&lt;=nVariables,AV$7&lt;=nVariables,$A21&lt;&gt;AV$7),M!AM21,0)</f>
        <v/>
      </c>
      <c r="AW21" s="97">
        <f>IF(AND(matrizOK,$A21&lt;=nVariables,AW$7&lt;=nVariables,$A21&lt;&gt;AW$7),M!AN21,0)</f>
        <v/>
      </c>
      <c r="AX21" s="97">
        <f>IF(AND(matrizOK,$A21&lt;=nVariables,AX$7&lt;=nVariables,$A21&lt;&gt;AX$7),M!AO21,0)</f>
        <v/>
      </c>
      <c r="AY21" s="97">
        <f>IF(AND(matrizOK,$A21&lt;=nVariables,AY$7&lt;=nVariables,$A21&lt;&gt;AY$7),M!AP21,0)</f>
        <v/>
      </c>
      <c r="AZ21" s="97">
        <f>IF(AND(matrizOK,$A21&lt;=nVariables,AZ$7&lt;=nVariables,$A21&lt;&gt;AZ$7),M!AQ21,0)</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IF(AND(matrizOK,$A22&lt;=nVariables,M$7&lt;=nVariables,$A22&lt;&gt;M$7),M!D22,0)</f>
        <v/>
      </c>
      <c r="N22" s="97">
        <f>IF(AND(matrizOK,$A22&lt;=nVariables,N$7&lt;=nVariables,$A22&lt;&gt;N$7),M!E22,0)</f>
        <v/>
      </c>
      <c r="O22" s="97">
        <f>IF(AND(matrizOK,$A22&lt;=nVariables,O$7&lt;=nVariables,$A22&lt;&gt;O$7),M!F22,0)</f>
        <v/>
      </c>
      <c r="P22" s="97">
        <f>IF(AND(matrizOK,$A22&lt;=nVariables,P$7&lt;=nVariables,$A22&lt;&gt;P$7),M!G22,0)</f>
        <v/>
      </c>
      <c r="Q22" s="97">
        <f>IF(AND(matrizOK,$A22&lt;=nVariables,Q$7&lt;=nVariables,$A22&lt;&gt;Q$7),M!H22,0)</f>
        <v/>
      </c>
      <c r="R22" s="97">
        <f>IF(AND(matrizOK,$A22&lt;=nVariables,R$7&lt;=nVariables,$A22&lt;&gt;R$7),M!I22,0)</f>
        <v/>
      </c>
      <c r="S22" s="97">
        <f>IF(AND(matrizOK,$A22&lt;=nVariables,S$7&lt;=nVariables,$A22&lt;&gt;S$7),M!J22,0)</f>
        <v/>
      </c>
      <c r="T22" s="97">
        <f>IF(AND(matrizOK,$A22&lt;=nVariables,T$7&lt;=nVariables,$A22&lt;&gt;T$7),M!K22,0)</f>
        <v/>
      </c>
      <c r="U22" s="97">
        <f>IF(AND(matrizOK,$A22&lt;=nVariables,U$7&lt;=nVariables,$A22&lt;&gt;U$7),M!L22,0)</f>
        <v/>
      </c>
      <c r="V22" s="97">
        <f>IF(AND(matrizOK,$A22&lt;=nVariables,V$7&lt;=nVariables,$A22&lt;&gt;V$7),M!M22,0)</f>
        <v/>
      </c>
      <c r="W22" s="97">
        <f>IF(AND(matrizOK,$A22&lt;=nVariables,W$7&lt;=nVariables,$A22&lt;&gt;W$7),M!N22,0)</f>
        <v/>
      </c>
      <c r="X22" s="97">
        <f>IF(AND(matrizOK,$A22&lt;=nVariables,X$7&lt;=nVariables,$A22&lt;&gt;X$7),M!O22,0)</f>
        <v/>
      </c>
      <c r="Y22" s="97">
        <f>IF(AND(matrizOK,$A22&lt;=nVariables,Y$7&lt;=nVariables,$A22&lt;&gt;Y$7),M!P22,0)</f>
        <v/>
      </c>
      <c r="Z22" s="97">
        <f>IF(AND(matrizOK,$A22&lt;=nVariables,Z$7&lt;=nVariables,$A22&lt;&gt;Z$7),M!Q22,0)</f>
        <v/>
      </c>
      <c r="AA22" s="97">
        <f>IF(AND(matrizOK,$A22&lt;=nVariables,AA$7&lt;=nVariables,$A22&lt;&gt;AA$7),M!R22,0)</f>
        <v/>
      </c>
      <c r="AB22" s="97">
        <f>IF(AND(matrizOK,$A22&lt;=nVariables,AB$7&lt;=nVariables,$A22&lt;&gt;AB$7),M!S22,0)</f>
        <v/>
      </c>
      <c r="AC22" s="97">
        <f>IF(AND(matrizOK,$A22&lt;=nVariables,AC$7&lt;=nVariables,$A22&lt;&gt;AC$7),M!T22,0)</f>
        <v/>
      </c>
      <c r="AD22" s="97">
        <f>IF(AND(matrizOK,$A22&lt;=nVariables,AD$7&lt;=nVariables,$A22&lt;&gt;AD$7),M!U22,0)</f>
        <v/>
      </c>
      <c r="AE22" s="97">
        <f>IF(AND(matrizOK,$A22&lt;=nVariables,AE$7&lt;=nVariables,$A22&lt;&gt;AE$7),M!V22,0)</f>
        <v/>
      </c>
      <c r="AF22" s="97">
        <f>IF(AND(matrizOK,$A22&lt;=nVariables,AF$7&lt;=nVariables,$A22&lt;&gt;AF$7),M!W22,0)</f>
        <v/>
      </c>
      <c r="AG22" s="97">
        <f>IF(AND(matrizOK,$A22&lt;=nVariables,AG$7&lt;=nVariables,$A22&lt;&gt;AG$7),M!X22,0)</f>
        <v/>
      </c>
      <c r="AH22" s="97">
        <f>IF(AND(matrizOK,$A22&lt;=nVariables,AH$7&lt;=nVariables,$A22&lt;&gt;AH$7),M!Y22,0)</f>
        <v/>
      </c>
      <c r="AI22" s="97">
        <f>IF(AND(matrizOK,$A22&lt;=nVariables,AI$7&lt;=nVariables,$A22&lt;&gt;AI$7),M!Z22,0)</f>
        <v/>
      </c>
      <c r="AJ22" s="97">
        <f>IF(AND(matrizOK,$A22&lt;=nVariables,AJ$7&lt;=nVariables,$A22&lt;&gt;AJ$7),M!AA22,0)</f>
        <v/>
      </c>
      <c r="AK22" s="97">
        <f>IF(AND(matrizOK,$A22&lt;=nVariables,AK$7&lt;=nVariables,$A22&lt;&gt;AK$7),M!AB22,0)</f>
        <v/>
      </c>
      <c r="AL22" s="97">
        <f>IF(AND(matrizOK,$A22&lt;=nVariables,AL$7&lt;=nVariables,$A22&lt;&gt;AL$7),M!AC22,0)</f>
        <v/>
      </c>
      <c r="AM22" s="97">
        <f>IF(AND(matrizOK,$A22&lt;=nVariables,AM$7&lt;=nVariables,$A22&lt;&gt;AM$7),M!AD22,0)</f>
        <v/>
      </c>
      <c r="AN22" s="97">
        <f>IF(AND(matrizOK,$A22&lt;=nVariables,AN$7&lt;=nVariables,$A22&lt;&gt;AN$7),M!AE22,0)</f>
        <v/>
      </c>
      <c r="AO22" s="97">
        <f>IF(AND(matrizOK,$A22&lt;=nVariables,AO$7&lt;=nVariables,$A22&lt;&gt;AO$7),M!AF22,0)</f>
        <v/>
      </c>
      <c r="AP22" s="97">
        <f>IF(AND(matrizOK,$A22&lt;=nVariables,AP$7&lt;=nVariables,$A22&lt;&gt;AP$7),M!AG22,0)</f>
        <v/>
      </c>
      <c r="AQ22" s="97">
        <f>IF(AND(matrizOK,$A22&lt;=nVariables,AQ$7&lt;=nVariables,$A22&lt;&gt;AQ$7),M!AH22,0)</f>
        <v/>
      </c>
      <c r="AR22" s="97">
        <f>IF(AND(matrizOK,$A22&lt;=nVariables,AR$7&lt;=nVariables,$A22&lt;&gt;AR$7),M!AI22,0)</f>
        <v/>
      </c>
      <c r="AS22" s="97">
        <f>IF(AND(matrizOK,$A22&lt;=nVariables,AS$7&lt;=nVariables,$A22&lt;&gt;AS$7),M!AJ22,0)</f>
        <v/>
      </c>
      <c r="AT22" s="97">
        <f>IF(AND(matrizOK,$A22&lt;=nVariables,AT$7&lt;=nVariables,$A22&lt;&gt;AT$7),M!AK22,0)</f>
        <v/>
      </c>
      <c r="AU22" s="97">
        <f>IF(AND(matrizOK,$A22&lt;=nVariables,AU$7&lt;=nVariables,$A22&lt;&gt;AU$7),M!AL22,0)</f>
        <v/>
      </c>
      <c r="AV22" s="97">
        <f>IF(AND(matrizOK,$A22&lt;=nVariables,AV$7&lt;=nVariables,$A22&lt;&gt;AV$7),M!AM22,0)</f>
        <v/>
      </c>
      <c r="AW22" s="97">
        <f>IF(AND(matrizOK,$A22&lt;=nVariables,AW$7&lt;=nVariables,$A22&lt;&gt;AW$7),M!AN22,0)</f>
        <v/>
      </c>
      <c r="AX22" s="97">
        <f>IF(AND(matrizOK,$A22&lt;=nVariables,AX$7&lt;=nVariables,$A22&lt;&gt;AX$7),M!AO22,0)</f>
        <v/>
      </c>
      <c r="AY22" s="97">
        <f>IF(AND(matrizOK,$A22&lt;=nVariables,AY$7&lt;=nVariables,$A22&lt;&gt;AY$7),M!AP22,0)</f>
        <v/>
      </c>
      <c r="AZ22" s="97">
        <f>IF(AND(matrizOK,$A22&lt;=nVariables,AZ$7&lt;=nVariables,$A22&lt;&gt;AZ$7),M!AQ22,0)</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IF(AND(matrizOK,$A23&lt;=nVariables,M$7&lt;=nVariables,$A23&lt;&gt;M$7),M!D23,0)</f>
        <v/>
      </c>
      <c r="N23" s="97">
        <f>IF(AND(matrizOK,$A23&lt;=nVariables,N$7&lt;=nVariables,$A23&lt;&gt;N$7),M!E23,0)</f>
        <v/>
      </c>
      <c r="O23" s="97">
        <f>IF(AND(matrizOK,$A23&lt;=nVariables,O$7&lt;=nVariables,$A23&lt;&gt;O$7),M!F23,0)</f>
        <v/>
      </c>
      <c r="P23" s="97">
        <f>IF(AND(matrizOK,$A23&lt;=nVariables,P$7&lt;=nVariables,$A23&lt;&gt;P$7),M!G23,0)</f>
        <v/>
      </c>
      <c r="Q23" s="97">
        <f>IF(AND(matrizOK,$A23&lt;=nVariables,Q$7&lt;=nVariables,$A23&lt;&gt;Q$7),M!H23,0)</f>
        <v/>
      </c>
      <c r="R23" s="97">
        <f>IF(AND(matrizOK,$A23&lt;=nVariables,R$7&lt;=nVariables,$A23&lt;&gt;R$7),M!I23,0)</f>
        <v/>
      </c>
      <c r="S23" s="97">
        <f>IF(AND(matrizOK,$A23&lt;=nVariables,S$7&lt;=nVariables,$A23&lt;&gt;S$7),M!J23,0)</f>
        <v/>
      </c>
      <c r="T23" s="97">
        <f>IF(AND(matrizOK,$A23&lt;=nVariables,T$7&lt;=nVariables,$A23&lt;&gt;T$7),M!K23,0)</f>
        <v/>
      </c>
      <c r="U23" s="97">
        <f>IF(AND(matrizOK,$A23&lt;=nVariables,U$7&lt;=nVariables,$A23&lt;&gt;U$7),M!L23,0)</f>
        <v/>
      </c>
      <c r="V23" s="97">
        <f>IF(AND(matrizOK,$A23&lt;=nVariables,V$7&lt;=nVariables,$A23&lt;&gt;V$7),M!M23,0)</f>
        <v/>
      </c>
      <c r="W23" s="97">
        <f>IF(AND(matrizOK,$A23&lt;=nVariables,W$7&lt;=nVariables,$A23&lt;&gt;W$7),M!N23,0)</f>
        <v/>
      </c>
      <c r="X23" s="97">
        <f>IF(AND(matrizOK,$A23&lt;=nVariables,X$7&lt;=nVariables,$A23&lt;&gt;X$7),M!O23,0)</f>
        <v/>
      </c>
      <c r="Y23" s="97">
        <f>IF(AND(matrizOK,$A23&lt;=nVariables,Y$7&lt;=nVariables,$A23&lt;&gt;Y$7),M!P23,0)</f>
        <v/>
      </c>
      <c r="Z23" s="97">
        <f>IF(AND(matrizOK,$A23&lt;=nVariables,Z$7&lt;=nVariables,$A23&lt;&gt;Z$7),M!Q23,0)</f>
        <v/>
      </c>
      <c r="AA23" s="97">
        <f>IF(AND(matrizOK,$A23&lt;=nVariables,AA$7&lt;=nVariables,$A23&lt;&gt;AA$7),M!R23,0)</f>
        <v/>
      </c>
      <c r="AB23" s="97">
        <f>IF(AND(matrizOK,$A23&lt;=nVariables,AB$7&lt;=nVariables,$A23&lt;&gt;AB$7),M!S23,0)</f>
        <v/>
      </c>
      <c r="AC23" s="97">
        <f>IF(AND(matrizOK,$A23&lt;=nVariables,AC$7&lt;=nVariables,$A23&lt;&gt;AC$7),M!T23,0)</f>
        <v/>
      </c>
      <c r="AD23" s="97">
        <f>IF(AND(matrizOK,$A23&lt;=nVariables,AD$7&lt;=nVariables,$A23&lt;&gt;AD$7),M!U23,0)</f>
        <v/>
      </c>
      <c r="AE23" s="97">
        <f>IF(AND(matrizOK,$A23&lt;=nVariables,AE$7&lt;=nVariables,$A23&lt;&gt;AE$7),M!V23,0)</f>
        <v/>
      </c>
      <c r="AF23" s="97">
        <f>IF(AND(matrizOK,$A23&lt;=nVariables,AF$7&lt;=nVariables,$A23&lt;&gt;AF$7),M!W23,0)</f>
        <v/>
      </c>
      <c r="AG23" s="97">
        <f>IF(AND(matrizOK,$A23&lt;=nVariables,AG$7&lt;=nVariables,$A23&lt;&gt;AG$7),M!X23,0)</f>
        <v/>
      </c>
      <c r="AH23" s="97">
        <f>IF(AND(matrizOK,$A23&lt;=nVariables,AH$7&lt;=nVariables,$A23&lt;&gt;AH$7),M!Y23,0)</f>
        <v/>
      </c>
      <c r="AI23" s="97">
        <f>IF(AND(matrizOK,$A23&lt;=nVariables,AI$7&lt;=nVariables,$A23&lt;&gt;AI$7),M!Z23,0)</f>
        <v/>
      </c>
      <c r="AJ23" s="97">
        <f>IF(AND(matrizOK,$A23&lt;=nVariables,AJ$7&lt;=nVariables,$A23&lt;&gt;AJ$7),M!AA23,0)</f>
        <v/>
      </c>
      <c r="AK23" s="97">
        <f>IF(AND(matrizOK,$A23&lt;=nVariables,AK$7&lt;=nVariables,$A23&lt;&gt;AK$7),M!AB23,0)</f>
        <v/>
      </c>
      <c r="AL23" s="97">
        <f>IF(AND(matrizOK,$A23&lt;=nVariables,AL$7&lt;=nVariables,$A23&lt;&gt;AL$7),M!AC23,0)</f>
        <v/>
      </c>
      <c r="AM23" s="97">
        <f>IF(AND(matrizOK,$A23&lt;=nVariables,AM$7&lt;=nVariables,$A23&lt;&gt;AM$7),M!AD23,0)</f>
        <v/>
      </c>
      <c r="AN23" s="97">
        <f>IF(AND(matrizOK,$A23&lt;=nVariables,AN$7&lt;=nVariables,$A23&lt;&gt;AN$7),M!AE23,0)</f>
        <v/>
      </c>
      <c r="AO23" s="97">
        <f>IF(AND(matrizOK,$A23&lt;=nVariables,AO$7&lt;=nVariables,$A23&lt;&gt;AO$7),M!AF23,0)</f>
        <v/>
      </c>
      <c r="AP23" s="97">
        <f>IF(AND(matrizOK,$A23&lt;=nVariables,AP$7&lt;=nVariables,$A23&lt;&gt;AP$7),M!AG23,0)</f>
        <v/>
      </c>
      <c r="AQ23" s="97">
        <f>IF(AND(matrizOK,$A23&lt;=nVariables,AQ$7&lt;=nVariables,$A23&lt;&gt;AQ$7),M!AH23,0)</f>
        <v/>
      </c>
      <c r="AR23" s="97">
        <f>IF(AND(matrizOK,$A23&lt;=nVariables,AR$7&lt;=nVariables,$A23&lt;&gt;AR$7),M!AI23,0)</f>
        <v/>
      </c>
      <c r="AS23" s="97">
        <f>IF(AND(matrizOK,$A23&lt;=nVariables,AS$7&lt;=nVariables,$A23&lt;&gt;AS$7),M!AJ23,0)</f>
        <v/>
      </c>
      <c r="AT23" s="97">
        <f>IF(AND(matrizOK,$A23&lt;=nVariables,AT$7&lt;=nVariables,$A23&lt;&gt;AT$7),M!AK23,0)</f>
        <v/>
      </c>
      <c r="AU23" s="97">
        <f>IF(AND(matrizOK,$A23&lt;=nVariables,AU$7&lt;=nVariables,$A23&lt;&gt;AU$7),M!AL23,0)</f>
        <v/>
      </c>
      <c r="AV23" s="97">
        <f>IF(AND(matrizOK,$A23&lt;=nVariables,AV$7&lt;=nVariables,$A23&lt;&gt;AV$7),M!AM23,0)</f>
        <v/>
      </c>
      <c r="AW23" s="97">
        <f>IF(AND(matrizOK,$A23&lt;=nVariables,AW$7&lt;=nVariables,$A23&lt;&gt;AW$7),M!AN23,0)</f>
        <v/>
      </c>
      <c r="AX23" s="97">
        <f>IF(AND(matrizOK,$A23&lt;=nVariables,AX$7&lt;=nVariables,$A23&lt;&gt;AX$7),M!AO23,0)</f>
        <v/>
      </c>
      <c r="AY23" s="97">
        <f>IF(AND(matrizOK,$A23&lt;=nVariables,AY$7&lt;=nVariables,$A23&lt;&gt;AY$7),M!AP23,0)</f>
        <v/>
      </c>
      <c r="AZ23" s="97">
        <f>IF(AND(matrizOK,$A23&lt;=nVariables,AZ$7&lt;=nVariables,$A23&lt;&gt;AZ$7),M!AQ23,0)</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IF(AND(matrizOK,$A24&lt;=nVariables,M$7&lt;=nVariables,$A24&lt;&gt;M$7),M!D24,0)</f>
        <v/>
      </c>
      <c r="N24" s="97">
        <f>IF(AND(matrizOK,$A24&lt;=nVariables,N$7&lt;=nVariables,$A24&lt;&gt;N$7),M!E24,0)</f>
        <v/>
      </c>
      <c r="O24" s="97">
        <f>IF(AND(matrizOK,$A24&lt;=nVariables,O$7&lt;=nVariables,$A24&lt;&gt;O$7),M!F24,0)</f>
        <v/>
      </c>
      <c r="P24" s="97">
        <f>IF(AND(matrizOK,$A24&lt;=nVariables,P$7&lt;=nVariables,$A24&lt;&gt;P$7),M!G24,0)</f>
        <v/>
      </c>
      <c r="Q24" s="97">
        <f>IF(AND(matrizOK,$A24&lt;=nVariables,Q$7&lt;=nVariables,$A24&lt;&gt;Q$7),M!H24,0)</f>
        <v/>
      </c>
      <c r="R24" s="97">
        <f>IF(AND(matrizOK,$A24&lt;=nVariables,R$7&lt;=nVariables,$A24&lt;&gt;R$7),M!I24,0)</f>
        <v/>
      </c>
      <c r="S24" s="97">
        <f>IF(AND(matrizOK,$A24&lt;=nVariables,S$7&lt;=nVariables,$A24&lt;&gt;S$7),M!J24,0)</f>
        <v/>
      </c>
      <c r="T24" s="97">
        <f>IF(AND(matrizOK,$A24&lt;=nVariables,T$7&lt;=nVariables,$A24&lt;&gt;T$7),M!K24,0)</f>
        <v/>
      </c>
      <c r="U24" s="97">
        <f>IF(AND(matrizOK,$A24&lt;=nVariables,U$7&lt;=nVariables,$A24&lt;&gt;U$7),M!L24,0)</f>
        <v/>
      </c>
      <c r="V24" s="97">
        <f>IF(AND(matrizOK,$A24&lt;=nVariables,V$7&lt;=nVariables,$A24&lt;&gt;V$7),M!M24,0)</f>
        <v/>
      </c>
      <c r="W24" s="97">
        <f>IF(AND(matrizOK,$A24&lt;=nVariables,W$7&lt;=nVariables,$A24&lt;&gt;W$7),M!N24,0)</f>
        <v/>
      </c>
      <c r="X24" s="97">
        <f>IF(AND(matrizOK,$A24&lt;=nVariables,X$7&lt;=nVariables,$A24&lt;&gt;X$7),M!O24,0)</f>
        <v/>
      </c>
      <c r="Y24" s="97">
        <f>IF(AND(matrizOK,$A24&lt;=nVariables,Y$7&lt;=nVariables,$A24&lt;&gt;Y$7),M!P24,0)</f>
        <v/>
      </c>
      <c r="Z24" s="97">
        <f>IF(AND(matrizOK,$A24&lt;=nVariables,Z$7&lt;=nVariables,$A24&lt;&gt;Z$7),M!Q24,0)</f>
        <v/>
      </c>
      <c r="AA24" s="97">
        <f>IF(AND(matrizOK,$A24&lt;=nVariables,AA$7&lt;=nVariables,$A24&lt;&gt;AA$7),M!R24,0)</f>
        <v/>
      </c>
      <c r="AB24" s="97">
        <f>IF(AND(matrizOK,$A24&lt;=nVariables,AB$7&lt;=nVariables,$A24&lt;&gt;AB$7),M!S24,0)</f>
        <v/>
      </c>
      <c r="AC24" s="97">
        <f>IF(AND(matrizOK,$A24&lt;=nVariables,AC$7&lt;=nVariables,$A24&lt;&gt;AC$7),M!T24,0)</f>
        <v/>
      </c>
      <c r="AD24" s="97">
        <f>IF(AND(matrizOK,$A24&lt;=nVariables,AD$7&lt;=nVariables,$A24&lt;&gt;AD$7),M!U24,0)</f>
        <v/>
      </c>
      <c r="AE24" s="97">
        <f>IF(AND(matrizOK,$A24&lt;=nVariables,AE$7&lt;=nVariables,$A24&lt;&gt;AE$7),M!V24,0)</f>
        <v/>
      </c>
      <c r="AF24" s="97">
        <f>IF(AND(matrizOK,$A24&lt;=nVariables,AF$7&lt;=nVariables,$A24&lt;&gt;AF$7),M!W24,0)</f>
        <v/>
      </c>
      <c r="AG24" s="97">
        <f>IF(AND(matrizOK,$A24&lt;=nVariables,AG$7&lt;=nVariables,$A24&lt;&gt;AG$7),M!X24,0)</f>
        <v/>
      </c>
      <c r="AH24" s="97">
        <f>IF(AND(matrizOK,$A24&lt;=nVariables,AH$7&lt;=nVariables,$A24&lt;&gt;AH$7),M!Y24,0)</f>
        <v/>
      </c>
      <c r="AI24" s="97">
        <f>IF(AND(matrizOK,$A24&lt;=nVariables,AI$7&lt;=nVariables,$A24&lt;&gt;AI$7),M!Z24,0)</f>
        <v/>
      </c>
      <c r="AJ24" s="97">
        <f>IF(AND(matrizOK,$A24&lt;=nVariables,AJ$7&lt;=nVariables,$A24&lt;&gt;AJ$7),M!AA24,0)</f>
        <v/>
      </c>
      <c r="AK24" s="97">
        <f>IF(AND(matrizOK,$A24&lt;=nVariables,AK$7&lt;=nVariables,$A24&lt;&gt;AK$7),M!AB24,0)</f>
        <v/>
      </c>
      <c r="AL24" s="97">
        <f>IF(AND(matrizOK,$A24&lt;=nVariables,AL$7&lt;=nVariables,$A24&lt;&gt;AL$7),M!AC24,0)</f>
        <v/>
      </c>
      <c r="AM24" s="97">
        <f>IF(AND(matrizOK,$A24&lt;=nVariables,AM$7&lt;=nVariables,$A24&lt;&gt;AM$7),M!AD24,0)</f>
        <v/>
      </c>
      <c r="AN24" s="97">
        <f>IF(AND(matrizOK,$A24&lt;=nVariables,AN$7&lt;=nVariables,$A24&lt;&gt;AN$7),M!AE24,0)</f>
        <v/>
      </c>
      <c r="AO24" s="97">
        <f>IF(AND(matrizOK,$A24&lt;=nVariables,AO$7&lt;=nVariables,$A24&lt;&gt;AO$7),M!AF24,0)</f>
        <v/>
      </c>
      <c r="AP24" s="97">
        <f>IF(AND(matrizOK,$A24&lt;=nVariables,AP$7&lt;=nVariables,$A24&lt;&gt;AP$7),M!AG24,0)</f>
        <v/>
      </c>
      <c r="AQ24" s="97">
        <f>IF(AND(matrizOK,$A24&lt;=nVariables,AQ$7&lt;=nVariables,$A24&lt;&gt;AQ$7),M!AH24,0)</f>
        <v/>
      </c>
      <c r="AR24" s="97">
        <f>IF(AND(matrizOK,$A24&lt;=nVariables,AR$7&lt;=nVariables,$A24&lt;&gt;AR$7),M!AI24,0)</f>
        <v/>
      </c>
      <c r="AS24" s="97">
        <f>IF(AND(matrizOK,$A24&lt;=nVariables,AS$7&lt;=nVariables,$A24&lt;&gt;AS$7),M!AJ24,0)</f>
        <v/>
      </c>
      <c r="AT24" s="97">
        <f>IF(AND(matrizOK,$A24&lt;=nVariables,AT$7&lt;=nVariables,$A24&lt;&gt;AT$7),M!AK24,0)</f>
        <v/>
      </c>
      <c r="AU24" s="97">
        <f>IF(AND(matrizOK,$A24&lt;=nVariables,AU$7&lt;=nVariables,$A24&lt;&gt;AU$7),M!AL24,0)</f>
        <v/>
      </c>
      <c r="AV24" s="97">
        <f>IF(AND(matrizOK,$A24&lt;=nVariables,AV$7&lt;=nVariables,$A24&lt;&gt;AV$7),M!AM24,0)</f>
        <v/>
      </c>
      <c r="AW24" s="97">
        <f>IF(AND(matrizOK,$A24&lt;=nVariables,AW$7&lt;=nVariables,$A24&lt;&gt;AW$7),M!AN24,0)</f>
        <v/>
      </c>
      <c r="AX24" s="97">
        <f>IF(AND(matrizOK,$A24&lt;=nVariables,AX$7&lt;=nVariables,$A24&lt;&gt;AX$7),M!AO24,0)</f>
        <v/>
      </c>
      <c r="AY24" s="97">
        <f>IF(AND(matrizOK,$A24&lt;=nVariables,AY$7&lt;=nVariables,$A24&lt;&gt;AY$7),M!AP24,0)</f>
        <v/>
      </c>
      <c r="AZ24" s="97">
        <f>IF(AND(matrizOK,$A24&lt;=nVariables,AZ$7&lt;=nVariables,$A24&lt;&gt;AZ$7),M!AQ24,0)</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IF(AND(matrizOK,$A25&lt;=nVariables,M$7&lt;=nVariables,$A25&lt;&gt;M$7),M!D25,0)</f>
        <v/>
      </c>
      <c r="N25" s="97">
        <f>IF(AND(matrizOK,$A25&lt;=nVariables,N$7&lt;=nVariables,$A25&lt;&gt;N$7),M!E25,0)</f>
        <v/>
      </c>
      <c r="O25" s="97">
        <f>IF(AND(matrizOK,$A25&lt;=nVariables,O$7&lt;=nVariables,$A25&lt;&gt;O$7),M!F25,0)</f>
        <v/>
      </c>
      <c r="P25" s="97">
        <f>IF(AND(matrizOK,$A25&lt;=nVariables,P$7&lt;=nVariables,$A25&lt;&gt;P$7),M!G25,0)</f>
        <v/>
      </c>
      <c r="Q25" s="97">
        <f>IF(AND(matrizOK,$A25&lt;=nVariables,Q$7&lt;=nVariables,$A25&lt;&gt;Q$7),M!H25,0)</f>
        <v/>
      </c>
      <c r="R25" s="97">
        <f>IF(AND(matrizOK,$A25&lt;=nVariables,R$7&lt;=nVariables,$A25&lt;&gt;R$7),M!I25,0)</f>
        <v/>
      </c>
      <c r="S25" s="97">
        <f>IF(AND(matrizOK,$A25&lt;=nVariables,S$7&lt;=nVariables,$A25&lt;&gt;S$7),M!J25,0)</f>
        <v/>
      </c>
      <c r="T25" s="97">
        <f>IF(AND(matrizOK,$A25&lt;=nVariables,T$7&lt;=nVariables,$A25&lt;&gt;T$7),M!K25,0)</f>
        <v/>
      </c>
      <c r="U25" s="97">
        <f>IF(AND(matrizOK,$A25&lt;=nVariables,U$7&lt;=nVariables,$A25&lt;&gt;U$7),M!L25,0)</f>
        <v/>
      </c>
      <c r="V25" s="97">
        <f>IF(AND(matrizOK,$A25&lt;=nVariables,V$7&lt;=nVariables,$A25&lt;&gt;V$7),M!M25,0)</f>
        <v/>
      </c>
      <c r="W25" s="97">
        <f>IF(AND(matrizOK,$A25&lt;=nVariables,W$7&lt;=nVariables,$A25&lt;&gt;W$7),M!N25,0)</f>
        <v/>
      </c>
      <c r="X25" s="97">
        <f>IF(AND(matrizOK,$A25&lt;=nVariables,X$7&lt;=nVariables,$A25&lt;&gt;X$7),M!O25,0)</f>
        <v/>
      </c>
      <c r="Y25" s="97">
        <f>IF(AND(matrizOK,$A25&lt;=nVariables,Y$7&lt;=nVariables,$A25&lt;&gt;Y$7),M!P25,0)</f>
        <v/>
      </c>
      <c r="Z25" s="97">
        <f>IF(AND(matrizOK,$A25&lt;=nVariables,Z$7&lt;=nVariables,$A25&lt;&gt;Z$7),M!Q25,0)</f>
        <v/>
      </c>
      <c r="AA25" s="97">
        <f>IF(AND(matrizOK,$A25&lt;=nVariables,AA$7&lt;=nVariables,$A25&lt;&gt;AA$7),M!R25,0)</f>
        <v/>
      </c>
      <c r="AB25" s="97">
        <f>IF(AND(matrizOK,$A25&lt;=nVariables,AB$7&lt;=nVariables,$A25&lt;&gt;AB$7),M!S25,0)</f>
        <v/>
      </c>
      <c r="AC25" s="97">
        <f>IF(AND(matrizOK,$A25&lt;=nVariables,AC$7&lt;=nVariables,$A25&lt;&gt;AC$7),M!T25,0)</f>
        <v/>
      </c>
      <c r="AD25" s="97">
        <f>IF(AND(matrizOK,$A25&lt;=nVariables,AD$7&lt;=nVariables,$A25&lt;&gt;AD$7),M!U25,0)</f>
        <v/>
      </c>
      <c r="AE25" s="97">
        <f>IF(AND(matrizOK,$A25&lt;=nVariables,AE$7&lt;=nVariables,$A25&lt;&gt;AE$7),M!V25,0)</f>
        <v/>
      </c>
      <c r="AF25" s="97">
        <f>IF(AND(matrizOK,$A25&lt;=nVariables,AF$7&lt;=nVariables,$A25&lt;&gt;AF$7),M!W25,0)</f>
        <v/>
      </c>
      <c r="AG25" s="97">
        <f>IF(AND(matrizOK,$A25&lt;=nVariables,AG$7&lt;=nVariables,$A25&lt;&gt;AG$7),M!X25,0)</f>
        <v/>
      </c>
      <c r="AH25" s="97">
        <f>IF(AND(matrizOK,$A25&lt;=nVariables,AH$7&lt;=nVariables,$A25&lt;&gt;AH$7),M!Y25,0)</f>
        <v/>
      </c>
      <c r="AI25" s="97">
        <f>IF(AND(matrizOK,$A25&lt;=nVariables,AI$7&lt;=nVariables,$A25&lt;&gt;AI$7),M!Z25,0)</f>
        <v/>
      </c>
      <c r="AJ25" s="97">
        <f>IF(AND(matrizOK,$A25&lt;=nVariables,AJ$7&lt;=nVariables,$A25&lt;&gt;AJ$7),M!AA25,0)</f>
        <v/>
      </c>
      <c r="AK25" s="97">
        <f>IF(AND(matrizOK,$A25&lt;=nVariables,AK$7&lt;=nVariables,$A25&lt;&gt;AK$7),M!AB25,0)</f>
        <v/>
      </c>
      <c r="AL25" s="97">
        <f>IF(AND(matrizOK,$A25&lt;=nVariables,AL$7&lt;=nVariables,$A25&lt;&gt;AL$7),M!AC25,0)</f>
        <v/>
      </c>
      <c r="AM25" s="97">
        <f>IF(AND(matrizOK,$A25&lt;=nVariables,AM$7&lt;=nVariables,$A25&lt;&gt;AM$7),M!AD25,0)</f>
        <v/>
      </c>
      <c r="AN25" s="97">
        <f>IF(AND(matrizOK,$A25&lt;=nVariables,AN$7&lt;=nVariables,$A25&lt;&gt;AN$7),M!AE25,0)</f>
        <v/>
      </c>
      <c r="AO25" s="97">
        <f>IF(AND(matrizOK,$A25&lt;=nVariables,AO$7&lt;=nVariables,$A25&lt;&gt;AO$7),M!AF25,0)</f>
        <v/>
      </c>
      <c r="AP25" s="97">
        <f>IF(AND(matrizOK,$A25&lt;=nVariables,AP$7&lt;=nVariables,$A25&lt;&gt;AP$7),M!AG25,0)</f>
        <v/>
      </c>
      <c r="AQ25" s="97">
        <f>IF(AND(matrizOK,$A25&lt;=nVariables,AQ$7&lt;=nVariables,$A25&lt;&gt;AQ$7),M!AH25,0)</f>
        <v/>
      </c>
      <c r="AR25" s="97">
        <f>IF(AND(matrizOK,$A25&lt;=nVariables,AR$7&lt;=nVariables,$A25&lt;&gt;AR$7),M!AI25,0)</f>
        <v/>
      </c>
      <c r="AS25" s="97">
        <f>IF(AND(matrizOK,$A25&lt;=nVariables,AS$7&lt;=nVariables,$A25&lt;&gt;AS$7),M!AJ25,0)</f>
        <v/>
      </c>
      <c r="AT25" s="97">
        <f>IF(AND(matrizOK,$A25&lt;=nVariables,AT$7&lt;=nVariables,$A25&lt;&gt;AT$7),M!AK25,0)</f>
        <v/>
      </c>
      <c r="AU25" s="97">
        <f>IF(AND(matrizOK,$A25&lt;=nVariables,AU$7&lt;=nVariables,$A25&lt;&gt;AU$7),M!AL25,0)</f>
        <v/>
      </c>
      <c r="AV25" s="97">
        <f>IF(AND(matrizOK,$A25&lt;=nVariables,AV$7&lt;=nVariables,$A25&lt;&gt;AV$7),M!AM25,0)</f>
        <v/>
      </c>
      <c r="AW25" s="97">
        <f>IF(AND(matrizOK,$A25&lt;=nVariables,AW$7&lt;=nVariables,$A25&lt;&gt;AW$7),M!AN25,0)</f>
        <v/>
      </c>
      <c r="AX25" s="97">
        <f>IF(AND(matrizOK,$A25&lt;=nVariables,AX$7&lt;=nVariables,$A25&lt;&gt;AX$7),M!AO25,0)</f>
        <v/>
      </c>
      <c r="AY25" s="97">
        <f>IF(AND(matrizOK,$A25&lt;=nVariables,AY$7&lt;=nVariables,$A25&lt;&gt;AY$7),M!AP25,0)</f>
        <v/>
      </c>
      <c r="AZ25" s="97">
        <f>IF(AND(matrizOK,$A25&lt;=nVariables,AZ$7&lt;=nVariables,$A25&lt;&gt;AZ$7),M!AQ25,0)</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IF(AND(matrizOK,$A26&lt;=nVariables,M$7&lt;=nVariables,$A26&lt;&gt;M$7),M!D26,0)</f>
        <v/>
      </c>
      <c r="N26" s="97">
        <f>IF(AND(matrizOK,$A26&lt;=nVariables,N$7&lt;=nVariables,$A26&lt;&gt;N$7),M!E26,0)</f>
        <v/>
      </c>
      <c r="O26" s="97">
        <f>IF(AND(matrizOK,$A26&lt;=nVariables,O$7&lt;=nVariables,$A26&lt;&gt;O$7),M!F26,0)</f>
        <v/>
      </c>
      <c r="P26" s="97">
        <f>IF(AND(matrizOK,$A26&lt;=nVariables,P$7&lt;=nVariables,$A26&lt;&gt;P$7),M!G26,0)</f>
        <v/>
      </c>
      <c r="Q26" s="97">
        <f>IF(AND(matrizOK,$A26&lt;=nVariables,Q$7&lt;=nVariables,$A26&lt;&gt;Q$7),M!H26,0)</f>
        <v/>
      </c>
      <c r="R26" s="97">
        <f>IF(AND(matrizOK,$A26&lt;=nVariables,R$7&lt;=nVariables,$A26&lt;&gt;R$7),M!I26,0)</f>
        <v/>
      </c>
      <c r="S26" s="97">
        <f>IF(AND(matrizOK,$A26&lt;=nVariables,S$7&lt;=nVariables,$A26&lt;&gt;S$7),M!J26,0)</f>
        <v/>
      </c>
      <c r="T26" s="97">
        <f>IF(AND(matrizOK,$A26&lt;=nVariables,T$7&lt;=nVariables,$A26&lt;&gt;T$7),M!K26,0)</f>
        <v/>
      </c>
      <c r="U26" s="97">
        <f>IF(AND(matrizOK,$A26&lt;=nVariables,U$7&lt;=nVariables,$A26&lt;&gt;U$7),M!L26,0)</f>
        <v/>
      </c>
      <c r="V26" s="97">
        <f>IF(AND(matrizOK,$A26&lt;=nVariables,V$7&lt;=nVariables,$A26&lt;&gt;V$7),M!M26,0)</f>
        <v/>
      </c>
      <c r="W26" s="97">
        <f>IF(AND(matrizOK,$A26&lt;=nVariables,W$7&lt;=nVariables,$A26&lt;&gt;W$7),M!N26,0)</f>
        <v/>
      </c>
      <c r="X26" s="97">
        <f>IF(AND(matrizOK,$A26&lt;=nVariables,X$7&lt;=nVariables,$A26&lt;&gt;X$7),M!O26,0)</f>
        <v/>
      </c>
      <c r="Y26" s="97">
        <f>IF(AND(matrizOK,$A26&lt;=nVariables,Y$7&lt;=nVariables,$A26&lt;&gt;Y$7),M!P26,0)</f>
        <v/>
      </c>
      <c r="Z26" s="97">
        <f>IF(AND(matrizOK,$A26&lt;=nVariables,Z$7&lt;=nVariables,$A26&lt;&gt;Z$7),M!Q26,0)</f>
        <v/>
      </c>
      <c r="AA26" s="97">
        <f>IF(AND(matrizOK,$A26&lt;=nVariables,AA$7&lt;=nVariables,$A26&lt;&gt;AA$7),M!R26,0)</f>
        <v/>
      </c>
      <c r="AB26" s="97">
        <f>IF(AND(matrizOK,$A26&lt;=nVariables,AB$7&lt;=nVariables,$A26&lt;&gt;AB$7),M!S26,0)</f>
        <v/>
      </c>
      <c r="AC26" s="97">
        <f>IF(AND(matrizOK,$A26&lt;=nVariables,AC$7&lt;=nVariables,$A26&lt;&gt;AC$7),M!T26,0)</f>
        <v/>
      </c>
      <c r="AD26" s="97">
        <f>IF(AND(matrizOK,$A26&lt;=nVariables,AD$7&lt;=nVariables,$A26&lt;&gt;AD$7),M!U26,0)</f>
        <v/>
      </c>
      <c r="AE26" s="97">
        <f>IF(AND(matrizOK,$A26&lt;=nVariables,AE$7&lt;=nVariables,$A26&lt;&gt;AE$7),M!V26,0)</f>
        <v/>
      </c>
      <c r="AF26" s="97">
        <f>IF(AND(matrizOK,$A26&lt;=nVariables,AF$7&lt;=nVariables,$A26&lt;&gt;AF$7),M!W26,0)</f>
        <v/>
      </c>
      <c r="AG26" s="97">
        <f>IF(AND(matrizOK,$A26&lt;=nVariables,AG$7&lt;=nVariables,$A26&lt;&gt;AG$7),M!X26,0)</f>
        <v/>
      </c>
      <c r="AH26" s="97">
        <f>IF(AND(matrizOK,$A26&lt;=nVariables,AH$7&lt;=nVariables,$A26&lt;&gt;AH$7),M!Y26,0)</f>
        <v/>
      </c>
      <c r="AI26" s="97">
        <f>IF(AND(matrizOK,$A26&lt;=nVariables,AI$7&lt;=nVariables,$A26&lt;&gt;AI$7),M!Z26,0)</f>
        <v/>
      </c>
      <c r="AJ26" s="97">
        <f>IF(AND(matrizOK,$A26&lt;=nVariables,AJ$7&lt;=nVariables,$A26&lt;&gt;AJ$7),M!AA26,0)</f>
        <v/>
      </c>
      <c r="AK26" s="97">
        <f>IF(AND(matrizOK,$A26&lt;=nVariables,AK$7&lt;=nVariables,$A26&lt;&gt;AK$7),M!AB26,0)</f>
        <v/>
      </c>
      <c r="AL26" s="97">
        <f>IF(AND(matrizOK,$A26&lt;=nVariables,AL$7&lt;=nVariables,$A26&lt;&gt;AL$7),M!AC26,0)</f>
        <v/>
      </c>
      <c r="AM26" s="97">
        <f>IF(AND(matrizOK,$A26&lt;=nVariables,AM$7&lt;=nVariables,$A26&lt;&gt;AM$7),M!AD26,0)</f>
        <v/>
      </c>
      <c r="AN26" s="97">
        <f>IF(AND(matrizOK,$A26&lt;=nVariables,AN$7&lt;=nVariables,$A26&lt;&gt;AN$7),M!AE26,0)</f>
        <v/>
      </c>
      <c r="AO26" s="97">
        <f>IF(AND(matrizOK,$A26&lt;=nVariables,AO$7&lt;=nVariables,$A26&lt;&gt;AO$7),M!AF26,0)</f>
        <v/>
      </c>
      <c r="AP26" s="97">
        <f>IF(AND(matrizOK,$A26&lt;=nVariables,AP$7&lt;=nVariables,$A26&lt;&gt;AP$7),M!AG26,0)</f>
        <v/>
      </c>
      <c r="AQ26" s="97">
        <f>IF(AND(matrizOK,$A26&lt;=nVariables,AQ$7&lt;=nVariables,$A26&lt;&gt;AQ$7),M!AH26,0)</f>
        <v/>
      </c>
      <c r="AR26" s="97">
        <f>IF(AND(matrizOK,$A26&lt;=nVariables,AR$7&lt;=nVariables,$A26&lt;&gt;AR$7),M!AI26,0)</f>
        <v/>
      </c>
      <c r="AS26" s="97">
        <f>IF(AND(matrizOK,$A26&lt;=nVariables,AS$7&lt;=nVariables,$A26&lt;&gt;AS$7),M!AJ26,0)</f>
        <v/>
      </c>
      <c r="AT26" s="97">
        <f>IF(AND(matrizOK,$A26&lt;=nVariables,AT$7&lt;=nVariables,$A26&lt;&gt;AT$7),M!AK26,0)</f>
        <v/>
      </c>
      <c r="AU26" s="97">
        <f>IF(AND(matrizOK,$A26&lt;=nVariables,AU$7&lt;=nVariables,$A26&lt;&gt;AU$7),M!AL26,0)</f>
        <v/>
      </c>
      <c r="AV26" s="97">
        <f>IF(AND(matrizOK,$A26&lt;=nVariables,AV$7&lt;=nVariables,$A26&lt;&gt;AV$7),M!AM26,0)</f>
        <v/>
      </c>
      <c r="AW26" s="97">
        <f>IF(AND(matrizOK,$A26&lt;=nVariables,AW$7&lt;=nVariables,$A26&lt;&gt;AW$7),M!AN26,0)</f>
        <v/>
      </c>
      <c r="AX26" s="97">
        <f>IF(AND(matrizOK,$A26&lt;=nVariables,AX$7&lt;=nVariables,$A26&lt;&gt;AX$7),M!AO26,0)</f>
        <v/>
      </c>
      <c r="AY26" s="97">
        <f>IF(AND(matrizOK,$A26&lt;=nVariables,AY$7&lt;=nVariables,$A26&lt;&gt;AY$7),M!AP26,0)</f>
        <v/>
      </c>
      <c r="AZ26" s="97">
        <f>IF(AND(matrizOK,$A26&lt;=nVariables,AZ$7&lt;=nVariables,$A26&lt;&gt;AZ$7),M!AQ26,0)</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IF(AND(matrizOK,$A27&lt;=nVariables,M$7&lt;=nVariables,$A27&lt;&gt;M$7),M!D27,0)</f>
        <v/>
      </c>
      <c r="N27" s="97">
        <f>IF(AND(matrizOK,$A27&lt;=nVariables,N$7&lt;=nVariables,$A27&lt;&gt;N$7),M!E27,0)</f>
        <v/>
      </c>
      <c r="O27" s="97">
        <f>IF(AND(matrizOK,$A27&lt;=nVariables,O$7&lt;=nVariables,$A27&lt;&gt;O$7),M!F27,0)</f>
        <v/>
      </c>
      <c r="P27" s="97">
        <f>IF(AND(matrizOK,$A27&lt;=nVariables,P$7&lt;=nVariables,$A27&lt;&gt;P$7),M!G27,0)</f>
        <v/>
      </c>
      <c r="Q27" s="97">
        <f>IF(AND(matrizOK,$A27&lt;=nVariables,Q$7&lt;=nVariables,$A27&lt;&gt;Q$7),M!H27,0)</f>
        <v/>
      </c>
      <c r="R27" s="97">
        <f>IF(AND(matrizOK,$A27&lt;=nVariables,R$7&lt;=nVariables,$A27&lt;&gt;R$7),M!I27,0)</f>
        <v/>
      </c>
      <c r="S27" s="97">
        <f>IF(AND(matrizOK,$A27&lt;=nVariables,S$7&lt;=nVariables,$A27&lt;&gt;S$7),M!J27,0)</f>
        <v/>
      </c>
      <c r="T27" s="97">
        <f>IF(AND(matrizOK,$A27&lt;=nVariables,T$7&lt;=nVariables,$A27&lt;&gt;T$7),M!K27,0)</f>
        <v/>
      </c>
      <c r="U27" s="97">
        <f>IF(AND(matrizOK,$A27&lt;=nVariables,U$7&lt;=nVariables,$A27&lt;&gt;U$7),M!L27,0)</f>
        <v/>
      </c>
      <c r="V27" s="97">
        <f>IF(AND(matrizOK,$A27&lt;=nVariables,V$7&lt;=nVariables,$A27&lt;&gt;V$7),M!M27,0)</f>
        <v/>
      </c>
      <c r="W27" s="97">
        <f>IF(AND(matrizOK,$A27&lt;=nVariables,W$7&lt;=nVariables,$A27&lt;&gt;W$7),M!N27,0)</f>
        <v/>
      </c>
      <c r="X27" s="97">
        <f>IF(AND(matrizOK,$A27&lt;=nVariables,X$7&lt;=nVariables,$A27&lt;&gt;X$7),M!O27,0)</f>
        <v/>
      </c>
      <c r="Y27" s="97">
        <f>IF(AND(matrizOK,$A27&lt;=nVariables,Y$7&lt;=nVariables,$A27&lt;&gt;Y$7),M!P27,0)</f>
        <v/>
      </c>
      <c r="Z27" s="97">
        <f>IF(AND(matrizOK,$A27&lt;=nVariables,Z$7&lt;=nVariables,$A27&lt;&gt;Z$7),M!Q27,0)</f>
        <v/>
      </c>
      <c r="AA27" s="97">
        <f>IF(AND(matrizOK,$A27&lt;=nVariables,AA$7&lt;=nVariables,$A27&lt;&gt;AA$7),M!R27,0)</f>
        <v/>
      </c>
      <c r="AB27" s="97">
        <f>IF(AND(matrizOK,$A27&lt;=nVariables,AB$7&lt;=nVariables,$A27&lt;&gt;AB$7),M!S27,0)</f>
        <v/>
      </c>
      <c r="AC27" s="97">
        <f>IF(AND(matrizOK,$A27&lt;=nVariables,AC$7&lt;=nVariables,$A27&lt;&gt;AC$7),M!T27,0)</f>
        <v/>
      </c>
      <c r="AD27" s="97">
        <f>IF(AND(matrizOK,$A27&lt;=nVariables,AD$7&lt;=nVariables,$A27&lt;&gt;AD$7),M!U27,0)</f>
        <v/>
      </c>
      <c r="AE27" s="97">
        <f>IF(AND(matrizOK,$A27&lt;=nVariables,AE$7&lt;=nVariables,$A27&lt;&gt;AE$7),M!V27,0)</f>
        <v/>
      </c>
      <c r="AF27" s="97">
        <f>IF(AND(matrizOK,$A27&lt;=nVariables,AF$7&lt;=nVariables,$A27&lt;&gt;AF$7),M!W27,0)</f>
        <v/>
      </c>
      <c r="AG27" s="97">
        <f>IF(AND(matrizOK,$A27&lt;=nVariables,AG$7&lt;=nVariables,$A27&lt;&gt;AG$7),M!X27,0)</f>
        <v/>
      </c>
      <c r="AH27" s="97">
        <f>IF(AND(matrizOK,$A27&lt;=nVariables,AH$7&lt;=nVariables,$A27&lt;&gt;AH$7),M!Y27,0)</f>
        <v/>
      </c>
      <c r="AI27" s="97">
        <f>IF(AND(matrizOK,$A27&lt;=nVariables,AI$7&lt;=nVariables,$A27&lt;&gt;AI$7),M!Z27,0)</f>
        <v/>
      </c>
      <c r="AJ27" s="97">
        <f>IF(AND(matrizOK,$A27&lt;=nVariables,AJ$7&lt;=nVariables,$A27&lt;&gt;AJ$7),M!AA27,0)</f>
        <v/>
      </c>
      <c r="AK27" s="97">
        <f>IF(AND(matrizOK,$A27&lt;=nVariables,AK$7&lt;=nVariables,$A27&lt;&gt;AK$7),M!AB27,0)</f>
        <v/>
      </c>
      <c r="AL27" s="97">
        <f>IF(AND(matrizOK,$A27&lt;=nVariables,AL$7&lt;=nVariables,$A27&lt;&gt;AL$7),M!AC27,0)</f>
        <v/>
      </c>
      <c r="AM27" s="97">
        <f>IF(AND(matrizOK,$A27&lt;=nVariables,AM$7&lt;=nVariables,$A27&lt;&gt;AM$7),M!AD27,0)</f>
        <v/>
      </c>
      <c r="AN27" s="97">
        <f>IF(AND(matrizOK,$A27&lt;=nVariables,AN$7&lt;=nVariables,$A27&lt;&gt;AN$7),M!AE27,0)</f>
        <v/>
      </c>
      <c r="AO27" s="97">
        <f>IF(AND(matrizOK,$A27&lt;=nVariables,AO$7&lt;=nVariables,$A27&lt;&gt;AO$7),M!AF27,0)</f>
        <v/>
      </c>
      <c r="AP27" s="97">
        <f>IF(AND(matrizOK,$A27&lt;=nVariables,AP$7&lt;=nVariables,$A27&lt;&gt;AP$7),M!AG27,0)</f>
        <v/>
      </c>
      <c r="AQ27" s="97">
        <f>IF(AND(matrizOK,$A27&lt;=nVariables,AQ$7&lt;=nVariables,$A27&lt;&gt;AQ$7),M!AH27,0)</f>
        <v/>
      </c>
      <c r="AR27" s="97">
        <f>IF(AND(matrizOK,$A27&lt;=nVariables,AR$7&lt;=nVariables,$A27&lt;&gt;AR$7),M!AI27,0)</f>
        <v/>
      </c>
      <c r="AS27" s="97">
        <f>IF(AND(matrizOK,$A27&lt;=nVariables,AS$7&lt;=nVariables,$A27&lt;&gt;AS$7),M!AJ27,0)</f>
        <v/>
      </c>
      <c r="AT27" s="97">
        <f>IF(AND(matrizOK,$A27&lt;=nVariables,AT$7&lt;=nVariables,$A27&lt;&gt;AT$7),M!AK27,0)</f>
        <v/>
      </c>
      <c r="AU27" s="97">
        <f>IF(AND(matrizOK,$A27&lt;=nVariables,AU$7&lt;=nVariables,$A27&lt;&gt;AU$7),M!AL27,0)</f>
        <v/>
      </c>
      <c r="AV27" s="97">
        <f>IF(AND(matrizOK,$A27&lt;=nVariables,AV$7&lt;=nVariables,$A27&lt;&gt;AV$7),M!AM27,0)</f>
        <v/>
      </c>
      <c r="AW27" s="97">
        <f>IF(AND(matrizOK,$A27&lt;=nVariables,AW$7&lt;=nVariables,$A27&lt;&gt;AW$7),M!AN27,0)</f>
        <v/>
      </c>
      <c r="AX27" s="97">
        <f>IF(AND(matrizOK,$A27&lt;=nVariables,AX$7&lt;=nVariables,$A27&lt;&gt;AX$7),M!AO27,0)</f>
        <v/>
      </c>
      <c r="AY27" s="97">
        <f>IF(AND(matrizOK,$A27&lt;=nVariables,AY$7&lt;=nVariables,$A27&lt;&gt;AY$7),M!AP27,0)</f>
        <v/>
      </c>
      <c r="AZ27" s="97">
        <f>IF(AND(matrizOK,$A27&lt;=nVariables,AZ$7&lt;=nVariables,$A27&lt;&gt;AZ$7),M!AQ27,0)</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IF(AND(matrizOK,$A28&lt;=nVariables,M$7&lt;=nVariables,$A28&lt;&gt;M$7),M!D28,0)</f>
        <v/>
      </c>
      <c r="N28" s="97">
        <f>IF(AND(matrizOK,$A28&lt;=nVariables,N$7&lt;=nVariables,$A28&lt;&gt;N$7),M!E28,0)</f>
        <v/>
      </c>
      <c r="O28" s="97">
        <f>IF(AND(matrizOK,$A28&lt;=nVariables,O$7&lt;=nVariables,$A28&lt;&gt;O$7),M!F28,0)</f>
        <v/>
      </c>
      <c r="P28" s="97">
        <f>IF(AND(matrizOK,$A28&lt;=nVariables,P$7&lt;=nVariables,$A28&lt;&gt;P$7),M!G28,0)</f>
        <v/>
      </c>
      <c r="Q28" s="97">
        <f>IF(AND(matrizOK,$A28&lt;=nVariables,Q$7&lt;=nVariables,$A28&lt;&gt;Q$7),M!H28,0)</f>
        <v/>
      </c>
      <c r="R28" s="97">
        <f>IF(AND(matrizOK,$A28&lt;=nVariables,R$7&lt;=nVariables,$A28&lt;&gt;R$7),M!I28,0)</f>
        <v/>
      </c>
      <c r="S28" s="97">
        <f>IF(AND(matrizOK,$A28&lt;=nVariables,S$7&lt;=nVariables,$A28&lt;&gt;S$7),M!J28,0)</f>
        <v/>
      </c>
      <c r="T28" s="97">
        <f>IF(AND(matrizOK,$A28&lt;=nVariables,T$7&lt;=nVariables,$A28&lt;&gt;T$7),M!K28,0)</f>
        <v/>
      </c>
      <c r="U28" s="97">
        <f>IF(AND(matrizOK,$A28&lt;=nVariables,U$7&lt;=nVariables,$A28&lt;&gt;U$7),M!L28,0)</f>
        <v/>
      </c>
      <c r="V28" s="97">
        <f>IF(AND(matrizOK,$A28&lt;=nVariables,V$7&lt;=nVariables,$A28&lt;&gt;V$7),M!M28,0)</f>
        <v/>
      </c>
      <c r="W28" s="97">
        <f>IF(AND(matrizOK,$A28&lt;=nVariables,W$7&lt;=nVariables,$A28&lt;&gt;W$7),M!N28,0)</f>
        <v/>
      </c>
      <c r="X28" s="97">
        <f>IF(AND(matrizOK,$A28&lt;=nVariables,X$7&lt;=nVariables,$A28&lt;&gt;X$7),M!O28,0)</f>
        <v/>
      </c>
      <c r="Y28" s="97">
        <f>IF(AND(matrizOK,$A28&lt;=nVariables,Y$7&lt;=nVariables,$A28&lt;&gt;Y$7),M!P28,0)</f>
        <v/>
      </c>
      <c r="Z28" s="97">
        <f>IF(AND(matrizOK,$A28&lt;=nVariables,Z$7&lt;=nVariables,$A28&lt;&gt;Z$7),M!Q28,0)</f>
        <v/>
      </c>
      <c r="AA28" s="97">
        <f>IF(AND(matrizOK,$A28&lt;=nVariables,AA$7&lt;=nVariables,$A28&lt;&gt;AA$7),M!R28,0)</f>
        <v/>
      </c>
      <c r="AB28" s="97">
        <f>IF(AND(matrizOK,$A28&lt;=nVariables,AB$7&lt;=nVariables,$A28&lt;&gt;AB$7),M!S28,0)</f>
        <v/>
      </c>
      <c r="AC28" s="97">
        <f>IF(AND(matrizOK,$A28&lt;=nVariables,AC$7&lt;=nVariables,$A28&lt;&gt;AC$7),M!T28,0)</f>
        <v/>
      </c>
      <c r="AD28" s="97">
        <f>IF(AND(matrizOK,$A28&lt;=nVariables,AD$7&lt;=nVariables,$A28&lt;&gt;AD$7),M!U28,0)</f>
        <v/>
      </c>
      <c r="AE28" s="97">
        <f>IF(AND(matrizOK,$A28&lt;=nVariables,AE$7&lt;=nVariables,$A28&lt;&gt;AE$7),M!V28,0)</f>
        <v/>
      </c>
      <c r="AF28" s="97">
        <f>IF(AND(matrizOK,$A28&lt;=nVariables,AF$7&lt;=nVariables,$A28&lt;&gt;AF$7),M!W28,0)</f>
        <v/>
      </c>
      <c r="AG28" s="97">
        <f>IF(AND(matrizOK,$A28&lt;=nVariables,AG$7&lt;=nVariables,$A28&lt;&gt;AG$7),M!X28,0)</f>
        <v/>
      </c>
      <c r="AH28" s="97">
        <f>IF(AND(matrizOK,$A28&lt;=nVariables,AH$7&lt;=nVariables,$A28&lt;&gt;AH$7),M!Y28,0)</f>
        <v/>
      </c>
      <c r="AI28" s="97">
        <f>IF(AND(matrizOK,$A28&lt;=nVariables,AI$7&lt;=nVariables,$A28&lt;&gt;AI$7),M!Z28,0)</f>
        <v/>
      </c>
      <c r="AJ28" s="97">
        <f>IF(AND(matrizOK,$A28&lt;=nVariables,AJ$7&lt;=nVariables,$A28&lt;&gt;AJ$7),M!AA28,0)</f>
        <v/>
      </c>
      <c r="AK28" s="97">
        <f>IF(AND(matrizOK,$A28&lt;=nVariables,AK$7&lt;=nVariables,$A28&lt;&gt;AK$7),M!AB28,0)</f>
        <v/>
      </c>
      <c r="AL28" s="97">
        <f>IF(AND(matrizOK,$A28&lt;=nVariables,AL$7&lt;=nVariables,$A28&lt;&gt;AL$7),M!AC28,0)</f>
        <v/>
      </c>
      <c r="AM28" s="97">
        <f>IF(AND(matrizOK,$A28&lt;=nVariables,AM$7&lt;=nVariables,$A28&lt;&gt;AM$7),M!AD28,0)</f>
        <v/>
      </c>
      <c r="AN28" s="97">
        <f>IF(AND(matrizOK,$A28&lt;=nVariables,AN$7&lt;=nVariables,$A28&lt;&gt;AN$7),M!AE28,0)</f>
        <v/>
      </c>
      <c r="AO28" s="97">
        <f>IF(AND(matrizOK,$A28&lt;=nVariables,AO$7&lt;=nVariables,$A28&lt;&gt;AO$7),M!AF28,0)</f>
        <v/>
      </c>
      <c r="AP28" s="97">
        <f>IF(AND(matrizOK,$A28&lt;=nVariables,AP$7&lt;=nVariables,$A28&lt;&gt;AP$7),M!AG28,0)</f>
        <v/>
      </c>
      <c r="AQ28" s="97">
        <f>IF(AND(matrizOK,$A28&lt;=nVariables,AQ$7&lt;=nVariables,$A28&lt;&gt;AQ$7),M!AH28,0)</f>
        <v/>
      </c>
      <c r="AR28" s="97">
        <f>IF(AND(matrizOK,$A28&lt;=nVariables,AR$7&lt;=nVariables,$A28&lt;&gt;AR$7),M!AI28,0)</f>
        <v/>
      </c>
      <c r="AS28" s="97">
        <f>IF(AND(matrizOK,$A28&lt;=nVariables,AS$7&lt;=nVariables,$A28&lt;&gt;AS$7),M!AJ28,0)</f>
        <v/>
      </c>
      <c r="AT28" s="97">
        <f>IF(AND(matrizOK,$A28&lt;=nVariables,AT$7&lt;=nVariables,$A28&lt;&gt;AT$7),M!AK28,0)</f>
        <v/>
      </c>
      <c r="AU28" s="97">
        <f>IF(AND(matrizOK,$A28&lt;=nVariables,AU$7&lt;=nVariables,$A28&lt;&gt;AU$7),M!AL28,0)</f>
        <v/>
      </c>
      <c r="AV28" s="97">
        <f>IF(AND(matrizOK,$A28&lt;=nVariables,AV$7&lt;=nVariables,$A28&lt;&gt;AV$7),M!AM28,0)</f>
        <v/>
      </c>
      <c r="AW28" s="97">
        <f>IF(AND(matrizOK,$A28&lt;=nVariables,AW$7&lt;=nVariables,$A28&lt;&gt;AW$7),M!AN28,0)</f>
        <v/>
      </c>
      <c r="AX28" s="97">
        <f>IF(AND(matrizOK,$A28&lt;=nVariables,AX$7&lt;=nVariables,$A28&lt;&gt;AX$7),M!AO28,0)</f>
        <v/>
      </c>
      <c r="AY28" s="97">
        <f>IF(AND(matrizOK,$A28&lt;=nVariables,AY$7&lt;=nVariables,$A28&lt;&gt;AY$7),M!AP28,0)</f>
        <v/>
      </c>
      <c r="AZ28" s="97">
        <f>IF(AND(matrizOK,$A28&lt;=nVariables,AZ$7&lt;=nVariables,$A28&lt;&gt;AZ$7),M!AQ28,0)</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IF(AND(matrizOK,$A29&lt;=nVariables,M$7&lt;=nVariables,$A29&lt;&gt;M$7),M!D29,0)</f>
        <v/>
      </c>
      <c r="N29" s="97">
        <f>IF(AND(matrizOK,$A29&lt;=nVariables,N$7&lt;=nVariables,$A29&lt;&gt;N$7),M!E29,0)</f>
        <v/>
      </c>
      <c r="O29" s="97">
        <f>IF(AND(matrizOK,$A29&lt;=nVariables,O$7&lt;=nVariables,$A29&lt;&gt;O$7),M!F29,0)</f>
        <v/>
      </c>
      <c r="P29" s="97">
        <f>IF(AND(matrizOK,$A29&lt;=nVariables,P$7&lt;=nVariables,$A29&lt;&gt;P$7),M!G29,0)</f>
        <v/>
      </c>
      <c r="Q29" s="97">
        <f>IF(AND(matrizOK,$A29&lt;=nVariables,Q$7&lt;=nVariables,$A29&lt;&gt;Q$7),M!H29,0)</f>
        <v/>
      </c>
      <c r="R29" s="97">
        <f>IF(AND(matrizOK,$A29&lt;=nVariables,R$7&lt;=nVariables,$A29&lt;&gt;R$7),M!I29,0)</f>
        <v/>
      </c>
      <c r="S29" s="97">
        <f>IF(AND(matrizOK,$A29&lt;=nVariables,S$7&lt;=nVariables,$A29&lt;&gt;S$7),M!J29,0)</f>
        <v/>
      </c>
      <c r="T29" s="97">
        <f>IF(AND(matrizOK,$A29&lt;=nVariables,T$7&lt;=nVariables,$A29&lt;&gt;T$7),M!K29,0)</f>
        <v/>
      </c>
      <c r="U29" s="97">
        <f>IF(AND(matrizOK,$A29&lt;=nVariables,U$7&lt;=nVariables,$A29&lt;&gt;U$7),M!L29,0)</f>
        <v/>
      </c>
      <c r="V29" s="97">
        <f>IF(AND(matrizOK,$A29&lt;=nVariables,V$7&lt;=nVariables,$A29&lt;&gt;V$7),M!M29,0)</f>
        <v/>
      </c>
      <c r="W29" s="97">
        <f>IF(AND(matrizOK,$A29&lt;=nVariables,W$7&lt;=nVariables,$A29&lt;&gt;W$7),M!N29,0)</f>
        <v/>
      </c>
      <c r="X29" s="97">
        <f>IF(AND(matrizOK,$A29&lt;=nVariables,X$7&lt;=nVariables,$A29&lt;&gt;X$7),M!O29,0)</f>
        <v/>
      </c>
      <c r="Y29" s="97">
        <f>IF(AND(matrizOK,$A29&lt;=nVariables,Y$7&lt;=nVariables,$A29&lt;&gt;Y$7),M!P29,0)</f>
        <v/>
      </c>
      <c r="Z29" s="97">
        <f>IF(AND(matrizOK,$A29&lt;=nVariables,Z$7&lt;=nVariables,$A29&lt;&gt;Z$7),M!Q29,0)</f>
        <v/>
      </c>
      <c r="AA29" s="97">
        <f>IF(AND(matrizOK,$A29&lt;=nVariables,AA$7&lt;=nVariables,$A29&lt;&gt;AA$7),M!R29,0)</f>
        <v/>
      </c>
      <c r="AB29" s="97">
        <f>IF(AND(matrizOK,$A29&lt;=nVariables,AB$7&lt;=nVariables,$A29&lt;&gt;AB$7),M!S29,0)</f>
        <v/>
      </c>
      <c r="AC29" s="97">
        <f>IF(AND(matrizOK,$A29&lt;=nVariables,AC$7&lt;=nVariables,$A29&lt;&gt;AC$7),M!T29,0)</f>
        <v/>
      </c>
      <c r="AD29" s="97">
        <f>IF(AND(matrizOK,$A29&lt;=nVariables,AD$7&lt;=nVariables,$A29&lt;&gt;AD$7),M!U29,0)</f>
        <v/>
      </c>
      <c r="AE29" s="97">
        <f>IF(AND(matrizOK,$A29&lt;=nVariables,AE$7&lt;=nVariables,$A29&lt;&gt;AE$7),M!V29,0)</f>
        <v/>
      </c>
      <c r="AF29" s="97">
        <f>IF(AND(matrizOK,$A29&lt;=nVariables,AF$7&lt;=nVariables,$A29&lt;&gt;AF$7),M!W29,0)</f>
        <v/>
      </c>
      <c r="AG29" s="97">
        <f>IF(AND(matrizOK,$A29&lt;=nVariables,AG$7&lt;=nVariables,$A29&lt;&gt;AG$7),M!X29,0)</f>
        <v/>
      </c>
      <c r="AH29" s="97">
        <f>IF(AND(matrizOK,$A29&lt;=nVariables,AH$7&lt;=nVariables,$A29&lt;&gt;AH$7),M!Y29,0)</f>
        <v/>
      </c>
      <c r="AI29" s="97">
        <f>IF(AND(matrizOK,$A29&lt;=nVariables,AI$7&lt;=nVariables,$A29&lt;&gt;AI$7),M!Z29,0)</f>
        <v/>
      </c>
      <c r="AJ29" s="97">
        <f>IF(AND(matrizOK,$A29&lt;=nVariables,AJ$7&lt;=nVariables,$A29&lt;&gt;AJ$7),M!AA29,0)</f>
        <v/>
      </c>
      <c r="AK29" s="97">
        <f>IF(AND(matrizOK,$A29&lt;=nVariables,AK$7&lt;=nVariables,$A29&lt;&gt;AK$7),M!AB29,0)</f>
        <v/>
      </c>
      <c r="AL29" s="97">
        <f>IF(AND(matrizOK,$A29&lt;=nVariables,AL$7&lt;=nVariables,$A29&lt;&gt;AL$7),M!AC29,0)</f>
        <v/>
      </c>
      <c r="AM29" s="97">
        <f>IF(AND(matrizOK,$A29&lt;=nVariables,AM$7&lt;=nVariables,$A29&lt;&gt;AM$7),M!AD29,0)</f>
        <v/>
      </c>
      <c r="AN29" s="97">
        <f>IF(AND(matrizOK,$A29&lt;=nVariables,AN$7&lt;=nVariables,$A29&lt;&gt;AN$7),M!AE29,0)</f>
        <v/>
      </c>
      <c r="AO29" s="97">
        <f>IF(AND(matrizOK,$A29&lt;=nVariables,AO$7&lt;=nVariables,$A29&lt;&gt;AO$7),M!AF29,0)</f>
        <v/>
      </c>
      <c r="AP29" s="97">
        <f>IF(AND(matrizOK,$A29&lt;=nVariables,AP$7&lt;=nVariables,$A29&lt;&gt;AP$7),M!AG29,0)</f>
        <v/>
      </c>
      <c r="AQ29" s="97">
        <f>IF(AND(matrizOK,$A29&lt;=nVariables,AQ$7&lt;=nVariables,$A29&lt;&gt;AQ$7),M!AH29,0)</f>
        <v/>
      </c>
      <c r="AR29" s="97">
        <f>IF(AND(matrizOK,$A29&lt;=nVariables,AR$7&lt;=nVariables,$A29&lt;&gt;AR$7),M!AI29,0)</f>
        <v/>
      </c>
      <c r="AS29" s="97">
        <f>IF(AND(matrizOK,$A29&lt;=nVariables,AS$7&lt;=nVariables,$A29&lt;&gt;AS$7),M!AJ29,0)</f>
        <v/>
      </c>
      <c r="AT29" s="97">
        <f>IF(AND(matrizOK,$A29&lt;=nVariables,AT$7&lt;=nVariables,$A29&lt;&gt;AT$7),M!AK29,0)</f>
        <v/>
      </c>
      <c r="AU29" s="97">
        <f>IF(AND(matrizOK,$A29&lt;=nVariables,AU$7&lt;=nVariables,$A29&lt;&gt;AU$7),M!AL29,0)</f>
        <v/>
      </c>
      <c r="AV29" s="97">
        <f>IF(AND(matrizOK,$A29&lt;=nVariables,AV$7&lt;=nVariables,$A29&lt;&gt;AV$7),M!AM29,0)</f>
        <v/>
      </c>
      <c r="AW29" s="97">
        <f>IF(AND(matrizOK,$A29&lt;=nVariables,AW$7&lt;=nVariables,$A29&lt;&gt;AW$7),M!AN29,0)</f>
        <v/>
      </c>
      <c r="AX29" s="97">
        <f>IF(AND(matrizOK,$A29&lt;=nVariables,AX$7&lt;=nVariables,$A29&lt;&gt;AX$7),M!AO29,0)</f>
        <v/>
      </c>
      <c r="AY29" s="97">
        <f>IF(AND(matrizOK,$A29&lt;=nVariables,AY$7&lt;=nVariables,$A29&lt;&gt;AY$7),M!AP29,0)</f>
        <v/>
      </c>
      <c r="AZ29" s="97">
        <f>IF(AND(matrizOK,$A29&lt;=nVariables,AZ$7&lt;=nVariables,$A29&lt;&gt;AZ$7),M!AQ29,0)</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IF(AND(matrizOK,$A30&lt;=nVariables,M$7&lt;=nVariables,$A30&lt;&gt;M$7),M!D30,0)</f>
        <v/>
      </c>
      <c r="N30" s="97">
        <f>IF(AND(matrizOK,$A30&lt;=nVariables,N$7&lt;=nVariables,$A30&lt;&gt;N$7),M!E30,0)</f>
        <v/>
      </c>
      <c r="O30" s="97">
        <f>IF(AND(matrizOK,$A30&lt;=nVariables,O$7&lt;=nVariables,$A30&lt;&gt;O$7),M!F30,0)</f>
        <v/>
      </c>
      <c r="P30" s="97">
        <f>IF(AND(matrizOK,$A30&lt;=nVariables,P$7&lt;=nVariables,$A30&lt;&gt;P$7),M!G30,0)</f>
        <v/>
      </c>
      <c r="Q30" s="97">
        <f>IF(AND(matrizOK,$A30&lt;=nVariables,Q$7&lt;=nVariables,$A30&lt;&gt;Q$7),M!H30,0)</f>
        <v/>
      </c>
      <c r="R30" s="97">
        <f>IF(AND(matrizOK,$A30&lt;=nVariables,R$7&lt;=nVariables,$A30&lt;&gt;R$7),M!I30,0)</f>
        <v/>
      </c>
      <c r="S30" s="97">
        <f>IF(AND(matrizOK,$A30&lt;=nVariables,S$7&lt;=nVariables,$A30&lt;&gt;S$7),M!J30,0)</f>
        <v/>
      </c>
      <c r="T30" s="97">
        <f>IF(AND(matrizOK,$A30&lt;=nVariables,T$7&lt;=nVariables,$A30&lt;&gt;T$7),M!K30,0)</f>
        <v/>
      </c>
      <c r="U30" s="97">
        <f>IF(AND(matrizOK,$A30&lt;=nVariables,U$7&lt;=nVariables,$A30&lt;&gt;U$7),M!L30,0)</f>
        <v/>
      </c>
      <c r="V30" s="97">
        <f>IF(AND(matrizOK,$A30&lt;=nVariables,V$7&lt;=nVariables,$A30&lt;&gt;V$7),M!M30,0)</f>
        <v/>
      </c>
      <c r="W30" s="97">
        <f>IF(AND(matrizOK,$A30&lt;=nVariables,W$7&lt;=nVariables,$A30&lt;&gt;W$7),M!N30,0)</f>
        <v/>
      </c>
      <c r="X30" s="97">
        <f>IF(AND(matrizOK,$A30&lt;=nVariables,X$7&lt;=nVariables,$A30&lt;&gt;X$7),M!O30,0)</f>
        <v/>
      </c>
      <c r="Y30" s="97">
        <f>IF(AND(matrizOK,$A30&lt;=nVariables,Y$7&lt;=nVariables,$A30&lt;&gt;Y$7),M!P30,0)</f>
        <v/>
      </c>
      <c r="Z30" s="97">
        <f>IF(AND(matrizOK,$A30&lt;=nVariables,Z$7&lt;=nVariables,$A30&lt;&gt;Z$7),M!Q30,0)</f>
        <v/>
      </c>
      <c r="AA30" s="97">
        <f>IF(AND(matrizOK,$A30&lt;=nVariables,AA$7&lt;=nVariables,$A30&lt;&gt;AA$7),M!R30,0)</f>
        <v/>
      </c>
      <c r="AB30" s="97">
        <f>IF(AND(matrizOK,$A30&lt;=nVariables,AB$7&lt;=nVariables,$A30&lt;&gt;AB$7),M!S30,0)</f>
        <v/>
      </c>
      <c r="AC30" s="97">
        <f>IF(AND(matrizOK,$A30&lt;=nVariables,AC$7&lt;=nVariables,$A30&lt;&gt;AC$7),M!T30,0)</f>
        <v/>
      </c>
      <c r="AD30" s="97">
        <f>IF(AND(matrizOK,$A30&lt;=nVariables,AD$7&lt;=nVariables,$A30&lt;&gt;AD$7),M!U30,0)</f>
        <v/>
      </c>
      <c r="AE30" s="97">
        <f>IF(AND(matrizOK,$A30&lt;=nVariables,AE$7&lt;=nVariables,$A30&lt;&gt;AE$7),M!V30,0)</f>
        <v/>
      </c>
      <c r="AF30" s="97">
        <f>IF(AND(matrizOK,$A30&lt;=nVariables,AF$7&lt;=nVariables,$A30&lt;&gt;AF$7),M!W30,0)</f>
        <v/>
      </c>
      <c r="AG30" s="97">
        <f>IF(AND(matrizOK,$A30&lt;=nVariables,AG$7&lt;=nVariables,$A30&lt;&gt;AG$7),M!X30,0)</f>
        <v/>
      </c>
      <c r="AH30" s="97">
        <f>IF(AND(matrizOK,$A30&lt;=nVariables,AH$7&lt;=nVariables,$A30&lt;&gt;AH$7),M!Y30,0)</f>
        <v/>
      </c>
      <c r="AI30" s="97">
        <f>IF(AND(matrizOK,$A30&lt;=nVariables,AI$7&lt;=nVariables,$A30&lt;&gt;AI$7),M!Z30,0)</f>
        <v/>
      </c>
      <c r="AJ30" s="97">
        <f>IF(AND(matrizOK,$A30&lt;=nVariables,AJ$7&lt;=nVariables,$A30&lt;&gt;AJ$7),M!AA30,0)</f>
        <v/>
      </c>
      <c r="AK30" s="97">
        <f>IF(AND(matrizOK,$A30&lt;=nVariables,AK$7&lt;=nVariables,$A30&lt;&gt;AK$7),M!AB30,0)</f>
        <v/>
      </c>
      <c r="AL30" s="97">
        <f>IF(AND(matrizOK,$A30&lt;=nVariables,AL$7&lt;=nVariables,$A30&lt;&gt;AL$7),M!AC30,0)</f>
        <v/>
      </c>
      <c r="AM30" s="97">
        <f>IF(AND(matrizOK,$A30&lt;=nVariables,AM$7&lt;=nVariables,$A30&lt;&gt;AM$7),M!AD30,0)</f>
        <v/>
      </c>
      <c r="AN30" s="97">
        <f>IF(AND(matrizOK,$A30&lt;=nVariables,AN$7&lt;=nVariables,$A30&lt;&gt;AN$7),M!AE30,0)</f>
        <v/>
      </c>
      <c r="AO30" s="97">
        <f>IF(AND(matrizOK,$A30&lt;=nVariables,AO$7&lt;=nVariables,$A30&lt;&gt;AO$7),M!AF30,0)</f>
        <v/>
      </c>
      <c r="AP30" s="97">
        <f>IF(AND(matrizOK,$A30&lt;=nVariables,AP$7&lt;=nVariables,$A30&lt;&gt;AP$7),M!AG30,0)</f>
        <v/>
      </c>
      <c r="AQ30" s="97">
        <f>IF(AND(matrizOK,$A30&lt;=nVariables,AQ$7&lt;=nVariables,$A30&lt;&gt;AQ$7),M!AH30,0)</f>
        <v/>
      </c>
      <c r="AR30" s="97">
        <f>IF(AND(matrizOK,$A30&lt;=nVariables,AR$7&lt;=nVariables,$A30&lt;&gt;AR$7),M!AI30,0)</f>
        <v/>
      </c>
      <c r="AS30" s="97">
        <f>IF(AND(matrizOK,$A30&lt;=nVariables,AS$7&lt;=nVariables,$A30&lt;&gt;AS$7),M!AJ30,0)</f>
        <v/>
      </c>
      <c r="AT30" s="97">
        <f>IF(AND(matrizOK,$A30&lt;=nVariables,AT$7&lt;=nVariables,$A30&lt;&gt;AT$7),M!AK30,0)</f>
        <v/>
      </c>
      <c r="AU30" s="97">
        <f>IF(AND(matrizOK,$A30&lt;=nVariables,AU$7&lt;=nVariables,$A30&lt;&gt;AU$7),M!AL30,0)</f>
        <v/>
      </c>
      <c r="AV30" s="97">
        <f>IF(AND(matrizOK,$A30&lt;=nVariables,AV$7&lt;=nVariables,$A30&lt;&gt;AV$7),M!AM30,0)</f>
        <v/>
      </c>
      <c r="AW30" s="97">
        <f>IF(AND(matrizOK,$A30&lt;=nVariables,AW$7&lt;=nVariables,$A30&lt;&gt;AW$7),M!AN30,0)</f>
        <v/>
      </c>
      <c r="AX30" s="97">
        <f>IF(AND(matrizOK,$A30&lt;=nVariables,AX$7&lt;=nVariables,$A30&lt;&gt;AX$7),M!AO30,0)</f>
        <v/>
      </c>
      <c r="AY30" s="97">
        <f>IF(AND(matrizOK,$A30&lt;=nVariables,AY$7&lt;=nVariables,$A30&lt;&gt;AY$7),M!AP30,0)</f>
        <v/>
      </c>
      <c r="AZ30" s="97">
        <f>IF(AND(matrizOK,$A30&lt;=nVariables,AZ$7&lt;=nVariables,$A30&lt;&gt;AZ$7),M!AQ30,0)</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IF(AND(matrizOK,$A31&lt;=nVariables,M$7&lt;=nVariables,$A31&lt;&gt;M$7),M!D31,0)</f>
        <v/>
      </c>
      <c r="N31" s="97">
        <f>IF(AND(matrizOK,$A31&lt;=nVariables,N$7&lt;=nVariables,$A31&lt;&gt;N$7),M!E31,0)</f>
        <v/>
      </c>
      <c r="O31" s="97">
        <f>IF(AND(matrizOK,$A31&lt;=nVariables,O$7&lt;=nVariables,$A31&lt;&gt;O$7),M!F31,0)</f>
        <v/>
      </c>
      <c r="P31" s="97">
        <f>IF(AND(matrizOK,$A31&lt;=nVariables,P$7&lt;=nVariables,$A31&lt;&gt;P$7),M!G31,0)</f>
        <v/>
      </c>
      <c r="Q31" s="97">
        <f>IF(AND(matrizOK,$A31&lt;=nVariables,Q$7&lt;=nVariables,$A31&lt;&gt;Q$7),M!H31,0)</f>
        <v/>
      </c>
      <c r="R31" s="97">
        <f>IF(AND(matrizOK,$A31&lt;=nVariables,R$7&lt;=nVariables,$A31&lt;&gt;R$7),M!I31,0)</f>
        <v/>
      </c>
      <c r="S31" s="97">
        <f>IF(AND(matrizOK,$A31&lt;=nVariables,S$7&lt;=nVariables,$A31&lt;&gt;S$7),M!J31,0)</f>
        <v/>
      </c>
      <c r="T31" s="97">
        <f>IF(AND(matrizOK,$A31&lt;=nVariables,T$7&lt;=nVariables,$A31&lt;&gt;T$7),M!K31,0)</f>
        <v/>
      </c>
      <c r="U31" s="97">
        <f>IF(AND(matrizOK,$A31&lt;=nVariables,U$7&lt;=nVariables,$A31&lt;&gt;U$7),M!L31,0)</f>
        <v/>
      </c>
      <c r="V31" s="97">
        <f>IF(AND(matrizOK,$A31&lt;=nVariables,V$7&lt;=nVariables,$A31&lt;&gt;V$7),M!M31,0)</f>
        <v/>
      </c>
      <c r="W31" s="97">
        <f>IF(AND(matrizOK,$A31&lt;=nVariables,W$7&lt;=nVariables,$A31&lt;&gt;W$7),M!N31,0)</f>
        <v/>
      </c>
      <c r="X31" s="97">
        <f>IF(AND(matrizOK,$A31&lt;=nVariables,X$7&lt;=nVariables,$A31&lt;&gt;X$7),M!O31,0)</f>
        <v/>
      </c>
      <c r="Y31" s="97">
        <f>IF(AND(matrizOK,$A31&lt;=nVariables,Y$7&lt;=nVariables,$A31&lt;&gt;Y$7),M!P31,0)</f>
        <v/>
      </c>
      <c r="Z31" s="97">
        <f>IF(AND(matrizOK,$A31&lt;=nVariables,Z$7&lt;=nVariables,$A31&lt;&gt;Z$7),M!Q31,0)</f>
        <v/>
      </c>
      <c r="AA31" s="97">
        <f>IF(AND(matrizOK,$A31&lt;=nVariables,AA$7&lt;=nVariables,$A31&lt;&gt;AA$7),M!R31,0)</f>
        <v/>
      </c>
      <c r="AB31" s="97">
        <f>IF(AND(matrizOK,$A31&lt;=nVariables,AB$7&lt;=nVariables,$A31&lt;&gt;AB$7),M!S31,0)</f>
        <v/>
      </c>
      <c r="AC31" s="97">
        <f>IF(AND(matrizOK,$A31&lt;=nVariables,AC$7&lt;=nVariables,$A31&lt;&gt;AC$7),M!T31,0)</f>
        <v/>
      </c>
      <c r="AD31" s="97">
        <f>IF(AND(matrizOK,$A31&lt;=nVariables,AD$7&lt;=nVariables,$A31&lt;&gt;AD$7),M!U31,0)</f>
        <v/>
      </c>
      <c r="AE31" s="97">
        <f>IF(AND(matrizOK,$A31&lt;=nVariables,AE$7&lt;=nVariables,$A31&lt;&gt;AE$7),M!V31,0)</f>
        <v/>
      </c>
      <c r="AF31" s="97">
        <f>IF(AND(matrizOK,$A31&lt;=nVariables,AF$7&lt;=nVariables,$A31&lt;&gt;AF$7),M!W31,0)</f>
        <v/>
      </c>
      <c r="AG31" s="97">
        <f>IF(AND(matrizOK,$A31&lt;=nVariables,AG$7&lt;=nVariables,$A31&lt;&gt;AG$7),M!X31,0)</f>
        <v/>
      </c>
      <c r="AH31" s="97">
        <f>IF(AND(matrizOK,$A31&lt;=nVariables,AH$7&lt;=nVariables,$A31&lt;&gt;AH$7),M!Y31,0)</f>
        <v/>
      </c>
      <c r="AI31" s="97">
        <f>IF(AND(matrizOK,$A31&lt;=nVariables,AI$7&lt;=nVariables,$A31&lt;&gt;AI$7),M!Z31,0)</f>
        <v/>
      </c>
      <c r="AJ31" s="97">
        <f>IF(AND(matrizOK,$A31&lt;=nVariables,AJ$7&lt;=nVariables,$A31&lt;&gt;AJ$7),M!AA31,0)</f>
        <v/>
      </c>
      <c r="AK31" s="97">
        <f>IF(AND(matrizOK,$A31&lt;=nVariables,AK$7&lt;=nVariables,$A31&lt;&gt;AK$7),M!AB31,0)</f>
        <v/>
      </c>
      <c r="AL31" s="97">
        <f>IF(AND(matrizOK,$A31&lt;=nVariables,AL$7&lt;=nVariables,$A31&lt;&gt;AL$7),M!AC31,0)</f>
        <v/>
      </c>
      <c r="AM31" s="97">
        <f>IF(AND(matrizOK,$A31&lt;=nVariables,AM$7&lt;=nVariables,$A31&lt;&gt;AM$7),M!AD31,0)</f>
        <v/>
      </c>
      <c r="AN31" s="97">
        <f>IF(AND(matrizOK,$A31&lt;=nVariables,AN$7&lt;=nVariables,$A31&lt;&gt;AN$7),M!AE31,0)</f>
        <v/>
      </c>
      <c r="AO31" s="97">
        <f>IF(AND(matrizOK,$A31&lt;=nVariables,AO$7&lt;=nVariables,$A31&lt;&gt;AO$7),M!AF31,0)</f>
        <v/>
      </c>
      <c r="AP31" s="97">
        <f>IF(AND(matrizOK,$A31&lt;=nVariables,AP$7&lt;=nVariables,$A31&lt;&gt;AP$7),M!AG31,0)</f>
        <v/>
      </c>
      <c r="AQ31" s="97">
        <f>IF(AND(matrizOK,$A31&lt;=nVariables,AQ$7&lt;=nVariables,$A31&lt;&gt;AQ$7),M!AH31,0)</f>
        <v/>
      </c>
      <c r="AR31" s="97">
        <f>IF(AND(matrizOK,$A31&lt;=nVariables,AR$7&lt;=nVariables,$A31&lt;&gt;AR$7),M!AI31,0)</f>
        <v/>
      </c>
      <c r="AS31" s="97">
        <f>IF(AND(matrizOK,$A31&lt;=nVariables,AS$7&lt;=nVariables,$A31&lt;&gt;AS$7),M!AJ31,0)</f>
        <v/>
      </c>
      <c r="AT31" s="97">
        <f>IF(AND(matrizOK,$A31&lt;=nVariables,AT$7&lt;=nVariables,$A31&lt;&gt;AT$7),M!AK31,0)</f>
        <v/>
      </c>
      <c r="AU31" s="97">
        <f>IF(AND(matrizOK,$A31&lt;=nVariables,AU$7&lt;=nVariables,$A31&lt;&gt;AU$7),M!AL31,0)</f>
        <v/>
      </c>
      <c r="AV31" s="97">
        <f>IF(AND(matrizOK,$A31&lt;=nVariables,AV$7&lt;=nVariables,$A31&lt;&gt;AV$7),M!AM31,0)</f>
        <v/>
      </c>
      <c r="AW31" s="97">
        <f>IF(AND(matrizOK,$A31&lt;=nVariables,AW$7&lt;=nVariables,$A31&lt;&gt;AW$7),M!AN31,0)</f>
        <v/>
      </c>
      <c r="AX31" s="97">
        <f>IF(AND(matrizOK,$A31&lt;=nVariables,AX$7&lt;=nVariables,$A31&lt;&gt;AX$7),M!AO31,0)</f>
        <v/>
      </c>
      <c r="AY31" s="97">
        <f>IF(AND(matrizOK,$A31&lt;=nVariables,AY$7&lt;=nVariables,$A31&lt;&gt;AY$7),M!AP31,0)</f>
        <v/>
      </c>
      <c r="AZ31" s="97">
        <f>IF(AND(matrizOK,$A31&lt;=nVariables,AZ$7&lt;=nVariables,$A31&lt;&gt;AZ$7),M!AQ31,0)</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IF(AND(matrizOK,$A32&lt;=nVariables,M$7&lt;=nVariables,$A32&lt;&gt;M$7),M!D32,0)</f>
        <v/>
      </c>
      <c r="N32" s="97">
        <f>IF(AND(matrizOK,$A32&lt;=nVariables,N$7&lt;=nVariables,$A32&lt;&gt;N$7),M!E32,0)</f>
        <v/>
      </c>
      <c r="O32" s="97">
        <f>IF(AND(matrizOK,$A32&lt;=nVariables,O$7&lt;=nVariables,$A32&lt;&gt;O$7),M!F32,0)</f>
        <v/>
      </c>
      <c r="P32" s="97">
        <f>IF(AND(matrizOK,$A32&lt;=nVariables,P$7&lt;=nVariables,$A32&lt;&gt;P$7),M!G32,0)</f>
        <v/>
      </c>
      <c r="Q32" s="97">
        <f>IF(AND(matrizOK,$A32&lt;=nVariables,Q$7&lt;=nVariables,$A32&lt;&gt;Q$7),M!H32,0)</f>
        <v/>
      </c>
      <c r="R32" s="97">
        <f>IF(AND(matrizOK,$A32&lt;=nVariables,R$7&lt;=nVariables,$A32&lt;&gt;R$7),M!I32,0)</f>
        <v/>
      </c>
      <c r="S32" s="97">
        <f>IF(AND(matrizOK,$A32&lt;=nVariables,S$7&lt;=nVariables,$A32&lt;&gt;S$7),M!J32,0)</f>
        <v/>
      </c>
      <c r="T32" s="97">
        <f>IF(AND(matrizOK,$A32&lt;=nVariables,T$7&lt;=nVariables,$A32&lt;&gt;T$7),M!K32,0)</f>
        <v/>
      </c>
      <c r="U32" s="97">
        <f>IF(AND(matrizOK,$A32&lt;=nVariables,U$7&lt;=nVariables,$A32&lt;&gt;U$7),M!L32,0)</f>
        <v/>
      </c>
      <c r="V32" s="97">
        <f>IF(AND(matrizOK,$A32&lt;=nVariables,V$7&lt;=nVariables,$A32&lt;&gt;V$7),M!M32,0)</f>
        <v/>
      </c>
      <c r="W32" s="97">
        <f>IF(AND(matrizOK,$A32&lt;=nVariables,W$7&lt;=nVariables,$A32&lt;&gt;W$7),M!N32,0)</f>
        <v/>
      </c>
      <c r="X32" s="97">
        <f>IF(AND(matrizOK,$A32&lt;=nVariables,X$7&lt;=nVariables,$A32&lt;&gt;X$7),M!O32,0)</f>
        <v/>
      </c>
      <c r="Y32" s="97">
        <f>IF(AND(matrizOK,$A32&lt;=nVariables,Y$7&lt;=nVariables,$A32&lt;&gt;Y$7),M!P32,0)</f>
        <v/>
      </c>
      <c r="Z32" s="97">
        <f>IF(AND(matrizOK,$A32&lt;=nVariables,Z$7&lt;=nVariables,$A32&lt;&gt;Z$7),M!Q32,0)</f>
        <v/>
      </c>
      <c r="AA32" s="97">
        <f>IF(AND(matrizOK,$A32&lt;=nVariables,AA$7&lt;=nVariables,$A32&lt;&gt;AA$7),M!R32,0)</f>
        <v/>
      </c>
      <c r="AB32" s="97">
        <f>IF(AND(matrizOK,$A32&lt;=nVariables,AB$7&lt;=nVariables,$A32&lt;&gt;AB$7),M!S32,0)</f>
        <v/>
      </c>
      <c r="AC32" s="97">
        <f>IF(AND(matrizOK,$A32&lt;=nVariables,AC$7&lt;=nVariables,$A32&lt;&gt;AC$7),M!T32,0)</f>
        <v/>
      </c>
      <c r="AD32" s="97">
        <f>IF(AND(matrizOK,$A32&lt;=nVariables,AD$7&lt;=nVariables,$A32&lt;&gt;AD$7),M!U32,0)</f>
        <v/>
      </c>
      <c r="AE32" s="97">
        <f>IF(AND(matrizOK,$A32&lt;=nVariables,AE$7&lt;=nVariables,$A32&lt;&gt;AE$7),M!V32,0)</f>
        <v/>
      </c>
      <c r="AF32" s="97">
        <f>IF(AND(matrizOK,$A32&lt;=nVariables,AF$7&lt;=nVariables,$A32&lt;&gt;AF$7),M!W32,0)</f>
        <v/>
      </c>
      <c r="AG32" s="97">
        <f>IF(AND(matrizOK,$A32&lt;=nVariables,AG$7&lt;=nVariables,$A32&lt;&gt;AG$7),M!X32,0)</f>
        <v/>
      </c>
      <c r="AH32" s="97">
        <f>IF(AND(matrizOK,$A32&lt;=nVariables,AH$7&lt;=nVariables,$A32&lt;&gt;AH$7),M!Y32,0)</f>
        <v/>
      </c>
      <c r="AI32" s="97">
        <f>IF(AND(matrizOK,$A32&lt;=nVariables,AI$7&lt;=nVariables,$A32&lt;&gt;AI$7),M!Z32,0)</f>
        <v/>
      </c>
      <c r="AJ32" s="97">
        <f>IF(AND(matrizOK,$A32&lt;=nVariables,AJ$7&lt;=nVariables,$A32&lt;&gt;AJ$7),M!AA32,0)</f>
        <v/>
      </c>
      <c r="AK32" s="97">
        <f>IF(AND(matrizOK,$A32&lt;=nVariables,AK$7&lt;=nVariables,$A32&lt;&gt;AK$7),M!AB32,0)</f>
        <v/>
      </c>
      <c r="AL32" s="97">
        <f>IF(AND(matrizOK,$A32&lt;=nVariables,AL$7&lt;=nVariables,$A32&lt;&gt;AL$7),M!AC32,0)</f>
        <v/>
      </c>
      <c r="AM32" s="97">
        <f>IF(AND(matrizOK,$A32&lt;=nVariables,AM$7&lt;=nVariables,$A32&lt;&gt;AM$7),M!AD32,0)</f>
        <v/>
      </c>
      <c r="AN32" s="97">
        <f>IF(AND(matrizOK,$A32&lt;=nVariables,AN$7&lt;=nVariables,$A32&lt;&gt;AN$7),M!AE32,0)</f>
        <v/>
      </c>
      <c r="AO32" s="97">
        <f>IF(AND(matrizOK,$A32&lt;=nVariables,AO$7&lt;=nVariables,$A32&lt;&gt;AO$7),M!AF32,0)</f>
        <v/>
      </c>
      <c r="AP32" s="97">
        <f>IF(AND(matrizOK,$A32&lt;=nVariables,AP$7&lt;=nVariables,$A32&lt;&gt;AP$7),M!AG32,0)</f>
        <v/>
      </c>
      <c r="AQ32" s="97">
        <f>IF(AND(matrizOK,$A32&lt;=nVariables,AQ$7&lt;=nVariables,$A32&lt;&gt;AQ$7),M!AH32,0)</f>
        <v/>
      </c>
      <c r="AR32" s="97">
        <f>IF(AND(matrizOK,$A32&lt;=nVariables,AR$7&lt;=nVariables,$A32&lt;&gt;AR$7),M!AI32,0)</f>
        <v/>
      </c>
      <c r="AS32" s="97">
        <f>IF(AND(matrizOK,$A32&lt;=nVariables,AS$7&lt;=nVariables,$A32&lt;&gt;AS$7),M!AJ32,0)</f>
        <v/>
      </c>
      <c r="AT32" s="97">
        <f>IF(AND(matrizOK,$A32&lt;=nVariables,AT$7&lt;=nVariables,$A32&lt;&gt;AT$7),M!AK32,0)</f>
        <v/>
      </c>
      <c r="AU32" s="97">
        <f>IF(AND(matrizOK,$A32&lt;=nVariables,AU$7&lt;=nVariables,$A32&lt;&gt;AU$7),M!AL32,0)</f>
        <v/>
      </c>
      <c r="AV32" s="97">
        <f>IF(AND(matrizOK,$A32&lt;=nVariables,AV$7&lt;=nVariables,$A32&lt;&gt;AV$7),M!AM32,0)</f>
        <v/>
      </c>
      <c r="AW32" s="97">
        <f>IF(AND(matrizOK,$A32&lt;=nVariables,AW$7&lt;=nVariables,$A32&lt;&gt;AW$7),M!AN32,0)</f>
        <v/>
      </c>
      <c r="AX32" s="97">
        <f>IF(AND(matrizOK,$A32&lt;=nVariables,AX$7&lt;=nVariables,$A32&lt;&gt;AX$7),M!AO32,0)</f>
        <v/>
      </c>
      <c r="AY32" s="97">
        <f>IF(AND(matrizOK,$A32&lt;=nVariables,AY$7&lt;=nVariables,$A32&lt;&gt;AY$7),M!AP32,0)</f>
        <v/>
      </c>
      <c r="AZ32" s="97">
        <f>IF(AND(matrizOK,$A32&lt;=nVariables,AZ$7&lt;=nVariables,$A32&lt;&gt;AZ$7),M!AQ32,0)</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IF(AND(matrizOK,$A33&lt;=nVariables,M$7&lt;=nVariables,$A33&lt;&gt;M$7),M!D33,0)</f>
        <v/>
      </c>
      <c r="N33" s="97">
        <f>IF(AND(matrizOK,$A33&lt;=nVariables,N$7&lt;=nVariables,$A33&lt;&gt;N$7),M!E33,0)</f>
        <v/>
      </c>
      <c r="O33" s="97">
        <f>IF(AND(matrizOK,$A33&lt;=nVariables,O$7&lt;=nVariables,$A33&lt;&gt;O$7),M!F33,0)</f>
        <v/>
      </c>
      <c r="P33" s="97">
        <f>IF(AND(matrizOK,$A33&lt;=nVariables,P$7&lt;=nVariables,$A33&lt;&gt;P$7),M!G33,0)</f>
        <v/>
      </c>
      <c r="Q33" s="97">
        <f>IF(AND(matrizOK,$A33&lt;=nVariables,Q$7&lt;=nVariables,$A33&lt;&gt;Q$7),M!H33,0)</f>
        <v/>
      </c>
      <c r="R33" s="97">
        <f>IF(AND(matrizOK,$A33&lt;=nVariables,R$7&lt;=nVariables,$A33&lt;&gt;R$7),M!I33,0)</f>
        <v/>
      </c>
      <c r="S33" s="97">
        <f>IF(AND(matrizOK,$A33&lt;=nVariables,S$7&lt;=nVariables,$A33&lt;&gt;S$7),M!J33,0)</f>
        <v/>
      </c>
      <c r="T33" s="97">
        <f>IF(AND(matrizOK,$A33&lt;=nVariables,T$7&lt;=nVariables,$A33&lt;&gt;T$7),M!K33,0)</f>
        <v/>
      </c>
      <c r="U33" s="97">
        <f>IF(AND(matrizOK,$A33&lt;=nVariables,U$7&lt;=nVariables,$A33&lt;&gt;U$7),M!L33,0)</f>
        <v/>
      </c>
      <c r="V33" s="97">
        <f>IF(AND(matrizOK,$A33&lt;=nVariables,V$7&lt;=nVariables,$A33&lt;&gt;V$7),M!M33,0)</f>
        <v/>
      </c>
      <c r="W33" s="97">
        <f>IF(AND(matrizOK,$A33&lt;=nVariables,W$7&lt;=nVariables,$A33&lt;&gt;W$7),M!N33,0)</f>
        <v/>
      </c>
      <c r="X33" s="97">
        <f>IF(AND(matrizOK,$A33&lt;=nVariables,X$7&lt;=nVariables,$A33&lt;&gt;X$7),M!O33,0)</f>
        <v/>
      </c>
      <c r="Y33" s="97">
        <f>IF(AND(matrizOK,$A33&lt;=nVariables,Y$7&lt;=nVariables,$A33&lt;&gt;Y$7),M!P33,0)</f>
        <v/>
      </c>
      <c r="Z33" s="97">
        <f>IF(AND(matrizOK,$A33&lt;=nVariables,Z$7&lt;=nVariables,$A33&lt;&gt;Z$7),M!Q33,0)</f>
        <v/>
      </c>
      <c r="AA33" s="97">
        <f>IF(AND(matrizOK,$A33&lt;=nVariables,AA$7&lt;=nVariables,$A33&lt;&gt;AA$7),M!R33,0)</f>
        <v/>
      </c>
      <c r="AB33" s="97">
        <f>IF(AND(matrizOK,$A33&lt;=nVariables,AB$7&lt;=nVariables,$A33&lt;&gt;AB$7),M!S33,0)</f>
        <v/>
      </c>
      <c r="AC33" s="97">
        <f>IF(AND(matrizOK,$A33&lt;=nVariables,AC$7&lt;=nVariables,$A33&lt;&gt;AC$7),M!T33,0)</f>
        <v/>
      </c>
      <c r="AD33" s="97">
        <f>IF(AND(matrizOK,$A33&lt;=nVariables,AD$7&lt;=nVariables,$A33&lt;&gt;AD$7),M!U33,0)</f>
        <v/>
      </c>
      <c r="AE33" s="97">
        <f>IF(AND(matrizOK,$A33&lt;=nVariables,AE$7&lt;=nVariables,$A33&lt;&gt;AE$7),M!V33,0)</f>
        <v/>
      </c>
      <c r="AF33" s="97">
        <f>IF(AND(matrizOK,$A33&lt;=nVariables,AF$7&lt;=nVariables,$A33&lt;&gt;AF$7),M!W33,0)</f>
        <v/>
      </c>
      <c r="AG33" s="97">
        <f>IF(AND(matrizOK,$A33&lt;=nVariables,AG$7&lt;=nVariables,$A33&lt;&gt;AG$7),M!X33,0)</f>
        <v/>
      </c>
      <c r="AH33" s="97">
        <f>IF(AND(matrizOK,$A33&lt;=nVariables,AH$7&lt;=nVariables,$A33&lt;&gt;AH$7),M!Y33,0)</f>
        <v/>
      </c>
      <c r="AI33" s="97">
        <f>IF(AND(matrizOK,$A33&lt;=nVariables,AI$7&lt;=nVariables,$A33&lt;&gt;AI$7),M!Z33,0)</f>
        <v/>
      </c>
      <c r="AJ33" s="97">
        <f>IF(AND(matrizOK,$A33&lt;=nVariables,AJ$7&lt;=nVariables,$A33&lt;&gt;AJ$7),M!AA33,0)</f>
        <v/>
      </c>
      <c r="AK33" s="97">
        <f>IF(AND(matrizOK,$A33&lt;=nVariables,AK$7&lt;=nVariables,$A33&lt;&gt;AK$7),M!AB33,0)</f>
        <v/>
      </c>
      <c r="AL33" s="97">
        <f>IF(AND(matrizOK,$A33&lt;=nVariables,AL$7&lt;=nVariables,$A33&lt;&gt;AL$7),M!AC33,0)</f>
        <v/>
      </c>
      <c r="AM33" s="97">
        <f>IF(AND(matrizOK,$A33&lt;=nVariables,AM$7&lt;=nVariables,$A33&lt;&gt;AM$7),M!AD33,0)</f>
        <v/>
      </c>
      <c r="AN33" s="97">
        <f>IF(AND(matrizOK,$A33&lt;=nVariables,AN$7&lt;=nVariables,$A33&lt;&gt;AN$7),M!AE33,0)</f>
        <v/>
      </c>
      <c r="AO33" s="97">
        <f>IF(AND(matrizOK,$A33&lt;=nVariables,AO$7&lt;=nVariables,$A33&lt;&gt;AO$7),M!AF33,0)</f>
        <v/>
      </c>
      <c r="AP33" s="97">
        <f>IF(AND(matrizOK,$A33&lt;=nVariables,AP$7&lt;=nVariables,$A33&lt;&gt;AP$7),M!AG33,0)</f>
        <v/>
      </c>
      <c r="AQ33" s="97">
        <f>IF(AND(matrizOK,$A33&lt;=nVariables,AQ$7&lt;=nVariables,$A33&lt;&gt;AQ$7),M!AH33,0)</f>
        <v/>
      </c>
      <c r="AR33" s="97">
        <f>IF(AND(matrizOK,$A33&lt;=nVariables,AR$7&lt;=nVariables,$A33&lt;&gt;AR$7),M!AI33,0)</f>
        <v/>
      </c>
      <c r="AS33" s="97">
        <f>IF(AND(matrizOK,$A33&lt;=nVariables,AS$7&lt;=nVariables,$A33&lt;&gt;AS$7),M!AJ33,0)</f>
        <v/>
      </c>
      <c r="AT33" s="97">
        <f>IF(AND(matrizOK,$A33&lt;=nVariables,AT$7&lt;=nVariables,$A33&lt;&gt;AT$7),M!AK33,0)</f>
        <v/>
      </c>
      <c r="AU33" s="97">
        <f>IF(AND(matrizOK,$A33&lt;=nVariables,AU$7&lt;=nVariables,$A33&lt;&gt;AU$7),M!AL33,0)</f>
        <v/>
      </c>
      <c r="AV33" s="97">
        <f>IF(AND(matrizOK,$A33&lt;=nVariables,AV$7&lt;=nVariables,$A33&lt;&gt;AV$7),M!AM33,0)</f>
        <v/>
      </c>
      <c r="AW33" s="97">
        <f>IF(AND(matrizOK,$A33&lt;=nVariables,AW$7&lt;=nVariables,$A33&lt;&gt;AW$7),M!AN33,0)</f>
        <v/>
      </c>
      <c r="AX33" s="97">
        <f>IF(AND(matrizOK,$A33&lt;=nVariables,AX$7&lt;=nVariables,$A33&lt;&gt;AX$7),M!AO33,0)</f>
        <v/>
      </c>
      <c r="AY33" s="97">
        <f>IF(AND(matrizOK,$A33&lt;=nVariables,AY$7&lt;=nVariables,$A33&lt;&gt;AY$7),M!AP33,0)</f>
        <v/>
      </c>
      <c r="AZ33" s="97">
        <f>IF(AND(matrizOK,$A33&lt;=nVariables,AZ$7&lt;=nVariables,$A33&lt;&gt;AZ$7),M!AQ33,0)</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IF(AND(matrizOK,$A34&lt;=nVariables,M$7&lt;=nVariables,$A34&lt;&gt;M$7),M!D34,0)</f>
        <v/>
      </c>
      <c r="N34" s="97">
        <f>IF(AND(matrizOK,$A34&lt;=nVariables,N$7&lt;=nVariables,$A34&lt;&gt;N$7),M!E34,0)</f>
        <v/>
      </c>
      <c r="O34" s="97">
        <f>IF(AND(matrizOK,$A34&lt;=nVariables,O$7&lt;=nVariables,$A34&lt;&gt;O$7),M!F34,0)</f>
        <v/>
      </c>
      <c r="P34" s="97">
        <f>IF(AND(matrizOK,$A34&lt;=nVariables,P$7&lt;=nVariables,$A34&lt;&gt;P$7),M!G34,0)</f>
        <v/>
      </c>
      <c r="Q34" s="97">
        <f>IF(AND(matrizOK,$A34&lt;=nVariables,Q$7&lt;=nVariables,$A34&lt;&gt;Q$7),M!H34,0)</f>
        <v/>
      </c>
      <c r="R34" s="97">
        <f>IF(AND(matrizOK,$A34&lt;=nVariables,R$7&lt;=nVariables,$A34&lt;&gt;R$7),M!I34,0)</f>
        <v/>
      </c>
      <c r="S34" s="97">
        <f>IF(AND(matrizOK,$A34&lt;=nVariables,S$7&lt;=nVariables,$A34&lt;&gt;S$7),M!J34,0)</f>
        <v/>
      </c>
      <c r="T34" s="97">
        <f>IF(AND(matrizOK,$A34&lt;=nVariables,T$7&lt;=nVariables,$A34&lt;&gt;T$7),M!K34,0)</f>
        <v/>
      </c>
      <c r="U34" s="97">
        <f>IF(AND(matrizOK,$A34&lt;=nVariables,U$7&lt;=nVariables,$A34&lt;&gt;U$7),M!L34,0)</f>
        <v/>
      </c>
      <c r="V34" s="97">
        <f>IF(AND(matrizOK,$A34&lt;=nVariables,V$7&lt;=nVariables,$A34&lt;&gt;V$7),M!M34,0)</f>
        <v/>
      </c>
      <c r="W34" s="97">
        <f>IF(AND(matrizOK,$A34&lt;=nVariables,W$7&lt;=nVariables,$A34&lt;&gt;W$7),M!N34,0)</f>
        <v/>
      </c>
      <c r="X34" s="97">
        <f>IF(AND(matrizOK,$A34&lt;=nVariables,X$7&lt;=nVariables,$A34&lt;&gt;X$7),M!O34,0)</f>
        <v/>
      </c>
      <c r="Y34" s="97">
        <f>IF(AND(matrizOK,$A34&lt;=nVariables,Y$7&lt;=nVariables,$A34&lt;&gt;Y$7),M!P34,0)</f>
        <v/>
      </c>
      <c r="Z34" s="97">
        <f>IF(AND(matrizOK,$A34&lt;=nVariables,Z$7&lt;=nVariables,$A34&lt;&gt;Z$7),M!Q34,0)</f>
        <v/>
      </c>
      <c r="AA34" s="97">
        <f>IF(AND(matrizOK,$A34&lt;=nVariables,AA$7&lt;=nVariables,$A34&lt;&gt;AA$7),M!R34,0)</f>
        <v/>
      </c>
      <c r="AB34" s="97">
        <f>IF(AND(matrizOK,$A34&lt;=nVariables,AB$7&lt;=nVariables,$A34&lt;&gt;AB$7),M!S34,0)</f>
        <v/>
      </c>
      <c r="AC34" s="97">
        <f>IF(AND(matrizOK,$A34&lt;=nVariables,AC$7&lt;=nVariables,$A34&lt;&gt;AC$7),M!T34,0)</f>
        <v/>
      </c>
      <c r="AD34" s="97">
        <f>IF(AND(matrizOK,$A34&lt;=nVariables,AD$7&lt;=nVariables,$A34&lt;&gt;AD$7),M!U34,0)</f>
        <v/>
      </c>
      <c r="AE34" s="97">
        <f>IF(AND(matrizOK,$A34&lt;=nVariables,AE$7&lt;=nVariables,$A34&lt;&gt;AE$7),M!V34,0)</f>
        <v/>
      </c>
      <c r="AF34" s="97">
        <f>IF(AND(matrizOK,$A34&lt;=nVariables,AF$7&lt;=nVariables,$A34&lt;&gt;AF$7),M!W34,0)</f>
        <v/>
      </c>
      <c r="AG34" s="97">
        <f>IF(AND(matrizOK,$A34&lt;=nVariables,AG$7&lt;=nVariables,$A34&lt;&gt;AG$7),M!X34,0)</f>
        <v/>
      </c>
      <c r="AH34" s="97">
        <f>IF(AND(matrizOK,$A34&lt;=nVariables,AH$7&lt;=nVariables,$A34&lt;&gt;AH$7),M!Y34,0)</f>
        <v/>
      </c>
      <c r="AI34" s="97">
        <f>IF(AND(matrizOK,$A34&lt;=nVariables,AI$7&lt;=nVariables,$A34&lt;&gt;AI$7),M!Z34,0)</f>
        <v/>
      </c>
      <c r="AJ34" s="97">
        <f>IF(AND(matrizOK,$A34&lt;=nVariables,AJ$7&lt;=nVariables,$A34&lt;&gt;AJ$7),M!AA34,0)</f>
        <v/>
      </c>
      <c r="AK34" s="97">
        <f>IF(AND(matrizOK,$A34&lt;=nVariables,AK$7&lt;=nVariables,$A34&lt;&gt;AK$7),M!AB34,0)</f>
        <v/>
      </c>
      <c r="AL34" s="97">
        <f>IF(AND(matrizOK,$A34&lt;=nVariables,AL$7&lt;=nVariables,$A34&lt;&gt;AL$7),M!AC34,0)</f>
        <v/>
      </c>
      <c r="AM34" s="97">
        <f>IF(AND(matrizOK,$A34&lt;=nVariables,AM$7&lt;=nVariables,$A34&lt;&gt;AM$7),M!AD34,0)</f>
        <v/>
      </c>
      <c r="AN34" s="97">
        <f>IF(AND(matrizOK,$A34&lt;=nVariables,AN$7&lt;=nVariables,$A34&lt;&gt;AN$7),M!AE34,0)</f>
        <v/>
      </c>
      <c r="AO34" s="97">
        <f>IF(AND(matrizOK,$A34&lt;=nVariables,AO$7&lt;=nVariables,$A34&lt;&gt;AO$7),M!AF34,0)</f>
        <v/>
      </c>
      <c r="AP34" s="97">
        <f>IF(AND(matrizOK,$A34&lt;=nVariables,AP$7&lt;=nVariables,$A34&lt;&gt;AP$7),M!AG34,0)</f>
        <v/>
      </c>
      <c r="AQ34" s="97">
        <f>IF(AND(matrizOK,$A34&lt;=nVariables,AQ$7&lt;=nVariables,$A34&lt;&gt;AQ$7),M!AH34,0)</f>
        <v/>
      </c>
      <c r="AR34" s="97">
        <f>IF(AND(matrizOK,$A34&lt;=nVariables,AR$7&lt;=nVariables,$A34&lt;&gt;AR$7),M!AI34,0)</f>
        <v/>
      </c>
      <c r="AS34" s="97">
        <f>IF(AND(matrizOK,$A34&lt;=nVariables,AS$7&lt;=nVariables,$A34&lt;&gt;AS$7),M!AJ34,0)</f>
        <v/>
      </c>
      <c r="AT34" s="97">
        <f>IF(AND(matrizOK,$A34&lt;=nVariables,AT$7&lt;=nVariables,$A34&lt;&gt;AT$7),M!AK34,0)</f>
        <v/>
      </c>
      <c r="AU34" s="97">
        <f>IF(AND(matrizOK,$A34&lt;=nVariables,AU$7&lt;=nVariables,$A34&lt;&gt;AU$7),M!AL34,0)</f>
        <v/>
      </c>
      <c r="AV34" s="97">
        <f>IF(AND(matrizOK,$A34&lt;=nVariables,AV$7&lt;=nVariables,$A34&lt;&gt;AV$7),M!AM34,0)</f>
        <v/>
      </c>
      <c r="AW34" s="97">
        <f>IF(AND(matrizOK,$A34&lt;=nVariables,AW$7&lt;=nVariables,$A34&lt;&gt;AW$7),M!AN34,0)</f>
        <v/>
      </c>
      <c r="AX34" s="97">
        <f>IF(AND(matrizOK,$A34&lt;=nVariables,AX$7&lt;=nVariables,$A34&lt;&gt;AX$7),M!AO34,0)</f>
        <v/>
      </c>
      <c r="AY34" s="97">
        <f>IF(AND(matrizOK,$A34&lt;=nVariables,AY$7&lt;=nVariables,$A34&lt;&gt;AY$7),M!AP34,0)</f>
        <v/>
      </c>
      <c r="AZ34" s="97">
        <f>IF(AND(matrizOK,$A34&lt;=nVariables,AZ$7&lt;=nVariables,$A34&lt;&gt;AZ$7),M!AQ34,0)</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IF(AND(matrizOK,$A35&lt;=nVariables,M$7&lt;=nVariables,$A35&lt;&gt;M$7),M!D35,0)</f>
        <v/>
      </c>
      <c r="N35" s="97">
        <f>IF(AND(matrizOK,$A35&lt;=nVariables,N$7&lt;=nVariables,$A35&lt;&gt;N$7),M!E35,0)</f>
        <v/>
      </c>
      <c r="O35" s="97">
        <f>IF(AND(matrizOK,$A35&lt;=nVariables,O$7&lt;=nVariables,$A35&lt;&gt;O$7),M!F35,0)</f>
        <v/>
      </c>
      <c r="P35" s="97">
        <f>IF(AND(matrizOK,$A35&lt;=nVariables,P$7&lt;=nVariables,$A35&lt;&gt;P$7),M!G35,0)</f>
        <v/>
      </c>
      <c r="Q35" s="97">
        <f>IF(AND(matrizOK,$A35&lt;=nVariables,Q$7&lt;=nVariables,$A35&lt;&gt;Q$7),M!H35,0)</f>
        <v/>
      </c>
      <c r="R35" s="97">
        <f>IF(AND(matrizOK,$A35&lt;=nVariables,R$7&lt;=nVariables,$A35&lt;&gt;R$7),M!I35,0)</f>
        <v/>
      </c>
      <c r="S35" s="97">
        <f>IF(AND(matrizOK,$A35&lt;=nVariables,S$7&lt;=nVariables,$A35&lt;&gt;S$7),M!J35,0)</f>
        <v/>
      </c>
      <c r="T35" s="97">
        <f>IF(AND(matrizOK,$A35&lt;=nVariables,T$7&lt;=nVariables,$A35&lt;&gt;T$7),M!K35,0)</f>
        <v/>
      </c>
      <c r="U35" s="97">
        <f>IF(AND(matrizOK,$A35&lt;=nVariables,U$7&lt;=nVariables,$A35&lt;&gt;U$7),M!L35,0)</f>
        <v/>
      </c>
      <c r="V35" s="97">
        <f>IF(AND(matrizOK,$A35&lt;=nVariables,V$7&lt;=nVariables,$A35&lt;&gt;V$7),M!M35,0)</f>
        <v/>
      </c>
      <c r="W35" s="97">
        <f>IF(AND(matrizOK,$A35&lt;=nVariables,W$7&lt;=nVariables,$A35&lt;&gt;W$7),M!N35,0)</f>
        <v/>
      </c>
      <c r="X35" s="97">
        <f>IF(AND(matrizOK,$A35&lt;=nVariables,X$7&lt;=nVariables,$A35&lt;&gt;X$7),M!O35,0)</f>
        <v/>
      </c>
      <c r="Y35" s="97">
        <f>IF(AND(matrizOK,$A35&lt;=nVariables,Y$7&lt;=nVariables,$A35&lt;&gt;Y$7),M!P35,0)</f>
        <v/>
      </c>
      <c r="Z35" s="97">
        <f>IF(AND(matrizOK,$A35&lt;=nVariables,Z$7&lt;=nVariables,$A35&lt;&gt;Z$7),M!Q35,0)</f>
        <v/>
      </c>
      <c r="AA35" s="97">
        <f>IF(AND(matrizOK,$A35&lt;=nVariables,AA$7&lt;=nVariables,$A35&lt;&gt;AA$7),M!R35,0)</f>
        <v/>
      </c>
      <c r="AB35" s="97">
        <f>IF(AND(matrizOK,$A35&lt;=nVariables,AB$7&lt;=nVariables,$A35&lt;&gt;AB$7),M!S35,0)</f>
        <v/>
      </c>
      <c r="AC35" s="97">
        <f>IF(AND(matrizOK,$A35&lt;=nVariables,AC$7&lt;=nVariables,$A35&lt;&gt;AC$7),M!T35,0)</f>
        <v/>
      </c>
      <c r="AD35" s="97">
        <f>IF(AND(matrizOK,$A35&lt;=nVariables,AD$7&lt;=nVariables,$A35&lt;&gt;AD$7),M!U35,0)</f>
        <v/>
      </c>
      <c r="AE35" s="97">
        <f>IF(AND(matrizOK,$A35&lt;=nVariables,AE$7&lt;=nVariables,$A35&lt;&gt;AE$7),M!V35,0)</f>
        <v/>
      </c>
      <c r="AF35" s="97">
        <f>IF(AND(matrizOK,$A35&lt;=nVariables,AF$7&lt;=nVariables,$A35&lt;&gt;AF$7),M!W35,0)</f>
        <v/>
      </c>
      <c r="AG35" s="97">
        <f>IF(AND(matrizOK,$A35&lt;=nVariables,AG$7&lt;=nVariables,$A35&lt;&gt;AG$7),M!X35,0)</f>
        <v/>
      </c>
      <c r="AH35" s="97">
        <f>IF(AND(matrizOK,$A35&lt;=nVariables,AH$7&lt;=nVariables,$A35&lt;&gt;AH$7),M!Y35,0)</f>
        <v/>
      </c>
      <c r="AI35" s="97">
        <f>IF(AND(matrizOK,$A35&lt;=nVariables,AI$7&lt;=nVariables,$A35&lt;&gt;AI$7),M!Z35,0)</f>
        <v/>
      </c>
      <c r="AJ35" s="97">
        <f>IF(AND(matrizOK,$A35&lt;=nVariables,AJ$7&lt;=nVariables,$A35&lt;&gt;AJ$7),M!AA35,0)</f>
        <v/>
      </c>
      <c r="AK35" s="97">
        <f>IF(AND(matrizOK,$A35&lt;=nVariables,AK$7&lt;=nVariables,$A35&lt;&gt;AK$7),M!AB35,0)</f>
        <v/>
      </c>
      <c r="AL35" s="97">
        <f>IF(AND(matrizOK,$A35&lt;=nVariables,AL$7&lt;=nVariables,$A35&lt;&gt;AL$7),M!AC35,0)</f>
        <v/>
      </c>
      <c r="AM35" s="97">
        <f>IF(AND(matrizOK,$A35&lt;=nVariables,AM$7&lt;=nVariables,$A35&lt;&gt;AM$7),M!AD35,0)</f>
        <v/>
      </c>
      <c r="AN35" s="97">
        <f>IF(AND(matrizOK,$A35&lt;=nVariables,AN$7&lt;=nVariables,$A35&lt;&gt;AN$7),M!AE35,0)</f>
        <v/>
      </c>
      <c r="AO35" s="97">
        <f>IF(AND(matrizOK,$A35&lt;=nVariables,AO$7&lt;=nVariables,$A35&lt;&gt;AO$7),M!AF35,0)</f>
        <v/>
      </c>
      <c r="AP35" s="97">
        <f>IF(AND(matrizOK,$A35&lt;=nVariables,AP$7&lt;=nVariables,$A35&lt;&gt;AP$7),M!AG35,0)</f>
        <v/>
      </c>
      <c r="AQ35" s="97">
        <f>IF(AND(matrizOK,$A35&lt;=nVariables,AQ$7&lt;=nVariables,$A35&lt;&gt;AQ$7),M!AH35,0)</f>
        <v/>
      </c>
      <c r="AR35" s="97">
        <f>IF(AND(matrizOK,$A35&lt;=nVariables,AR$7&lt;=nVariables,$A35&lt;&gt;AR$7),M!AI35,0)</f>
        <v/>
      </c>
      <c r="AS35" s="97">
        <f>IF(AND(matrizOK,$A35&lt;=nVariables,AS$7&lt;=nVariables,$A35&lt;&gt;AS$7),M!AJ35,0)</f>
        <v/>
      </c>
      <c r="AT35" s="97">
        <f>IF(AND(matrizOK,$A35&lt;=nVariables,AT$7&lt;=nVariables,$A35&lt;&gt;AT$7),M!AK35,0)</f>
        <v/>
      </c>
      <c r="AU35" s="97">
        <f>IF(AND(matrizOK,$A35&lt;=nVariables,AU$7&lt;=nVariables,$A35&lt;&gt;AU$7),M!AL35,0)</f>
        <v/>
      </c>
      <c r="AV35" s="97">
        <f>IF(AND(matrizOK,$A35&lt;=nVariables,AV$7&lt;=nVariables,$A35&lt;&gt;AV$7),M!AM35,0)</f>
        <v/>
      </c>
      <c r="AW35" s="97">
        <f>IF(AND(matrizOK,$A35&lt;=nVariables,AW$7&lt;=nVariables,$A35&lt;&gt;AW$7),M!AN35,0)</f>
        <v/>
      </c>
      <c r="AX35" s="97">
        <f>IF(AND(matrizOK,$A35&lt;=nVariables,AX$7&lt;=nVariables,$A35&lt;&gt;AX$7),M!AO35,0)</f>
        <v/>
      </c>
      <c r="AY35" s="97">
        <f>IF(AND(matrizOK,$A35&lt;=nVariables,AY$7&lt;=nVariables,$A35&lt;&gt;AY$7),M!AP35,0)</f>
        <v/>
      </c>
      <c r="AZ35" s="97">
        <f>IF(AND(matrizOK,$A35&lt;=nVariables,AZ$7&lt;=nVariables,$A35&lt;&gt;AZ$7),M!AQ35,0)</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IF(AND(matrizOK,$A36&lt;=nVariables,M$7&lt;=nVariables,$A36&lt;&gt;M$7),M!D36,0)</f>
        <v/>
      </c>
      <c r="N36" s="97">
        <f>IF(AND(matrizOK,$A36&lt;=nVariables,N$7&lt;=nVariables,$A36&lt;&gt;N$7),M!E36,0)</f>
        <v/>
      </c>
      <c r="O36" s="97">
        <f>IF(AND(matrizOK,$A36&lt;=nVariables,O$7&lt;=nVariables,$A36&lt;&gt;O$7),M!F36,0)</f>
        <v/>
      </c>
      <c r="P36" s="97">
        <f>IF(AND(matrizOK,$A36&lt;=nVariables,P$7&lt;=nVariables,$A36&lt;&gt;P$7),M!G36,0)</f>
        <v/>
      </c>
      <c r="Q36" s="97">
        <f>IF(AND(matrizOK,$A36&lt;=nVariables,Q$7&lt;=nVariables,$A36&lt;&gt;Q$7),M!H36,0)</f>
        <v/>
      </c>
      <c r="R36" s="97">
        <f>IF(AND(matrizOK,$A36&lt;=nVariables,R$7&lt;=nVariables,$A36&lt;&gt;R$7),M!I36,0)</f>
        <v/>
      </c>
      <c r="S36" s="97">
        <f>IF(AND(matrizOK,$A36&lt;=nVariables,S$7&lt;=nVariables,$A36&lt;&gt;S$7),M!J36,0)</f>
        <v/>
      </c>
      <c r="T36" s="97">
        <f>IF(AND(matrizOK,$A36&lt;=nVariables,T$7&lt;=nVariables,$A36&lt;&gt;T$7),M!K36,0)</f>
        <v/>
      </c>
      <c r="U36" s="97">
        <f>IF(AND(matrizOK,$A36&lt;=nVariables,U$7&lt;=nVariables,$A36&lt;&gt;U$7),M!L36,0)</f>
        <v/>
      </c>
      <c r="V36" s="97">
        <f>IF(AND(matrizOK,$A36&lt;=nVariables,V$7&lt;=nVariables,$A36&lt;&gt;V$7),M!M36,0)</f>
        <v/>
      </c>
      <c r="W36" s="97">
        <f>IF(AND(matrizOK,$A36&lt;=nVariables,W$7&lt;=nVariables,$A36&lt;&gt;W$7),M!N36,0)</f>
        <v/>
      </c>
      <c r="X36" s="97">
        <f>IF(AND(matrizOK,$A36&lt;=nVariables,X$7&lt;=nVariables,$A36&lt;&gt;X$7),M!O36,0)</f>
        <v/>
      </c>
      <c r="Y36" s="97">
        <f>IF(AND(matrizOK,$A36&lt;=nVariables,Y$7&lt;=nVariables,$A36&lt;&gt;Y$7),M!P36,0)</f>
        <v/>
      </c>
      <c r="Z36" s="97">
        <f>IF(AND(matrizOK,$A36&lt;=nVariables,Z$7&lt;=nVariables,$A36&lt;&gt;Z$7),M!Q36,0)</f>
        <v/>
      </c>
      <c r="AA36" s="97">
        <f>IF(AND(matrizOK,$A36&lt;=nVariables,AA$7&lt;=nVariables,$A36&lt;&gt;AA$7),M!R36,0)</f>
        <v/>
      </c>
      <c r="AB36" s="97">
        <f>IF(AND(matrizOK,$A36&lt;=nVariables,AB$7&lt;=nVariables,$A36&lt;&gt;AB$7),M!S36,0)</f>
        <v/>
      </c>
      <c r="AC36" s="97">
        <f>IF(AND(matrizOK,$A36&lt;=nVariables,AC$7&lt;=nVariables,$A36&lt;&gt;AC$7),M!T36,0)</f>
        <v/>
      </c>
      <c r="AD36" s="97">
        <f>IF(AND(matrizOK,$A36&lt;=nVariables,AD$7&lt;=nVariables,$A36&lt;&gt;AD$7),M!U36,0)</f>
        <v/>
      </c>
      <c r="AE36" s="97">
        <f>IF(AND(matrizOK,$A36&lt;=nVariables,AE$7&lt;=nVariables,$A36&lt;&gt;AE$7),M!V36,0)</f>
        <v/>
      </c>
      <c r="AF36" s="97">
        <f>IF(AND(matrizOK,$A36&lt;=nVariables,AF$7&lt;=nVariables,$A36&lt;&gt;AF$7),M!W36,0)</f>
        <v/>
      </c>
      <c r="AG36" s="97">
        <f>IF(AND(matrizOK,$A36&lt;=nVariables,AG$7&lt;=nVariables,$A36&lt;&gt;AG$7),M!X36,0)</f>
        <v/>
      </c>
      <c r="AH36" s="97">
        <f>IF(AND(matrizOK,$A36&lt;=nVariables,AH$7&lt;=nVariables,$A36&lt;&gt;AH$7),M!Y36,0)</f>
        <v/>
      </c>
      <c r="AI36" s="97">
        <f>IF(AND(matrizOK,$A36&lt;=nVariables,AI$7&lt;=nVariables,$A36&lt;&gt;AI$7),M!Z36,0)</f>
        <v/>
      </c>
      <c r="AJ36" s="97">
        <f>IF(AND(matrizOK,$A36&lt;=nVariables,AJ$7&lt;=nVariables,$A36&lt;&gt;AJ$7),M!AA36,0)</f>
        <v/>
      </c>
      <c r="AK36" s="97">
        <f>IF(AND(matrizOK,$A36&lt;=nVariables,AK$7&lt;=nVariables,$A36&lt;&gt;AK$7),M!AB36,0)</f>
        <v/>
      </c>
      <c r="AL36" s="97">
        <f>IF(AND(matrizOK,$A36&lt;=nVariables,AL$7&lt;=nVariables,$A36&lt;&gt;AL$7),M!AC36,0)</f>
        <v/>
      </c>
      <c r="AM36" s="97">
        <f>IF(AND(matrizOK,$A36&lt;=nVariables,AM$7&lt;=nVariables,$A36&lt;&gt;AM$7),M!AD36,0)</f>
        <v/>
      </c>
      <c r="AN36" s="97">
        <f>IF(AND(matrizOK,$A36&lt;=nVariables,AN$7&lt;=nVariables,$A36&lt;&gt;AN$7),M!AE36,0)</f>
        <v/>
      </c>
      <c r="AO36" s="97">
        <f>IF(AND(matrizOK,$A36&lt;=nVariables,AO$7&lt;=nVariables,$A36&lt;&gt;AO$7),M!AF36,0)</f>
        <v/>
      </c>
      <c r="AP36" s="97">
        <f>IF(AND(matrizOK,$A36&lt;=nVariables,AP$7&lt;=nVariables,$A36&lt;&gt;AP$7),M!AG36,0)</f>
        <v/>
      </c>
      <c r="AQ36" s="97">
        <f>IF(AND(matrizOK,$A36&lt;=nVariables,AQ$7&lt;=nVariables,$A36&lt;&gt;AQ$7),M!AH36,0)</f>
        <v/>
      </c>
      <c r="AR36" s="97">
        <f>IF(AND(matrizOK,$A36&lt;=nVariables,AR$7&lt;=nVariables,$A36&lt;&gt;AR$7),M!AI36,0)</f>
        <v/>
      </c>
      <c r="AS36" s="97">
        <f>IF(AND(matrizOK,$A36&lt;=nVariables,AS$7&lt;=nVariables,$A36&lt;&gt;AS$7),M!AJ36,0)</f>
        <v/>
      </c>
      <c r="AT36" s="97">
        <f>IF(AND(matrizOK,$A36&lt;=nVariables,AT$7&lt;=nVariables,$A36&lt;&gt;AT$7),M!AK36,0)</f>
        <v/>
      </c>
      <c r="AU36" s="97">
        <f>IF(AND(matrizOK,$A36&lt;=nVariables,AU$7&lt;=nVariables,$A36&lt;&gt;AU$7),M!AL36,0)</f>
        <v/>
      </c>
      <c r="AV36" s="97">
        <f>IF(AND(matrizOK,$A36&lt;=nVariables,AV$7&lt;=nVariables,$A36&lt;&gt;AV$7),M!AM36,0)</f>
        <v/>
      </c>
      <c r="AW36" s="97">
        <f>IF(AND(matrizOK,$A36&lt;=nVariables,AW$7&lt;=nVariables,$A36&lt;&gt;AW$7),M!AN36,0)</f>
        <v/>
      </c>
      <c r="AX36" s="97">
        <f>IF(AND(matrizOK,$A36&lt;=nVariables,AX$7&lt;=nVariables,$A36&lt;&gt;AX$7),M!AO36,0)</f>
        <v/>
      </c>
      <c r="AY36" s="97">
        <f>IF(AND(matrizOK,$A36&lt;=nVariables,AY$7&lt;=nVariables,$A36&lt;&gt;AY$7),M!AP36,0)</f>
        <v/>
      </c>
      <c r="AZ36" s="97">
        <f>IF(AND(matrizOK,$A36&lt;=nVariables,AZ$7&lt;=nVariables,$A36&lt;&gt;AZ$7),M!AQ36,0)</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IF(AND(matrizOK,$A37&lt;=nVariables,M$7&lt;=nVariables,$A37&lt;&gt;M$7),M!D37,0)</f>
        <v/>
      </c>
      <c r="N37" s="97">
        <f>IF(AND(matrizOK,$A37&lt;=nVariables,N$7&lt;=nVariables,$A37&lt;&gt;N$7),M!E37,0)</f>
        <v/>
      </c>
      <c r="O37" s="97">
        <f>IF(AND(matrizOK,$A37&lt;=nVariables,O$7&lt;=nVariables,$A37&lt;&gt;O$7),M!F37,0)</f>
        <v/>
      </c>
      <c r="P37" s="97">
        <f>IF(AND(matrizOK,$A37&lt;=nVariables,P$7&lt;=nVariables,$A37&lt;&gt;P$7),M!G37,0)</f>
        <v/>
      </c>
      <c r="Q37" s="97">
        <f>IF(AND(matrizOK,$A37&lt;=nVariables,Q$7&lt;=nVariables,$A37&lt;&gt;Q$7),M!H37,0)</f>
        <v/>
      </c>
      <c r="R37" s="97">
        <f>IF(AND(matrizOK,$A37&lt;=nVariables,R$7&lt;=nVariables,$A37&lt;&gt;R$7),M!I37,0)</f>
        <v/>
      </c>
      <c r="S37" s="97">
        <f>IF(AND(matrizOK,$A37&lt;=nVariables,S$7&lt;=nVariables,$A37&lt;&gt;S$7),M!J37,0)</f>
        <v/>
      </c>
      <c r="T37" s="97">
        <f>IF(AND(matrizOK,$A37&lt;=nVariables,T$7&lt;=nVariables,$A37&lt;&gt;T$7),M!K37,0)</f>
        <v/>
      </c>
      <c r="U37" s="97">
        <f>IF(AND(matrizOK,$A37&lt;=nVariables,U$7&lt;=nVariables,$A37&lt;&gt;U$7),M!L37,0)</f>
        <v/>
      </c>
      <c r="V37" s="97">
        <f>IF(AND(matrizOK,$A37&lt;=nVariables,V$7&lt;=nVariables,$A37&lt;&gt;V$7),M!M37,0)</f>
        <v/>
      </c>
      <c r="W37" s="97">
        <f>IF(AND(matrizOK,$A37&lt;=nVariables,W$7&lt;=nVariables,$A37&lt;&gt;W$7),M!N37,0)</f>
        <v/>
      </c>
      <c r="X37" s="97">
        <f>IF(AND(matrizOK,$A37&lt;=nVariables,X$7&lt;=nVariables,$A37&lt;&gt;X$7),M!O37,0)</f>
        <v/>
      </c>
      <c r="Y37" s="97">
        <f>IF(AND(matrizOK,$A37&lt;=nVariables,Y$7&lt;=nVariables,$A37&lt;&gt;Y$7),M!P37,0)</f>
        <v/>
      </c>
      <c r="Z37" s="97">
        <f>IF(AND(matrizOK,$A37&lt;=nVariables,Z$7&lt;=nVariables,$A37&lt;&gt;Z$7),M!Q37,0)</f>
        <v/>
      </c>
      <c r="AA37" s="97">
        <f>IF(AND(matrizOK,$A37&lt;=nVariables,AA$7&lt;=nVariables,$A37&lt;&gt;AA$7),M!R37,0)</f>
        <v/>
      </c>
      <c r="AB37" s="97">
        <f>IF(AND(matrizOK,$A37&lt;=nVariables,AB$7&lt;=nVariables,$A37&lt;&gt;AB$7),M!S37,0)</f>
        <v/>
      </c>
      <c r="AC37" s="97">
        <f>IF(AND(matrizOK,$A37&lt;=nVariables,AC$7&lt;=nVariables,$A37&lt;&gt;AC$7),M!T37,0)</f>
        <v/>
      </c>
      <c r="AD37" s="97">
        <f>IF(AND(matrizOK,$A37&lt;=nVariables,AD$7&lt;=nVariables,$A37&lt;&gt;AD$7),M!U37,0)</f>
        <v/>
      </c>
      <c r="AE37" s="97">
        <f>IF(AND(matrizOK,$A37&lt;=nVariables,AE$7&lt;=nVariables,$A37&lt;&gt;AE$7),M!V37,0)</f>
        <v/>
      </c>
      <c r="AF37" s="97">
        <f>IF(AND(matrizOK,$A37&lt;=nVariables,AF$7&lt;=nVariables,$A37&lt;&gt;AF$7),M!W37,0)</f>
        <v/>
      </c>
      <c r="AG37" s="97">
        <f>IF(AND(matrizOK,$A37&lt;=nVariables,AG$7&lt;=nVariables,$A37&lt;&gt;AG$7),M!X37,0)</f>
        <v/>
      </c>
      <c r="AH37" s="97">
        <f>IF(AND(matrizOK,$A37&lt;=nVariables,AH$7&lt;=nVariables,$A37&lt;&gt;AH$7),M!Y37,0)</f>
        <v/>
      </c>
      <c r="AI37" s="97">
        <f>IF(AND(matrizOK,$A37&lt;=nVariables,AI$7&lt;=nVariables,$A37&lt;&gt;AI$7),M!Z37,0)</f>
        <v/>
      </c>
      <c r="AJ37" s="97">
        <f>IF(AND(matrizOK,$A37&lt;=nVariables,AJ$7&lt;=nVariables,$A37&lt;&gt;AJ$7),M!AA37,0)</f>
        <v/>
      </c>
      <c r="AK37" s="97">
        <f>IF(AND(matrizOK,$A37&lt;=nVariables,AK$7&lt;=nVariables,$A37&lt;&gt;AK$7),M!AB37,0)</f>
        <v/>
      </c>
      <c r="AL37" s="97">
        <f>IF(AND(matrizOK,$A37&lt;=nVariables,AL$7&lt;=nVariables,$A37&lt;&gt;AL$7),M!AC37,0)</f>
        <v/>
      </c>
      <c r="AM37" s="97">
        <f>IF(AND(matrizOK,$A37&lt;=nVariables,AM$7&lt;=nVariables,$A37&lt;&gt;AM$7),M!AD37,0)</f>
        <v/>
      </c>
      <c r="AN37" s="97">
        <f>IF(AND(matrizOK,$A37&lt;=nVariables,AN$7&lt;=nVariables,$A37&lt;&gt;AN$7),M!AE37,0)</f>
        <v/>
      </c>
      <c r="AO37" s="97">
        <f>IF(AND(matrizOK,$A37&lt;=nVariables,AO$7&lt;=nVariables,$A37&lt;&gt;AO$7),M!AF37,0)</f>
        <v/>
      </c>
      <c r="AP37" s="97">
        <f>IF(AND(matrizOK,$A37&lt;=nVariables,AP$7&lt;=nVariables,$A37&lt;&gt;AP$7),M!AG37,0)</f>
        <v/>
      </c>
      <c r="AQ37" s="97">
        <f>IF(AND(matrizOK,$A37&lt;=nVariables,AQ$7&lt;=nVariables,$A37&lt;&gt;AQ$7),M!AH37,0)</f>
        <v/>
      </c>
      <c r="AR37" s="97">
        <f>IF(AND(matrizOK,$A37&lt;=nVariables,AR$7&lt;=nVariables,$A37&lt;&gt;AR$7),M!AI37,0)</f>
        <v/>
      </c>
      <c r="AS37" s="97">
        <f>IF(AND(matrizOK,$A37&lt;=nVariables,AS$7&lt;=nVariables,$A37&lt;&gt;AS$7),M!AJ37,0)</f>
        <v/>
      </c>
      <c r="AT37" s="97">
        <f>IF(AND(matrizOK,$A37&lt;=nVariables,AT$7&lt;=nVariables,$A37&lt;&gt;AT$7),M!AK37,0)</f>
        <v/>
      </c>
      <c r="AU37" s="97">
        <f>IF(AND(matrizOK,$A37&lt;=nVariables,AU$7&lt;=nVariables,$A37&lt;&gt;AU$7),M!AL37,0)</f>
        <v/>
      </c>
      <c r="AV37" s="97">
        <f>IF(AND(matrizOK,$A37&lt;=nVariables,AV$7&lt;=nVariables,$A37&lt;&gt;AV$7),M!AM37,0)</f>
        <v/>
      </c>
      <c r="AW37" s="97">
        <f>IF(AND(matrizOK,$A37&lt;=nVariables,AW$7&lt;=nVariables,$A37&lt;&gt;AW$7),M!AN37,0)</f>
        <v/>
      </c>
      <c r="AX37" s="97">
        <f>IF(AND(matrizOK,$A37&lt;=nVariables,AX$7&lt;=nVariables,$A37&lt;&gt;AX$7),M!AO37,0)</f>
        <v/>
      </c>
      <c r="AY37" s="97">
        <f>IF(AND(matrizOK,$A37&lt;=nVariables,AY$7&lt;=nVariables,$A37&lt;&gt;AY$7),M!AP37,0)</f>
        <v/>
      </c>
      <c r="AZ37" s="97">
        <f>IF(AND(matrizOK,$A37&lt;=nVariables,AZ$7&lt;=nVariables,$A37&lt;&gt;AZ$7),M!AQ37,0)</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IF(AND(matrizOK,$A38&lt;=nVariables,M$7&lt;=nVariables,$A38&lt;&gt;M$7),M!D38,0)</f>
        <v/>
      </c>
      <c r="N38" s="97">
        <f>IF(AND(matrizOK,$A38&lt;=nVariables,N$7&lt;=nVariables,$A38&lt;&gt;N$7),M!E38,0)</f>
        <v/>
      </c>
      <c r="O38" s="97">
        <f>IF(AND(matrizOK,$A38&lt;=nVariables,O$7&lt;=nVariables,$A38&lt;&gt;O$7),M!F38,0)</f>
        <v/>
      </c>
      <c r="P38" s="97">
        <f>IF(AND(matrizOK,$A38&lt;=nVariables,P$7&lt;=nVariables,$A38&lt;&gt;P$7),M!G38,0)</f>
        <v/>
      </c>
      <c r="Q38" s="97">
        <f>IF(AND(matrizOK,$A38&lt;=nVariables,Q$7&lt;=nVariables,$A38&lt;&gt;Q$7),M!H38,0)</f>
        <v/>
      </c>
      <c r="R38" s="97">
        <f>IF(AND(matrizOK,$A38&lt;=nVariables,R$7&lt;=nVariables,$A38&lt;&gt;R$7),M!I38,0)</f>
        <v/>
      </c>
      <c r="S38" s="97">
        <f>IF(AND(matrizOK,$A38&lt;=nVariables,S$7&lt;=nVariables,$A38&lt;&gt;S$7),M!J38,0)</f>
        <v/>
      </c>
      <c r="T38" s="97">
        <f>IF(AND(matrizOK,$A38&lt;=nVariables,T$7&lt;=nVariables,$A38&lt;&gt;T$7),M!K38,0)</f>
        <v/>
      </c>
      <c r="U38" s="97">
        <f>IF(AND(matrizOK,$A38&lt;=nVariables,U$7&lt;=nVariables,$A38&lt;&gt;U$7),M!L38,0)</f>
        <v/>
      </c>
      <c r="V38" s="97">
        <f>IF(AND(matrizOK,$A38&lt;=nVariables,V$7&lt;=nVariables,$A38&lt;&gt;V$7),M!M38,0)</f>
        <v/>
      </c>
      <c r="W38" s="97">
        <f>IF(AND(matrizOK,$A38&lt;=nVariables,W$7&lt;=nVariables,$A38&lt;&gt;W$7),M!N38,0)</f>
        <v/>
      </c>
      <c r="X38" s="97">
        <f>IF(AND(matrizOK,$A38&lt;=nVariables,X$7&lt;=nVariables,$A38&lt;&gt;X$7),M!O38,0)</f>
        <v/>
      </c>
      <c r="Y38" s="97">
        <f>IF(AND(matrizOK,$A38&lt;=nVariables,Y$7&lt;=nVariables,$A38&lt;&gt;Y$7),M!P38,0)</f>
        <v/>
      </c>
      <c r="Z38" s="97">
        <f>IF(AND(matrizOK,$A38&lt;=nVariables,Z$7&lt;=nVariables,$A38&lt;&gt;Z$7),M!Q38,0)</f>
        <v/>
      </c>
      <c r="AA38" s="97">
        <f>IF(AND(matrizOK,$A38&lt;=nVariables,AA$7&lt;=nVariables,$A38&lt;&gt;AA$7),M!R38,0)</f>
        <v/>
      </c>
      <c r="AB38" s="97">
        <f>IF(AND(matrizOK,$A38&lt;=nVariables,AB$7&lt;=nVariables,$A38&lt;&gt;AB$7),M!S38,0)</f>
        <v/>
      </c>
      <c r="AC38" s="97">
        <f>IF(AND(matrizOK,$A38&lt;=nVariables,AC$7&lt;=nVariables,$A38&lt;&gt;AC$7),M!T38,0)</f>
        <v/>
      </c>
      <c r="AD38" s="97">
        <f>IF(AND(matrizOK,$A38&lt;=nVariables,AD$7&lt;=nVariables,$A38&lt;&gt;AD$7),M!U38,0)</f>
        <v/>
      </c>
      <c r="AE38" s="97">
        <f>IF(AND(matrizOK,$A38&lt;=nVariables,AE$7&lt;=nVariables,$A38&lt;&gt;AE$7),M!V38,0)</f>
        <v/>
      </c>
      <c r="AF38" s="97">
        <f>IF(AND(matrizOK,$A38&lt;=nVariables,AF$7&lt;=nVariables,$A38&lt;&gt;AF$7),M!W38,0)</f>
        <v/>
      </c>
      <c r="AG38" s="97">
        <f>IF(AND(matrizOK,$A38&lt;=nVariables,AG$7&lt;=nVariables,$A38&lt;&gt;AG$7),M!X38,0)</f>
        <v/>
      </c>
      <c r="AH38" s="97">
        <f>IF(AND(matrizOK,$A38&lt;=nVariables,AH$7&lt;=nVariables,$A38&lt;&gt;AH$7),M!Y38,0)</f>
        <v/>
      </c>
      <c r="AI38" s="97">
        <f>IF(AND(matrizOK,$A38&lt;=nVariables,AI$7&lt;=nVariables,$A38&lt;&gt;AI$7),M!Z38,0)</f>
        <v/>
      </c>
      <c r="AJ38" s="97">
        <f>IF(AND(matrizOK,$A38&lt;=nVariables,AJ$7&lt;=nVariables,$A38&lt;&gt;AJ$7),M!AA38,0)</f>
        <v/>
      </c>
      <c r="AK38" s="97">
        <f>IF(AND(matrizOK,$A38&lt;=nVariables,AK$7&lt;=nVariables,$A38&lt;&gt;AK$7),M!AB38,0)</f>
        <v/>
      </c>
      <c r="AL38" s="97">
        <f>IF(AND(matrizOK,$A38&lt;=nVariables,AL$7&lt;=nVariables,$A38&lt;&gt;AL$7),M!AC38,0)</f>
        <v/>
      </c>
      <c r="AM38" s="97">
        <f>IF(AND(matrizOK,$A38&lt;=nVariables,AM$7&lt;=nVariables,$A38&lt;&gt;AM$7),M!AD38,0)</f>
        <v/>
      </c>
      <c r="AN38" s="97">
        <f>IF(AND(matrizOK,$A38&lt;=nVariables,AN$7&lt;=nVariables,$A38&lt;&gt;AN$7),M!AE38,0)</f>
        <v/>
      </c>
      <c r="AO38" s="97">
        <f>IF(AND(matrizOK,$A38&lt;=nVariables,AO$7&lt;=nVariables,$A38&lt;&gt;AO$7),M!AF38,0)</f>
        <v/>
      </c>
      <c r="AP38" s="97">
        <f>IF(AND(matrizOK,$A38&lt;=nVariables,AP$7&lt;=nVariables,$A38&lt;&gt;AP$7),M!AG38,0)</f>
        <v/>
      </c>
      <c r="AQ38" s="97">
        <f>IF(AND(matrizOK,$A38&lt;=nVariables,AQ$7&lt;=nVariables,$A38&lt;&gt;AQ$7),M!AH38,0)</f>
        <v/>
      </c>
      <c r="AR38" s="97">
        <f>IF(AND(matrizOK,$A38&lt;=nVariables,AR$7&lt;=nVariables,$A38&lt;&gt;AR$7),M!AI38,0)</f>
        <v/>
      </c>
      <c r="AS38" s="97">
        <f>IF(AND(matrizOK,$A38&lt;=nVariables,AS$7&lt;=nVariables,$A38&lt;&gt;AS$7),M!AJ38,0)</f>
        <v/>
      </c>
      <c r="AT38" s="97">
        <f>IF(AND(matrizOK,$A38&lt;=nVariables,AT$7&lt;=nVariables,$A38&lt;&gt;AT$7),M!AK38,0)</f>
        <v/>
      </c>
      <c r="AU38" s="97">
        <f>IF(AND(matrizOK,$A38&lt;=nVariables,AU$7&lt;=nVariables,$A38&lt;&gt;AU$7),M!AL38,0)</f>
        <v/>
      </c>
      <c r="AV38" s="97">
        <f>IF(AND(matrizOK,$A38&lt;=nVariables,AV$7&lt;=nVariables,$A38&lt;&gt;AV$7),M!AM38,0)</f>
        <v/>
      </c>
      <c r="AW38" s="97">
        <f>IF(AND(matrizOK,$A38&lt;=nVariables,AW$7&lt;=nVariables,$A38&lt;&gt;AW$7),M!AN38,0)</f>
        <v/>
      </c>
      <c r="AX38" s="97">
        <f>IF(AND(matrizOK,$A38&lt;=nVariables,AX$7&lt;=nVariables,$A38&lt;&gt;AX$7),M!AO38,0)</f>
        <v/>
      </c>
      <c r="AY38" s="97">
        <f>IF(AND(matrizOK,$A38&lt;=nVariables,AY$7&lt;=nVariables,$A38&lt;&gt;AY$7),M!AP38,0)</f>
        <v/>
      </c>
      <c r="AZ38" s="97">
        <f>IF(AND(matrizOK,$A38&lt;=nVariables,AZ$7&lt;=nVariables,$A38&lt;&gt;AZ$7),M!AQ38,0)</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IF(AND(matrizOK,$A39&lt;=nVariables,M$7&lt;=nVariables,$A39&lt;&gt;M$7),M!D39,0)</f>
        <v/>
      </c>
      <c r="N39" s="97">
        <f>IF(AND(matrizOK,$A39&lt;=nVariables,N$7&lt;=nVariables,$A39&lt;&gt;N$7),M!E39,0)</f>
        <v/>
      </c>
      <c r="O39" s="97">
        <f>IF(AND(matrizOK,$A39&lt;=nVariables,O$7&lt;=nVariables,$A39&lt;&gt;O$7),M!F39,0)</f>
        <v/>
      </c>
      <c r="P39" s="97">
        <f>IF(AND(matrizOK,$A39&lt;=nVariables,P$7&lt;=nVariables,$A39&lt;&gt;P$7),M!G39,0)</f>
        <v/>
      </c>
      <c r="Q39" s="97">
        <f>IF(AND(matrizOK,$A39&lt;=nVariables,Q$7&lt;=nVariables,$A39&lt;&gt;Q$7),M!H39,0)</f>
        <v/>
      </c>
      <c r="R39" s="97">
        <f>IF(AND(matrizOK,$A39&lt;=nVariables,R$7&lt;=nVariables,$A39&lt;&gt;R$7),M!I39,0)</f>
        <v/>
      </c>
      <c r="S39" s="97">
        <f>IF(AND(matrizOK,$A39&lt;=nVariables,S$7&lt;=nVariables,$A39&lt;&gt;S$7),M!J39,0)</f>
        <v/>
      </c>
      <c r="T39" s="97">
        <f>IF(AND(matrizOK,$A39&lt;=nVariables,T$7&lt;=nVariables,$A39&lt;&gt;T$7),M!K39,0)</f>
        <v/>
      </c>
      <c r="U39" s="97">
        <f>IF(AND(matrizOK,$A39&lt;=nVariables,U$7&lt;=nVariables,$A39&lt;&gt;U$7),M!L39,0)</f>
        <v/>
      </c>
      <c r="V39" s="97">
        <f>IF(AND(matrizOK,$A39&lt;=nVariables,V$7&lt;=nVariables,$A39&lt;&gt;V$7),M!M39,0)</f>
        <v/>
      </c>
      <c r="W39" s="97">
        <f>IF(AND(matrizOK,$A39&lt;=nVariables,W$7&lt;=nVariables,$A39&lt;&gt;W$7),M!N39,0)</f>
        <v/>
      </c>
      <c r="X39" s="97">
        <f>IF(AND(matrizOK,$A39&lt;=nVariables,X$7&lt;=nVariables,$A39&lt;&gt;X$7),M!O39,0)</f>
        <v/>
      </c>
      <c r="Y39" s="97">
        <f>IF(AND(matrizOK,$A39&lt;=nVariables,Y$7&lt;=nVariables,$A39&lt;&gt;Y$7),M!P39,0)</f>
        <v/>
      </c>
      <c r="Z39" s="97">
        <f>IF(AND(matrizOK,$A39&lt;=nVariables,Z$7&lt;=nVariables,$A39&lt;&gt;Z$7),M!Q39,0)</f>
        <v/>
      </c>
      <c r="AA39" s="97">
        <f>IF(AND(matrizOK,$A39&lt;=nVariables,AA$7&lt;=nVariables,$A39&lt;&gt;AA$7),M!R39,0)</f>
        <v/>
      </c>
      <c r="AB39" s="97">
        <f>IF(AND(matrizOK,$A39&lt;=nVariables,AB$7&lt;=nVariables,$A39&lt;&gt;AB$7),M!S39,0)</f>
        <v/>
      </c>
      <c r="AC39" s="97">
        <f>IF(AND(matrizOK,$A39&lt;=nVariables,AC$7&lt;=nVariables,$A39&lt;&gt;AC$7),M!T39,0)</f>
        <v/>
      </c>
      <c r="AD39" s="97">
        <f>IF(AND(matrizOK,$A39&lt;=nVariables,AD$7&lt;=nVariables,$A39&lt;&gt;AD$7),M!U39,0)</f>
        <v/>
      </c>
      <c r="AE39" s="97">
        <f>IF(AND(matrizOK,$A39&lt;=nVariables,AE$7&lt;=nVariables,$A39&lt;&gt;AE$7),M!V39,0)</f>
        <v/>
      </c>
      <c r="AF39" s="97">
        <f>IF(AND(matrizOK,$A39&lt;=nVariables,AF$7&lt;=nVariables,$A39&lt;&gt;AF$7),M!W39,0)</f>
        <v/>
      </c>
      <c r="AG39" s="97">
        <f>IF(AND(matrizOK,$A39&lt;=nVariables,AG$7&lt;=nVariables,$A39&lt;&gt;AG$7),M!X39,0)</f>
        <v/>
      </c>
      <c r="AH39" s="97">
        <f>IF(AND(matrizOK,$A39&lt;=nVariables,AH$7&lt;=nVariables,$A39&lt;&gt;AH$7),M!Y39,0)</f>
        <v/>
      </c>
      <c r="AI39" s="97">
        <f>IF(AND(matrizOK,$A39&lt;=nVariables,AI$7&lt;=nVariables,$A39&lt;&gt;AI$7),M!Z39,0)</f>
        <v/>
      </c>
      <c r="AJ39" s="97">
        <f>IF(AND(matrizOK,$A39&lt;=nVariables,AJ$7&lt;=nVariables,$A39&lt;&gt;AJ$7),M!AA39,0)</f>
        <v/>
      </c>
      <c r="AK39" s="97">
        <f>IF(AND(matrizOK,$A39&lt;=nVariables,AK$7&lt;=nVariables,$A39&lt;&gt;AK$7),M!AB39,0)</f>
        <v/>
      </c>
      <c r="AL39" s="97">
        <f>IF(AND(matrizOK,$A39&lt;=nVariables,AL$7&lt;=nVariables,$A39&lt;&gt;AL$7),M!AC39,0)</f>
        <v/>
      </c>
      <c r="AM39" s="97">
        <f>IF(AND(matrizOK,$A39&lt;=nVariables,AM$7&lt;=nVariables,$A39&lt;&gt;AM$7),M!AD39,0)</f>
        <v/>
      </c>
      <c r="AN39" s="97">
        <f>IF(AND(matrizOK,$A39&lt;=nVariables,AN$7&lt;=nVariables,$A39&lt;&gt;AN$7),M!AE39,0)</f>
        <v/>
      </c>
      <c r="AO39" s="97">
        <f>IF(AND(matrizOK,$A39&lt;=nVariables,AO$7&lt;=nVariables,$A39&lt;&gt;AO$7),M!AF39,0)</f>
        <v/>
      </c>
      <c r="AP39" s="97">
        <f>IF(AND(matrizOK,$A39&lt;=nVariables,AP$7&lt;=nVariables,$A39&lt;&gt;AP$7),M!AG39,0)</f>
        <v/>
      </c>
      <c r="AQ39" s="97">
        <f>IF(AND(matrizOK,$A39&lt;=nVariables,AQ$7&lt;=nVariables,$A39&lt;&gt;AQ$7),M!AH39,0)</f>
        <v/>
      </c>
      <c r="AR39" s="97">
        <f>IF(AND(matrizOK,$A39&lt;=nVariables,AR$7&lt;=nVariables,$A39&lt;&gt;AR$7),M!AI39,0)</f>
        <v/>
      </c>
      <c r="AS39" s="97">
        <f>IF(AND(matrizOK,$A39&lt;=nVariables,AS$7&lt;=nVariables,$A39&lt;&gt;AS$7),M!AJ39,0)</f>
        <v/>
      </c>
      <c r="AT39" s="97">
        <f>IF(AND(matrizOK,$A39&lt;=nVariables,AT$7&lt;=nVariables,$A39&lt;&gt;AT$7),M!AK39,0)</f>
        <v/>
      </c>
      <c r="AU39" s="97">
        <f>IF(AND(matrizOK,$A39&lt;=nVariables,AU$7&lt;=nVariables,$A39&lt;&gt;AU$7),M!AL39,0)</f>
        <v/>
      </c>
      <c r="AV39" s="97">
        <f>IF(AND(matrizOK,$A39&lt;=nVariables,AV$7&lt;=nVariables,$A39&lt;&gt;AV$7),M!AM39,0)</f>
        <v/>
      </c>
      <c r="AW39" s="97">
        <f>IF(AND(matrizOK,$A39&lt;=nVariables,AW$7&lt;=nVariables,$A39&lt;&gt;AW$7),M!AN39,0)</f>
        <v/>
      </c>
      <c r="AX39" s="97">
        <f>IF(AND(matrizOK,$A39&lt;=nVariables,AX$7&lt;=nVariables,$A39&lt;&gt;AX$7),M!AO39,0)</f>
        <v/>
      </c>
      <c r="AY39" s="97">
        <f>IF(AND(matrizOK,$A39&lt;=nVariables,AY$7&lt;=nVariables,$A39&lt;&gt;AY$7),M!AP39,0)</f>
        <v/>
      </c>
      <c r="AZ39" s="97">
        <f>IF(AND(matrizOK,$A39&lt;=nVariables,AZ$7&lt;=nVariables,$A39&lt;&gt;AZ$7),M!AQ39,0)</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IF(AND(matrizOK,$A40&lt;=nVariables,M$7&lt;=nVariables,$A40&lt;&gt;M$7),M!D40,0)</f>
        <v/>
      </c>
      <c r="N40" s="97">
        <f>IF(AND(matrizOK,$A40&lt;=nVariables,N$7&lt;=nVariables,$A40&lt;&gt;N$7),M!E40,0)</f>
        <v/>
      </c>
      <c r="O40" s="97">
        <f>IF(AND(matrizOK,$A40&lt;=nVariables,O$7&lt;=nVariables,$A40&lt;&gt;O$7),M!F40,0)</f>
        <v/>
      </c>
      <c r="P40" s="97">
        <f>IF(AND(matrizOK,$A40&lt;=nVariables,P$7&lt;=nVariables,$A40&lt;&gt;P$7),M!G40,0)</f>
        <v/>
      </c>
      <c r="Q40" s="97">
        <f>IF(AND(matrizOK,$A40&lt;=nVariables,Q$7&lt;=nVariables,$A40&lt;&gt;Q$7),M!H40,0)</f>
        <v/>
      </c>
      <c r="R40" s="97">
        <f>IF(AND(matrizOK,$A40&lt;=nVariables,R$7&lt;=nVariables,$A40&lt;&gt;R$7),M!I40,0)</f>
        <v/>
      </c>
      <c r="S40" s="97">
        <f>IF(AND(matrizOK,$A40&lt;=nVariables,S$7&lt;=nVariables,$A40&lt;&gt;S$7),M!J40,0)</f>
        <v/>
      </c>
      <c r="T40" s="97">
        <f>IF(AND(matrizOK,$A40&lt;=nVariables,T$7&lt;=nVariables,$A40&lt;&gt;T$7),M!K40,0)</f>
        <v/>
      </c>
      <c r="U40" s="97">
        <f>IF(AND(matrizOK,$A40&lt;=nVariables,U$7&lt;=nVariables,$A40&lt;&gt;U$7),M!L40,0)</f>
        <v/>
      </c>
      <c r="V40" s="97">
        <f>IF(AND(matrizOK,$A40&lt;=nVariables,V$7&lt;=nVariables,$A40&lt;&gt;V$7),M!M40,0)</f>
        <v/>
      </c>
      <c r="W40" s="97">
        <f>IF(AND(matrizOK,$A40&lt;=nVariables,W$7&lt;=nVariables,$A40&lt;&gt;W$7),M!N40,0)</f>
        <v/>
      </c>
      <c r="X40" s="97">
        <f>IF(AND(matrizOK,$A40&lt;=nVariables,X$7&lt;=nVariables,$A40&lt;&gt;X$7),M!O40,0)</f>
        <v/>
      </c>
      <c r="Y40" s="97">
        <f>IF(AND(matrizOK,$A40&lt;=nVariables,Y$7&lt;=nVariables,$A40&lt;&gt;Y$7),M!P40,0)</f>
        <v/>
      </c>
      <c r="Z40" s="97">
        <f>IF(AND(matrizOK,$A40&lt;=nVariables,Z$7&lt;=nVariables,$A40&lt;&gt;Z$7),M!Q40,0)</f>
        <v/>
      </c>
      <c r="AA40" s="97">
        <f>IF(AND(matrizOK,$A40&lt;=nVariables,AA$7&lt;=nVariables,$A40&lt;&gt;AA$7),M!R40,0)</f>
        <v/>
      </c>
      <c r="AB40" s="97">
        <f>IF(AND(matrizOK,$A40&lt;=nVariables,AB$7&lt;=nVariables,$A40&lt;&gt;AB$7),M!S40,0)</f>
        <v/>
      </c>
      <c r="AC40" s="97">
        <f>IF(AND(matrizOK,$A40&lt;=nVariables,AC$7&lt;=nVariables,$A40&lt;&gt;AC$7),M!T40,0)</f>
        <v/>
      </c>
      <c r="AD40" s="97">
        <f>IF(AND(matrizOK,$A40&lt;=nVariables,AD$7&lt;=nVariables,$A40&lt;&gt;AD$7),M!U40,0)</f>
        <v/>
      </c>
      <c r="AE40" s="97">
        <f>IF(AND(matrizOK,$A40&lt;=nVariables,AE$7&lt;=nVariables,$A40&lt;&gt;AE$7),M!V40,0)</f>
        <v/>
      </c>
      <c r="AF40" s="97">
        <f>IF(AND(matrizOK,$A40&lt;=nVariables,AF$7&lt;=nVariables,$A40&lt;&gt;AF$7),M!W40,0)</f>
        <v/>
      </c>
      <c r="AG40" s="97">
        <f>IF(AND(matrizOK,$A40&lt;=nVariables,AG$7&lt;=nVariables,$A40&lt;&gt;AG$7),M!X40,0)</f>
        <v/>
      </c>
      <c r="AH40" s="97">
        <f>IF(AND(matrizOK,$A40&lt;=nVariables,AH$7&lt;=nVariables,$A40&lt;&gt;AH$7),M!Y40,0)</f>
        <v/>
      </c>
      <c r="AI40" s="97">
        <f>IF(AND(matrizOK,$A40&lt;=nVariables,AI$7&lt;=nVariables,$A40&lt;&gt;AI$7),M!Z40,0)</f>
        <v/>
      </c>
      <c r="AJ40" s="97">
        <f>IF(AND(matrizOK,$A40&lt;=nVariables,AJ$7&lt;=nVariables,$A40&lt;&gt;AJ$7),M!AA40,0)</f>
        <v/>
      </c>
      <c r="AK40" s="97">
        <f>IF(AND(matrizOK,$A40&lt;=nVariables,AK$7&lt;=nVariables,$A40&lt;&gt;AK$7),M!AB40,0)</f>
        <v/>
      </c>
      <c r="AL40" s="97">
        <f>IF(AND(matrizOK,$A40&lt;=nVariables,AL$7&lt;=nVariables,$A40&lt;&gt;AL$7),M!AC40,0)</f>
        <v/>
      </c>
      <c r="AM40" s="97">
        <f>IF(AND(matrizOK,$A40&lt;=nVariables,AM$7&lt;=nVariables,$A40&lt;&gt;AM$7),M!AD40,0)</f>
        <v/>
      </c>
      <c r="AN40" s="97">
        <f>IF(AND(matrizOK,$A40&lt;=nVariables,AN$7&lt;=nVariables,$A40&lt;&gt;AN$7),M!AE40,0)</f>
        <v/>
      </c>
      <c r="AO40" s="97">
        <f>IF(AND(matrizOK,$A40&lt;=nVariables,AO$7&lt;=nVariables,$A40&lt;&gt;AO$7),M!AF40,0)</f>
        <v/>
      </c>
      <c r="AP40" s="97">
        <f>IF(AND(matrizOK,$A40&lt;=nVariables,AP$7&lt;=nVariables,$A40&lt;&gt;AP$7),M!AG40,0)</f>
        <v/>
      </c>
      <c r="AQ40" s="97">
        <f>IF(AND(matrizOK,$A40&lt;=nVariables,AQ$7&lt;=nVariables,$A40&lt;&gt;AQ$7),M!AH40,0)</f>
        <v/>
      </c>
      <c r="AR40" s="97">
        <f>IF(AND(matrizOK,$A40&lt;=nVariables,AR$7&lt;=nVariables,$A40&lt;&gt;AR$7),M!AI40,0)</f>
        <v/>
      </c>
      <c r="AS40" s="97">
        <f>IF(AND(matrizOK,$A40&lt;=nVariables,AS$7&lt;=nVariables,$A40&lt;&gt;AS$7),M!AJ40,0)</f>
        <v/>
      </c>
      <c r="AT40" s="97">
        <f>IF(AND(matrizOK,$A40&lt;=nVariables,AT$7&lt;=nVariables,$A40&lt;&gt;AT$7),M!AK40,0)</f>
        <v/>
      </c>
      <c r="AU40" s="97">
        <f>IF(AND(matrizOK,$A40&lt;=nVariables,AU$7&lt;=nVariables,$A40&lt;&gt;AU$7),M!AL40,0)</f>
        <v/>
      </c>
      <c r="AV40" s="97">
        <f>IF(AND(matrizOK,$A40&lt;=nVariables,AV$7&lt;=nVariables,$A40&lt;&gt;AV$7),M!AM40,0)</f>
        <v/>
      </c>
      <c r="AW40" s="97">
        <f>IF(AND(matrizOK,$A40&lt;=nVariables,AW$7&lt;=nVariables,$A40&lt;&gt;AW$7),M!AN40,0)</f>
        <v/>
      </c>
      <c r="AX40" s="97">
        <f>IF(AND(matrizOK,$A40&lt;=nVariables,AX$7&lt;=nVariables,$A40&lt;&gt;AX$7),M!AO40,0)</f>
        <v/>
      </c>
      <c r="AY40" s="97">
        <f>IF(AND(matrizOK,$A40&lt;=nVariables,AY$7&lt;=nVariables,$A40&lt;&gt;AY$7),M!AP40,0)</f>
        <v/>
      </c>
      <c r="AZ40" s="97">
        <f>IF(AND(matrizOK,$A40&lt;=nVariables,AZ$7&lt;=nVariables,$A40&lt;&gt;AZ$7),M!AQ40,0)</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IF(AND(matrizOK,$A41&lt;=nVariables,M$7&lt;=nVariables,$A41&lt;&gt;M$7),M!D41,0)</f>
        <v/>
      </c>
      <c r="N41" s="97">
        <f>IF(AND(matrizOK,$A41&lt;=nVariables,N$7&lt;=nVariables,$A41&lt;&gt;N$7),M!E41,0)</f>
        <v/>
      </c>
      <c r="O41" s="97">
        <f>IF(AND(matrizOK,$A41&lt;=nVariables,O$7&lt;=nVariables,$A41&lt;&gt;O$7),M!F41,0)</f>
        <v/>
      </c>
      <c r="P41" s="97">
        <f>IF(AND(matrizOK,$A41&lt;=nVariables,P$7&lt;=nVariables,$A41&lt;&gt;P$7),M!G41,0)</f>
        <v/>
      </c>
      <c r="Q41" s="97">
        <f>IF(AND(matrizOK,$A41&lt;=nVariables,Q$7&lt;=nVariables,$A41&lt;&gt;Q$7),M!H41,0)</f>
        <v/>
      </c>
      <c r="R41" s="97">
        <f>IF(AND(matrizOK,$A41&lt;=nVariables,R$7&lt;=nVariables,$A41&lt;&gt;R$7),M!I41,0)</f>
        <v/>
      </c>
      <c r="S41" s="97">
        <f>IF(AND(matrizOK,$A41&lt;=nVariables,S$7&lt;=nVariables,$A41&lt;&gt;S$7),M!J41,0)</f>
        <v/>
      </c>
      <c r="T41" s="97">
        <f>IF(AND(matrizOK,$A41&lt;=nVariables,T$7&lt;=nVariables,$A41&lt;&gt;T$7),M!K41,0)</f>
        <v/>
      </c>
      <c r="U41" s="97">
        <f>IF(AND(matrizOK,$A41&lt;=nVariables,U$7&lt;=nVariables,$A41&lt;&gt;U$7),M!L41,0)</f>
        <v/>
      </c>
      <c r="V41" s="97">
        <f>IF(AND(matrizOK,$A41&lt;=nVariables,V$7&lt;=nVariables,$A41&lt;&gt;V$7),M!M41,0)</f>
        <v/>
      </c>
      <c r="W41" s="97">
        <f>IF(AND(matrizOK,$A41&lt;=nVariables,W$7&lt;=nVariables,$A41&lt;&gt;W$7),M!N41,0)</f>
        <v/>
      </c>
      <c r="X41" s="97">
        <f>IF(AND(matrizOK,$A41&lt;=nVariables,X$7&lt;=nVariables,$A41&lt;&gt;X$7),M!O41,0)</f>
        <v/>
      </c>
      <c r="Y41" s="97">
        <f>IF(AND(matrizOK,$A41&lt;=nVariables,Y$7&lt;=nVariables,$A41&lt;&gt;Y$7),M!P41,0)</f>
        <v/>
      </c>
      <c r="Z41" s="97">
        <f>IF(AND(matrizOK,$A41&lt;=nVariables,Z$7&lt;=nVariables,$A41&lt;&gt;Z$7),M!Q41,0)</f>
        <v/>
      </c>
      <c r="AA41" s="97">
        <f>IF(AND(matrizOK,$A41&lt;=nVariables,AA$7&lt;=nVariables,$A41&lt;&gt;AA$7),M!R41,0)</f>
        <v/>
      </c>
      <c r="AB41" s="97">
        <f>IF(AND(matrizOK,$A41&lt;=nVariables,AB$7&lt;=nVariables,$A41&lt;&gt;AB$7),M!S41,0)</f>
        <v/>
      </c>
      <c r="AC41" s="97">
        <f>IF(AND(matrizOK,$A41&lt;=nVariables,AC$7&lt;=nVariables,$A41&lt;&gt;AC$7),M!T41,0)</f>
        <v/>
      </c>
      <c r="AD41" s="97">
        <f>IF(AND(matrizOK,$A41&lt;=nVariables,AD$7&lt;=nVariables,$A41&lt;&gt;AD$7),M!U41,0)</f>
        <v/>
      </c>
      <c r="AE41" s="97">
        <f>IF(AND(matrizOK,$A41&lt;=nVariables,AE$7&lt;=nVariables,$A41&lt;&gt;AE$7),M!V41,0)</f>
        <v/>
      </c>
      <c r="AF41" s="97">
        <f>IF(AND(matrizOK,$A41&lt;=nVariables,AF$7&lt;=nVariables,$A41&lt;&gt;AF$7),M!W41,0)</f>
        <v/>
      </c>
      <c r="AG41" s="97">
        <f>IF(AND(matrizOK,$A41&lt;=nVariables,AG$7&lt;=nVariables,$A41&lt;&gt;AG$7),M!X41,0)</f>
        <v/>
      </c>
      <c r="AH41" s="97">
        <f>IF(AND(matrizOK,$A41&lt;=nVariables,AH$7&lt;=nVariables,$A41&lt;&gt;AH$7),M!Y41,0)</f>
        <v/>
      </c>
      <c r="AI41" s="97">
        <f>IF(AND(matrizOK,$A41&lt;=nVariables,AI$7&lt;=nVariables,$A41&lt;&gt;AI$7),M!Z41,0)</f>
        <v/>
      </c>
      <c r="AJ41" s="97">
        <f>IF(AND(matrizOK,$A41&lt;=nVariables,AJ$7&lt;=nVariables,$A41&lt;&gt;AJ$7),M!AA41,0)</f>
        <v/>
      </c>
      <c r="AK41" s="97">
        <f>IF(AND(matrizOK,$A41&lt;=nVariables,AK$7&lt;=nVariables,$A41&lt;&gt;AK$7),M!AB41,0)</f>
        <v/>
      </c>
      <c r="AL41" s="97">
        <f>IF(AND(matrizOK,$A41&lt;=nVariables,AL$7&lt;=nVariables,$A41&lt;&gt;AL$7),M!AC41,0)</f>
        <v/>
      </c>
      <c r="AM41" s="97">
        <f>IF(AND(matrizOK,$A41&lt;=nVariables,AM$7&lt;=nVariables,$A41&lt;&gt;AM$7),M!AD41,0)</f>
        <v/>
      </c>
      <c r="AN41" s="97">
        <f>IF(AND(matrizOK,$A41&lt;=nVariables,AN$7&lt;=nVariables,$A41&lt;&gt;AN$7),M!AE41,0)</f>
        <v/>
      </c>
      <c r="AO41" s="97">
        <f>IF(AND(matrizOK,$A41&lt;=nVariables,AO$7&lt;=nVariables,$A41&lt;&gt;AO$7),M!AF41,0)</f>
        <v/>
      </c>
      <c r="AP41" s="97">
        <f>IF(AND(matrizOK,$A41&lt;=nVariables,AP$7&lt;=nVariables,$A41&lt;&gt;AP$7),M!AG41,0)</f>
        <v/>
      </c>
      <c r="AQ41" s="97">
        <f>IF(AND(matrizOK,$A41&lt;=nVariables,AQ$7&lt;=nVariables,$A41&lt;&gt;AQ$7),M!AH41,0)</f>
        <v/>
      </c>
      <c r="AR41" s="97">
        <f>IF(AND(matrizOK,$A41&lt;=nVariables,AR$7&lt;=nVariables,$A41&lt;&gt;AR$7),M!AI41,0)</f>
        <v/>
      </c>
      <c r="AS41" s="97">
        <f>IF(AND(matrizOK,$A41&lt;=nVariables,AS$7&lt;=nVariables,$A41&lt;&gt;AS$7),M!AJ41,0)</f>
        <v/>
      </c>
      <c r="AT41" s="97">
        <f>IF(AND(matrizOK,$A41&lt;=nVariables,AT$7&lt;=nVariables,$A41&lt;&gt;AT$7),M!AK41,0)</f>
        <v/>
      </c>
      <c r="AU41" s="97">
        <f>IF(AND(matrizOK,$A41&lt;=nVariables,AU$7&lt;=nVariables,$A41&lt;&gt;AU$7),M!AL41,0)</f>
        <v/>
      </c>
      <c r="AV41" s="97">
        <f>IF(AND(matrizOK,$A41&lt;=nVariables,AV$7&lt;=nVariables,$A41&lt;&gt;AV$7),M!AM41,0)</f>
        <v/>
      </c>
      <c r="AW41" s="97">
        <f>IF(AND(matrizOK,$A41&lt;=nVariables,AW$7&lt;=nVariables,$A41&lt;&gt;AW$7),M!AN41,0)</f>
        <v/>
      </c>
      <c r="AX41" s="97">
        <f>IF(AND(matrizOK,$A41&lt;=nVariables,AX$7&lt;=nVariables,$A41&lt;&gt;AX$7),M!AO41,0)</f>
        <v/>
      </c>
      <c r="AY41" s="97">
        <f>IF(AND(matrizOK,$A41&lt;=nVariables,AY$7&lt;=nVariables,$A41&lt;&gt;AY$7),M!AP41,0)</f>
        <v/>
      </c>
      <c r="AZ41" s="97">
        <f>IF(AND(matrizOK,$A41&lt;=nVariables,AZ$7&lt;=nVariables,$A41&lt;&gt;AZ$7),M!AQ41,0)</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IF(AND(matrizOK,$A42&lt;=nVariables,M$7&lt;=nVariables,$A42&lt;&gt;M$7),M!D42,0)</f>
        <v/>
      </c>
      <c r="N42" s="97">
        <f>IF(AND(matrizOK,$A42&lt;=nVariables,N$7&lt;=nVariables,$A42&lt;&gt;N$7),M!E42,0)</f>
        <v/>
      </c>
      <c r="O42" s="97">
        <f>IF(AND(matrizOK,$A42&lt;=nVariables,O$7&lt;=nVariables,$A42&lt;&gt;O$7),M!F42,0)</f>
        <v/>
      </c>
      <c r="P42" s="97">
        <f>IF(AND(matrizOK,$A42&lt;=nVariables,P$7&lt;=nVariables,$A42&lt;&gt;P$7),M!G42,0)</f>
        <v/>
      </c>
      <c r="Q42" s="97">
        <f>IF(AND(matrizOK,$A42&lt;=nVariables,Q$7&lt;=nVariables,$A42&lt;&gt;Q$7),M!H42,0)</f>
        <v/>
      </c>
      <c r="R42" s="97">
        <f>IF(AND(matrizOK,$A42&lt;=nVariables,R$7&lt;=nVariables,$A42&lt;&gt;R$7),M!I42,0)</f>
        <v/>
      </c>
      <c r="S42" s="97">
        <f>IF(AND(matrizOK,$A42&lt;=nVariables,S$7&lt;=nVariables,$A42&lt;&gt;S$7),M!J42,0)</f>
        <v/>
      </c>
      <c r="T42" s="97">
        <f>IF(AND(matrizOK,$A42&lt;=nVariables,T$7&lt;=nVariables,$A42&lt;&gt;T$7),M!K42,0)</f>
        <v/>
      </c>
      <c r="U42" s="97">
        <f>IF(AND(matrizOK,$A42&lt;=nVariables,U$7&lt;=nVariables,$A42&lt;&gt;U$7),M!L42,0)</f>
        <v/>
      </c>
      <c r="V42" s="97">
        <f>IF(AND(matrizOK,$A42&lt;=nVariables,V$7&lt;=nVariables,$A42&lt;&gt;V$7),M!M42,0)</f>
        <v/>
      </c>
      <c r="W42" s="97">
        <f>IF(AND(matrizOK,$A42&lt;=nVariables,W$7&lt;=nVariables,$A42&lt;&gt;W$7),M!N42,0)</f>
        <v/>
      </c>
      <c r="X42" s="97">
        <f>IF(AND(matrizOK,$A42&lt;=nVariables,X$7&lt;=nVariables,$A42&lt;&gt;X$7),M!O42,0)</f>
        <v/>
      </c>
      <c r="Y42" s="97">
        <f>IF(AND(matrizOK,$A42&lt;=nVariables,Y$7&lt;=nVariables,$A42&lt;&gt;Y$7),M!P42,0)</f>
        <v/>
      </c>
      <c r="Z42" s="97">
        <f>IF(AND(matrizOK,$A42&lt;=nVariables,Z$7&lt;=nVariables,$A42&lt;&gt;Z$7),M!Q42,0)</f>
        <v/>
      </c>
      <c r="AA42" s="97">
        <f>IF(AND(matrizOK,$A42&lt;=nVariables,AA$7&lt;=nVariables,$A42&lt;&gt;AA$7),M!R42,0)</f>
        <v/>
      </c>
      <c r="AB42" s="97">
        <f>IF(AND(matrizOK,$A42&lt;=nVariables,AB$7&lt;=nVariables,$A42&lt;&gt;AB$7),M!S42,0)</f>
        <v/>
      </c>
      <c r="AC42" s="97">
        <f>IF(AND(matrizOK,$A42&lt;=nVariables,AC$7&lt;=nVariables,$A42&lt;&gt;AC$7),M!T42,0)</f>
        <v/>
      </c>
      <c r="AD42" s="97">
        <f>IF(AND(matrizOK,$A42&lt;=nVariables,AD$7&lt;=nVariables,$A42&lt;&gt;AD$7),M!U42,0)</f>
        <v/>
      </c>
      <c r="AE42" s="97">
        <f>IF(AND(matrizOK,$A42&lt;=nVariables,AE$7&lt;=nVariables,$A42&lt;&gt;AE$7),M!V42,0)</f>
        <v/>
      </c>
      <c r="AF42" s="97">
        <f>IF(AND(matrizOK,$A42&lt;=nVariables,AF$7&lt;=nVariables,$A42&lt;&gt;AF$7),M!W42,0)</f>
        <v/>
      </c>
      <c r="AG42" s="97">
        <f>IF(AND(matrizOK,$A42&lt;=nVariables,AG$7&lt;=nVariables,$A42&lt;&gt;AG$7),M!X42,0)</f>
        <v/>
      </c>
      <c r="AH42" s="97">
        <f>IF(AND(matrizOK,$A42&lt;=nVariables,AH$7&lt;=nVariables,$A42&lt;&gt;AH$7),M!Y42,0)</f>
        <v/>
      </c>
      <c r="AI42" s="97">
        <f>IF(AND(matrizOK,$A42&lt;=nVariables,AI$7&lt;=nVariables,$A42&lt;&gt;AI$7),M!Z42,0)</f>
        <v/>
      </c>
      <c r="AJ42" s="97">
        <f>IF(AND(matrizOK,$A42&lt;=nVariables,AJ$7&lt;=nVariables,$A42&lt;&gt;AJ$7),M!AA42,0)</f>
        <v/>
      </c>
      <c r="AK42" s="97">
        <f>IF(AND(matrizOK,$A42&lt;=nVariables,AK$7&lt;=nVariables,$A42&lt;&gt;AK$7),M!AB42,0)</f>
        <v/>
      </c>
      <c r="AL42" s="97">
        <f>IF(AND(matrizOK,$A42&lt;=nVariables,AL$7&lt;=nVariables,$A42&lt;&gt;AL$7),M!AC42,0)</f>
        <v/>
      </c>
      <c r="AM42" s="97">
        <f>IF(AND(matrizOK,$A42&lt;=nVariables,AM$7&lt;=nVariables,$A42&lt;&gt;AM$7),M!AD42,0)</f>
        <v/>
      </c>
      <c r="AN42" s="97">
        <f>IF(AND(matrizOK,$A42&lt;=nVariables,AN$7&lt;=nVariables,$A42&lt;&gt;AN$7),M!AE42,0)</f>
        <v/>
      </c>
      <c r="AO42" s="97">
        <f>IF(AND(matrizOK,$A42&lt;=nVariables,AO$7&lt;=nVariables,$A42&lt;&gt;AO$7),M!AF42,0)</f>
        <v/>
      </c>
      <c r="AP42" s="97">
        <f>IF(AND(matrizOK,$A42&lt;=nVariables,AP$7&lt;=nVariables,$A42&lt;&gt;AP$7),M!AG42,0)</f>
        <v/>
      </c>
      <c r="AQ42" s="97">
        <f>IF(AND(matrizOK,$A42&lt;=nVariables,AQ$7&lt;=nVariables,$A42&lt;&gt;AQ$7),M!AH42,0)</f>
        <v/>
      </c>
      <c r="AR42" s="97">
        <f>IF(AND(matrizOK,$A42&lt;=nVariables,AR$7&lt;=nVariables,$A42&lt;&gt;AR$7),M!AI42,0)</f>
        <v/>
      </c>
      <c r="AS42" s="97">
        <f>IF(AND(matrizOK,$A42&lt;=nVariables,AS$7&lt;=nVariables,$A42&lt;&gt;AS$7),M!AJ42,0)</f>
        <v/>
      </c>
      <c r="AT42" s="97">
        <f>IF(AND(matrizOK,$A42&lt;=nVariables,AT$7&lt;=nVariables,$A42&lt;&gt;AT$7),M!AK42,0)</f>
        <v/>
      </c>
      <c r="AU42" s="97">
        <f>IF(AND(matrizOK,$A42&lt;=nVariables,AU$7&lt;=nVariables,$A42&lt;&gt;AU$7),M!AL42,0)</f>
        <v/>
      </c>
      <c r="AV42" s="97">
        <f>IF(AND(matrizOK,$A42&lt;=nVariables,AV$7&lt;=nVariables,$A42&lt;&gt;AV$7),M!AM42,0)</f>
        <v/>
      </c>
      <c r="AW42" s="97">
        <f>IF(AND(matrizOK,$A42&lt;=nVariables,AW$7&lt;=nVariables,$A42&lt;&gt;AW$7),M!AN42,0)</f>
        <v/>
      </c>
      <c r="AX42" s="97">
        <f>IF(AND(matrizOK,$A42&lt;=nVariables,AX$7&lt;=nVariables,$A42&lt;&gt;AX$7),M!AO42,0)</f>
        <v/>
      </c>
      <c r="AY42" s="97">
        <f>IF(AND(matrizOK,$A42&lt;=nVariables,AY$7&lt;=nVariables,$A42&lt;&gt;AY$7),M!AP42,0)</f>
        <v/>
      </c>
      <c r="AZ42" s="97">
        <f>IF(AND(matrizOK,$A42&lt;=nVariables,AZ$7&lt;=nVariables,$A42&lt;&gt;AZ$7),M!AQ42,0)</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IF(AND(matrizOK,$A43&lt;=nVariables,M$7&lt;=nVariables,$A43&lt;&gt;M$7),M!D43,0)</f>
        <v/>
      </c>
      <c r="N43" s="97">
        <f>IF(AND(matrizOK,$A43&lt;=nVariables,N$7&lt;=nVariables,$A43&lt;&gt;N$7),M!E43,0)</f>
        <v/>
      </c>
      <c r="O43" s="97">
        <f>IF(AND(matrizOK,$A43&lt;=nVariables,O$7&lt;=nVariables,$A43&lt;&gt;O$7),M!F43,0)</f>
        <v/>
      </c>
      <c r="P43" s="97">
        <f>IF(AND(matrizOK,$A43&lt;=nVariables,P$7&lt;=nVariables,$A43&lt;&gt;P$7),M!G43,0)</f>
        <v/>
      </c>
      <c r="Q43" s="97">
        <f>IF(AND(matrizOK,$A43&lt;=nVariables,Q$7&lt;=nVariables,$A43&lt;&gt;Q$7),M!H43,0)</f>
        <v/>
      </c>
      <c r="R43" s="97">
        <f>IF(AND(matrizOK,$A43&lt;=nVariables,R$7&lt;=nVariables,$A43&lt;&gt;R$7),M!I43,0)</f>
        <v/>
      </c>
      <c r="S43" s="97">
        <f>IF(AND(matrizOK,$A43&lt;=nVariables,S$7&lt;=nVariables,$A43&lt;&gt;S$7),M!J43,0)</f>
        <v/>
      </c>
      <c r="T43" s="97">
        <f>IF(AND(matrizOK,$A43&lt;=nVariables,T$7&lt;=nVariables,$A43&lt;&gt;T$7),M!K43,0)</f>
        <v/>
      </c>
      <c r="U43" s="97">
        <f>IF(AND(matrizOK,$A43&lt;=nVariables,U$7&lt;=nVariables,$A43&lt;&gt;U$7),M!L43,0)</f>
        <v/>
      </c>
      <c r="V43" s="97">
        <f>IF(AND(matrizOK,$A43&lt;=nVariables,V$7&lt;=nVariables,$A43&lt;&gt;V$7),M!M43,0)</f>
        <v/>
      </c>
      <c r="W43" s="97">
        <f>IF(AND(matrizOK,$A43&lt;=nVariables,W$7&lt;=nVariables,$A43&lt;&gt;W$7),M!N43,0)</f>
        <v/>
      </c>
      <c r="X43" s="97">
        <f>IF(AND(matrizOK,$A43&lt;=nVariables,X$7&lt;=nVariables,$A43&lt;&gt;X$7),M!O43,0)</f>
        <v/>
      </c>
      <c r="Y43" s="97">
        <f>IF(AND(matrizOK,$A43&lt;=nVariables,Y$7&lt;=nVariables,$A43&lt;&gt;Y$7),M!P43,0)</f>
        <v/>
      </c>
      <c r="Z43" s="97">
        <f>IF(AND(matrizOK,$A43&lt;=nVariables,Z$7&lt;=nVariables,$A43&lt;&gt;Z$7),M!Q43,0)</f>
        <v/>
      </c>
      <c r="AA43" s="97">
        <f>IF(AND(matrizOK,$A43&lt;=nVariables,AA$7&lt;=nVariables,$A43&lt;&gt;AA$7),M!R43,0)</f>
        <v/>
      </c>
      <c r="AB43" s="97">
        <f>IF(AND(matrizOK,$A43&lt;=nVariables,AB$7&lt;=nVariables,$A43&lt;&gt;AB$7),M!S43,0)</f>
        <v/>
      </c>
      <c r="AC43" s="97">
        <f>IF(AND(matrizOK,$A43&lt;=nVariables,AC$7&lt;=nVariables,$A43&lt;&gt;AC$7),M!T43,0)</f>
        <v/>
      </c>
      <c r="AD43" s="97">
        <f>IF(AND(matrizOK,$A43&lt;=nVariables,AD$7&lt;=nVariables,$A43&lt;&gt;AD$7),M!U43,0)</f>
        <v/>
      </c>
      <c r="AE43" s="97">
        <f>IF(AND(matrizOK,$A43&lt;=nVariables,AE$7&lt;=nVariables,$A43&lt;&gt;AE$7),M!V43,0)</f>
        <v/>
      </c>
      <c r="AF43" s="97">
        <f>IF(AND(matrizOK,$A43&lt;=nVariables,AF$7&lt;=nVariables,$A43&lt;&gt;AF$7),M!W43,0)</f>
        <v/>
      </c>
      <c r="AG43" s="97">
        <f>IF(AND(matrizOK,$A43&lt;=nVariables,AG$7&lt;=nVariables,$A43&lt;&gt;AG$7),M!X43,0)</f>
        <v/>
      </c>
      <c r="AH43" s="97">
        <f>IF(AND(matrizOK,$A43&lt;=nVariables,AH$7&lt;=nVariables,$A43&lt;&gt;AH$7),M!Y43,0)</f>
        <v/>
      </c>
      <c r="AI43" s="97">
        <f>IF(AND(matrizOK,$A43&lt;=nVariables,AI$7&lt;=nVariables,$A43&lt;&gt;AI$7),M!Z43,0)</f>
        <v/>
      </c>
      <c r="AJ43" s="97">
        <f>IF(AND(matrizOK,$A43&lt;=nVariables,AJ$7&lt;=nVariables,$A43&lt;&gt;AJ$7),M!AA43,0)</f>
        <v/>
      </c>
      <c r="AK43" s="97">
        <f>IF(AND(matrizOK,$A43&lt;=nVariables,AK$7&lt;=nVariables,$A43&lt;&gt;AK$7),M!AB43,0)</f>
        <v/>
      </c>
      <c r="AL43" s="97">
        <f>IF(AND(matrizOK,$A43&lt;=nVariables,AL$7&lt;=nVariables,$A43&lt;&gt;AL$7),M!AC43,0)</f>
        <v/>
      </c>
      <c r="AM43" s="97">
        <f>IF(AND(matrizOK,$A43&lt;=nVariables,AM$7&lt;=nVariables,$A43&lt;&gt;AM$7),M!AD43,0)</f>
        <v/>
      </c>
      <c r="AN43" s="97">
        <f>IF(AND(matrizOK,$A43&lt;=nVariables,AN$7&lt;=nVariables,$A43&lt;&gt;AN$7),M!AE43,0)</f>
        <v/>
      </c>
      <c r="AO43" s="97">
        <f>IF(AND(matrizOK,$A43&lt;=nVariables,AO$7&lt;=nVariables,$A43&lt;&gt;AO$7),M!AF43,0)</f>
        <v/>
      </c>
      <c r="AP43" s="97">
        <f>IF(AND(matrizOK,$A43&lt;=nVariables,AP$7&lt;=nVariables,$A43&lt;&gt;AP$7),M!AG43,0)</f>
        <v/>
      </c>
      <c r="AQ43" s="97">
        <f>IF(AND(matrizOK,$A43&lt;=nVariables,AQ$7&lt;=nVariables,$A43&lt;&gt;AQ$7),M!AH43,0)</f>
        <v/>
      </c>
      <c r="AR43" s="97">
        <f>IF(AND(matrizOK,$A43&lt;=nVariables,AR$7&lt;=nVariables,$A43&lt;&gt;AR$7),M!AI43,0)</f>
        <v/>
      </c>
      <c r="AS43" s="97">
        <f>IF(AND(matrizOK,$A43&lt;=nVariables,AS$7&lt;=nVariables,$A43&lt;&gt;AS$7),M!AJ43,0)</f>
        <v/>
      </c>
      <c r="AT43" s="97">
        <f>IF(AND(matrizOK,$A43&lt;=nVariables,AT$7&lt;=nVariables,$A43&lt;&gt;AT$7),M!AK43,0)</f>
        <v/>
      </c>
      <c r="AU43" s="97">
        <f>IF(AND(matrizOK,$A43&lt;=nVariables,AU$7&lt;=nVariables,$A43&lt;&gt;AU$7),M!AL43,0)</f>
        <v/>
      </c>
      <c r="AV43" s="97">
        <f>IF(AND(matrizOK,$A43&lt;=nVariables,AV$7&lt;=nVariables,$A43&lt;&gt;AV$7),M!AM43,0)</f>
        <v/>
      </c>
      <c r="AW43" s="97">
        <f>IF(AND(matrizOK,$A43&lt;=nVariables,AW$7&lt;=nVariables,$A43&lt;&gt;AW$7),M!AN43,0)</f>
        <v/>
      </c>
      <c r="AX43" s="97">
        <f>IF(AND(matrizOK,$A43&lt;=nVariables,AX$7&lt;=nVariables,$A43&lt;&gt;AX$7),M!AO43,0)</f>
        <v/>
      </c>
      <c r="AY43" s="97">
        <f>IF(AND(matrizOK,$A43&lt;=nVariables,AY$7&lt;=nVariables,$A43&lt;&gt;AY$7),M!AP43,0)</f>
        <v/>
      </c>
      <c r="AZ43" s="97">
        <f>IF(AND(matrizOK,$A43&lt;=nVariables,AZ$7&lt;=nVariables,$A43&lt;&gt;AZ$7),M!AQ43,0)</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IF(AND(matrizOK,$A44&lt;=nVariables,M$7&lt;=nVariables,$A44&lt;&gt;M$7),M!D44,0)</f>
        <v/>
      </c>
      <c r="N44" s="97">
        <f>IF(AND(matrizOK,$A44&lt;=nVariables,N$7&lt;=nVariables,$A44&lt;&gt;N$7),M!E44,0)</f>
        <v/>
      </c>
      <c r="O44" s="97">
        <f>IF(AND(matrizOK,$A44&lt;=nVariables,O$7&lt;=nVariables,$A44&lt;&gt;O$7),M!F44,0)</f>
        <v/>
      </c>
      <c r="P44" s="97">
        <f>IF(AND(matrizOK,$A44&lt;=nVariables,P$7&lt;=nVariables,$A44&lt;&gt;P$7),M!G44,0)</f>
        <v/>
      </c>
      <c r="Q44" s="97">
        <f>IF(AND(matrizOK,$A44&lt;=nVariables,Q$7&lt;=nVariables,$A44&lt;&gt;Q$7),M!H44,0)</f>
        <v/>
      </c>
      <c r="R44" s="97">
        <f>IF(AND(matrizOK,$A44&lt;=nVariables,R$7&lt;=nVariables,$A44&lt;&gt;R$7),M!I44,0)</f>
        <v/>
      </c>
      <c r="S44" s="97">
        <f>IF(AND(matrizOK,$A44&lt;=nVariables,S$7&lt;=nVariables,$A44&lt;&gt;S$7),M!J44,0)</f>
        <v/>
      </c>
      <c r="T44" s="97">
        <f>IF(AND(matrizOK,$A44&lt;=nVariables,T$7&lt;=nVariables,$A44&lt;&gt;T$7),M!K44,0)</f>
        <v/>
      </c>
      <c r="U44" s="97">
        <f>IF(AND(matrizOK,$A44&lt;=nVariables,U$7&lt;=nVariables,$A44&lt;&gt;U$7),M!L44,0)</f>
        <v/>
      </c>
      <c r="V44" s="97">
        <f>IF(AND(matrizOK,$A44&lt;=nVariables,V$7&lt;=nVariables,$A44&lt;&gt;V$7),M!M44,0)</f>
        <v/>
      </c>
      <c r="W44" s="97">
        <f>IF(AND(matrizOK,$A44&lt;=nVariables,W$7&lt;=nVariables,$A44&lt;&gt;W$7),M!N44,0)</f>
        <v/>
      </c>
      <c r="X44" s="97">
        <f>IF(AND(matrizOK,$A44&lt;=nVariables,X$7&lt;=nVariables,$A44&lt;&gt;X$7),M!O44,0)</f>
        <v/>
      </c>
      <c r="Y44" s="97">
        <f>IF(AND(matrizOK,$A44&lt;=nVariables,Y$7&lt;=nVariables,$A44&lt;&gt;Y$7),M!P44,0)</f>
        <v/>
      </c>
      <c r="Z44" s="97">
        <f>IF(AND(matrizOK,$A44&lt;=nVariables,Z$7&lt;=nVariables,$A44&lt;&gt;Z$7),M!Q44,0)</f>
        <v/>
      </c>
      <c r="AA44" s="97">
        <f>IF(AND(matrizOK,$A44&lt;=nVariables,AA$7&lt;=nVariables,$A44&lt;&gt;AA$7),M!R44,0)</f>
        <v/>
      </c>
      <c r="AB44" s="97">
        <f>IF(AND(matrizOK,$A44&lt;=nVariables,AB$7&lt;=nVariables,$A44&lt;&gt;AB$7),M!S44,0)</f>
        <v/>
      </c>
      <c r="AC44" s="97">
        <f>IF(AND(matrizOK,$A44&lt;=nVariables,AC$7&lt;=nVariables,$A44&lt;&gt;AC$7),M!T44,0)</f>
        <v/>
      </c>
      <c r="AD44" s="97">
        <f>IF(AND(matrizOK,$A44&lt;=nVariables,AD$7&lt;=nVariables,$A44&lt;&gt;AD$7),M!U44,0)</f>
        <v/>
      </c>
      <c r="AE44" s="97">
        <f>IF(AND(matrizOK,$A44&lt;=nVariables,AE$7&lt;=nVariables,$A44&lt;&gt;AE$7),M!V44,0)</f>
        <v/>
      </c>
      <c r="AF44" s="97">
        <f>IF(AND(matrizOK,$A44&lt;=nVariables,AF$7&lt;=nVariables,$A44&lt;&gt;AF$7),M!W44,0)</f>
        <v/>
      </c>
      <c r="AG44" s="97">
        <f>IF(AND(matrizOK,$A44&lt;=nVariables,AG$7&lt;=nVariables,$A44&lt;&gt;AG$7),M!X44,0)</f>
        <v/>
      </c>
      <c r="AH44" s="97">
        <f>IF(AND(matrizOK,$A44&lt;=nVariables,AH$7&lt;=nVariables,$A44&lt;&gt;AH$7),M!Y44,0)</f>
        <v/>
      </c>
      <c r="AI44" s="97">
        <f>IF(AND(matrizOK,$A44&lt;=nVariables,AI$7&lt;=nVariables,$A44&lt;&gt;AI$7),M!Z44,0)</f>
        <v/>
      </c>
      <c r="AJ44" s="97">
        <f>IF(AND(matrizOK,$A44&lt;=nVariables,AJ$7&lt;=nVariables,$A44&lt;&gt;AJ$7),M!AA44,0)</f>
        <v/>
      </c>
      <c r="AK44" s="97">
        <f>IF(AND(matrizOK,$A44&lt;=nVariables,AK$7&lt;=nVariables,$A44&lt;&gt;AK$7),M!AB44,0)</f>
        <v/>
      </c>
      <c r="AL44" s="97">
        <f>IF(AND(matrizOK,$A44&lt;=nVariables,AL$7&lt;=nVariables,$A44&lt;&gt;AL$7),M!AC44,0)</f>
        <v/>
      </c>
      <c r="AM44" s="97">
        <f>IF(AND(matrizOK,$A44&lt;=nVariables,AM$7&lt;=nVariables,$A44&lt;&gt;AM$7),M!AD44,0)</f>
        <v/>
      </c>
      <c r="AN44" s="97">
        <f>IF(AND(matrizOK,$A44&lt;=nVariables,AN$7&lt;=nVariables,$A44&lt;&gt;AN$7),M!AE44,0)</f>
        <v/>
      </c>
      <c r="AO44" s="97">
        <f>IF(AND(matrizOK,$A44&lt;=nVariables,AO$7&lt;=nVariables,$A44&lt;&gt;AO$7),M!AF44,0)</f>
        <v/>
      </c>
      <c r="AP44" s="97">
        <f>IF(AND(matrizOK,$A44&lt;=nVariables,AP$7&lt;=nVariables,$A44&lt;&gt;AP$7),M!AG44,0)</f>
        <v/>
      </c>
      <c r="AQ44" s="97">
        <f>IF(AND(matrizOK,$A44&lt;=nVariables,AQ$7&lt;=nVariables,$A44&lt;&gt;AQ$7),M!AH44,0)</f>
        <v/>
      </c>
      <c r="AR44" s="97">
        <f>IF(AND(matrizOK,$A44&lt;=nVariables,AR$7&lt;=nVariables,$A44&lt;&gt;AR$7),M!AI44,0)</f>
        <v/>
      </c>
      <c r="AS44" s="97">
        <f>IF(AND(matrizOK,$A44&lt;=nVariables,AS$7&lt;=nVariables,$A44&lt;&gt;AS$7),M!AJ44,0)</f>
        <v/>
      </c>
      <c r="AT44" s="97">
        <f>IF(AND(matrizOK,$A44&lt;=nVariables,AT$7&lt;=nVariables,$A44&lt;&gt;AT$7),M!AK44,0)</f>
        <v/>
      </c>
      <c r="AU44" s="97">
        <f>IF(AND(matrizOK,$A44&lt;=nVariables,AU$7&lt;=nVariables,$A44&lt;&gt;AU$7),M!AL44,0)</f>
        <v/>
      </c>
      <c r="AV44" s="97">
        <f>IF(AND(matrizOK,$A44&lt;=nVariables,AV$7&lt;=nVariables,$A44&lt;&gt;AV$7),M!AM44,0)</f>
        <v/>
      </c>
      <c r="AW44" s="97">
        <f>IF(AND(matrizOK,$A44&lt;=nVariables,AW$7&lt;=nVariables,$A44&lt;&gt;AW$7),M!AN44,0)</f>
        <v/>
      </c>
      <c r="AX44" s="97">
        <f>IF(AND(matrizOK,$A44&lt;=nVariables,AX$7&lt;=nVariables,$A44&lt;&gt;AX$7),M!AO44,0)</f>
        <v/>
      </c>
      <c r="AY44" s="97">
        <f>IF(AND(matrizOK,$A44&lt;=nVariables,AY$7&lt;=nVariables,$A44&lt;&gt;AY$7),M!AP44,0)</f>
        <v/>
      </c>
      <c r="AZ44" s="97">
        <f>IF(AND(matrizOK,$A44&lt;=nVariables,AZ$7&lt;=nVariables,$A44&lt;&gt;AZ$7),M!AQ44,0)</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IF(AND(matrizOK,$A45&lt;=nVariables,M$7&lt;=nVariables,$A45&lt;&gt;M$7),M!D45,0)</f>
        <v/>
      </c>
      <c r="N45" s="97">
        <f>IF(AND(matrizOK,$A45&lt;=nVariables,N$7&lt;=nVariables,$A45&lt;&gt;N$7),M!E45,0)</f>
        <v/>
      </c>
      <c r="O45" s="97">
        <f>IF(AND(matrizOK,$A45&lt;=nVariables,O$7&lt;=nVariables,$A45&lt;&gt;O$7),M!F45,0)</f>
        <v/>
      </c>
      <c r="P45" s="97">
        <f>IF(AND(matrizOK,$A45&lt;=nVariables,P$7&lt;=nVariables,$A45&lt;&gt;P$7),M!G45,0)</f>
        <v/>
      </c>
      <c r="Q45" s="97">
        <f>IF(AND(matrizOK,$A45&lt;=nVariables,Q$7&lt;=nVariables,$A45&lt;&gt;Q$7),M!H45,0)</f>
        <v/>
      </c>
      <c r="R45" s="97">
        <f>IF(AND(matrizOK,$A45&lt;=nVariables,R$7&lt;=nVariables,$A45&lt;&gt;R$7),M!I45,0)</f>
        <v/>
      </c>
      <c r="S45" s="97">
        <f>IF(AND(matrizOK,$A45&lt;=nVariables,S$7&lt;=nVariables,$A45&lt;&gt;S$7),M!J45,0)</f>
        <v/>
      </c>
      <c r="T45" s="97">
        <f>IF(AND(matrizOK,$A45&lt;=nVariables,T$7&lt;=nVariables,$A45&lt;&gt;T$7),M!K45,0)</f>
        <v/>
      </c>
      <c r="U45" s="97">
        <f>IF(AND(matrizOK,$A45&lt;=nVariables,U$7&lt;=nVariables,$A45&lt;&gt;U$7),M!L45,0)</f>
        <v/>
      </c>
      <c r="V45" s="97">
        <f>IF(AND(matrizOK,$A45&lt;=nVariables,V$7&lt;=nVariables,$A45&lt;&gt;V$7),M!M45,0)</f>
        <v/>
      </c>
      <c r="W45" s="97">
        <f>IF(AND(matrizOK,$A45&lt;=nVariables,W$7&lt;=nVariables,$A45&lt;&gt;W$7),M!N45,0)</f>
        <v/>
      </c>
      <c r="X45" s="97">
        <f>IF(AND(matrizOK,$A45&lt;=nVariables,X$7&lt;=nVariables,$A45&lt;&gt;X$7),M!O45,0)</f>
        <v/>
      </c>
      <c r="Y45" s="97">
        <f>IF(AND(matrizOK,$A45&lt;=nVariables,Y$7&lt;=nVariables,$A45&lt;&gt;Y$7),M!P45,0)</f>
        <v/>
      </c>
      <c r="Z45" s="97">
        <f>IF(AND(matrizOK,$A45&lt;=nVariables,Z$7&lt;=nVariables,$A45&lt;&gt;Z$7),M!Q45,0)</f>
        <v/>
      </c>
      <c r="AA45" s="97">
        <f>IF(AND(matrizOK,$A45&lt;=nVariables,AA$7&lt;=nVariables,$A45&lt;&gt;AA$7),M!R45,0)</f>
        <v/>
      </c>
      <c r="AB45" s="97">
        <f>IF(AND(matrizOK,$A45&lt;=nVariables,AB$7&lt;=nVariables,$A45&lt;&gt;AB$7),M!S45,0)</f>
        <v/>
      </c>
      <c r="AC45" s="97">
        <f>IF(AND(matrizOK,$A45&lt;=nVariables,AC$7&lt;=nVariables,$A45&lt;&gt;AC$7),M!T45,0)</f>
        <v/>
      </c>
      <c r="AD45" s="97">
        <f>IF(AND(matrizOK,$A45&lt;=nVariables,AD$7&lt;=nVariables,$A45&lt;&gt;AD$7),M!U45,0)</f>
        <v/>
      </c>
      <c r="AE45" s="97">
        <f>IF(AND(matrizOK,$A45&lt;=nVariables,AE$7&lt;=nVariables,$A45&lt;&gt;AE$7),M!V45,0)</f>
        <v/>
      </c>
      <c r="AF45" s="97">
        <f>IF(AND(matrizOK,$A45&lt;=nVariables,AF$7&lt;=nVariables,$A45&lt;&gt;AF$7),M!W45,0)</f>
        <v/>
      </c>
      <c r="AG45" s="97">
        <f>IF(AND(matrizOK,$A45&lt;=nVariables,AG$7&lt;=nVariables,$A45&lt;&gt;AG$7),M!X45,0)</f>
        <v/>
      </c>
      <c r="AH45" s="97">
        <f>IF(AND(matrizOK,$A45&lt;=nVariables,AH$7&lt;=nVariables,$A45&lt;&gt;AH$7),M!Y45,0)</f>
        <v/>
      </c>
      <c r="AI45" s="97">
        <f>IF(AND(matrizOK,$A45&lt;=nVariables,AI$7&lt;=nVariables,$A45&lt;&gt;AI$7),M!Z45,0)</f>
        <v/>
      </c>
      <c r="AJ45" s="97">
        <f>IF(AND(matrizOK,$A45&lt;=nVariables,AJ$7&lt;=nVariables,$A45&lt;&gt;AJ$7),M!AA45,0)</f>
        <v/>
      </c>
      <c r="AK45" s="97">
        <f>IF(AND(matrizOK,$A45&lt;=nVariables,AK$7&lt;=nVariables,$A45&lt;&gt;AK$7),M!AB45,0)</f>
        <v/>
      </c>
      <c r="AL45" s="97">
        <f>IF(AND(matrizOK,$A45&lt;=nVariables,AL$7&lt;=nVariables,$A45&lt;&gt;AL$7),M!AC45,0)</f>
        <v/>
      </c>
      <c r="AM45" s="97">
        <f>IF(AND(matrizOK,$A45&lt;=nVariables,AM$7&lt;=nVariables,$A45&lt;&gt;AM$7),M!AD45,0)</f>
        <v/>
      </c>
      <c r="AN45" s="97">
        <f>IF(AND(matrizOK,$A45&lt;=nVariables,AN$7&lt;=nVariables,$A45&lt;&gt;AN$7),M!AE45,0)</f>
        <v/>
      </c>
      <c r="AO45" s="97">
        <f>IF(AND(matrizOK,$A45&lt;=nVariables,AO$7&lt;=nVariables,$A45&lt;&gt;AO$7),M!AF45,0)</f>
        <v/>
      </c>
      <c r="AP45" s="97">
        <f>IF(AND(matrizOK,$A45&lt;=nVariables,AP$7&lt;=nVariables,$A45&lt;&gt;AP$7),M!AG45,0)</f>
        <v/>
      </c>
      <c r="AQ45" s="97">
        <f>IF(AND(matrizOK,$A45&lt;=nVariables,AQ$7&lt;=nVariables,$A45&lt;&gt;AQ$7),M!AH45,0)</f>
        <v/>
      </c>
      <c r="AR45" s="97">
        <f>IF(AND(matrizOK,$A45&lt;=nVariables,AR$7&lt;=nVariables,$A45&lt;&gt;AR$7),M!AI45,0)</f>
        <v/>
      </c>
      <c r="AS45" s="97">
        <f>IF(AND(matrizOK,$A45&lt;=nVariables,AS$7&lt;=nVariables,$A45&lt;&gt;AS$7),M!AJ45,0)</f>
        <v/>
      </c>
      <c r="AT45" s="97">
        <f>IF(AND(matrizOK,$A45&lt;=nVariables,AT$7&lt;=nVariables,$A45&lt;&gt;AT$7),M!AK45,0)</f>
        <v/>
      </c>
      <c r="AU45" s="97">
        <f>IF(AND(matrizOK,$A45&lt;=nVariables,AU$7&lt;=nVariables,$A45&lt;&gt;AU$7),M!AL45,0)</f>
        <v/>
      </c>
      <c r="AV45" s="97">
        <f>IF(AND(matrizOK,$A45&lt;=nVariables,AV$7&lt;=nVariables,$A45&lt;&gt;AV$7),M!AM45,0)</f>
        <v/>
      </c>
      <c r="AW45" s="97">
        <f>IF(AND(matrizOK,$A45&lt;=nVariables,AW$7&lt;=nVariables,$A45&lt;&gt;AW$7),M!AN45,0)</f>
        <v/>
      </c>
      <c r="AX45" s="97">
        <f>IF(AND(matrizOK,$A45&lt;=nVariables,AX$7&lt;=nVariables,$A45&lt;&gt;AX$7),M!AO45,0)</f>
        <v/>
      </c>
      <c r="AY45" s="97">
        <f>IF(AND(matrizOK,$A45&lt;=nVariables,AY$7&lt;=nVariables,$A45&lt;&gt;AY$7),M!AP45,0)</f>
        <v/>
      </c>
      <c r="AZ45" s="97">
        <f>IF(AND(matrizOK,$A45&lt;=nVariables,AZ$7&lt;=nVariables,$A45&lt;&gt;AZ$7),M!AQ45,0)</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IF(AND(matrizOK,$A46&lt;=nVariables,M$7&lt;=nVariables,$A46&lt;&gt;M$7),M!D46,0)</f>
        <v/>
      </c>
      <c r="N46" s="97">
        <f>IF(AND(matrizOK,$A46&lt;=nVariables,N$7&lt;=nVariables,$A46&lt;&gt;N$7),M!E46,0)</f>
        <v/>
      </c>
      <c r="O46" s="97">
        <f>IF(AND(matrizOK,$A46&lt;=nVariables,O$7&lt;=nVariables,$A46&lt;&gt;O$7),M!F46,0)</f>
        <v/>
      </c>
      <c r="P46" s="97">
        <f>IF(AND(matrizOK,$A46&lt;=nVariables,P$7&lt;=nVariables,$A46&lt;&gt;P$7),M!G46,0)</f>
        <v/>
      </c>
      <c r="Q46" s="97">
        <f>IF(AND(matrizOK,$A46&lt;=nVariables,Q$7&lt;=nVariables,$A46&lt;&gt;Q$7),M!H46,0)</f>
        <v/>
      </c>
      <c r="R46" s="97">
        <f>IF(AND(matrizOK,$A46&lt;=nVariables,R$7&lt;=nVariables,$A46&lt;&gt;R$7),M!I46,0)</f>
        <v/>
      </c>
      <c r="S46" s="97">
        <f>IF(AND(matrizOK,$A46&lt;=nVariables,S$7&lt;=nVariables,$A46&lt;&gt;S$7),M!J46,0)</f>
        <v/>
      </c>
      <c r="T46" s="97">
        <f>IF(AND(matrizOK,$A46&lt;=nVariables,T$7&lt;=nVariables,$A46&lt;&gt;T$7),M!K46,0)</f>
        <v/>
      </c>
      <c r="U46" s="97">
        <f>IF(AND(matrizOK,$A46&lt;=nVariables,U$7&lt;=nVariables,$A46&lt;&gt;U$7),M!L46,0)</f>
        <v/>
      </c>
      <c r="V46" s="97">
        <f>IF(AND(matrizOK,$A46&lt;=nVariables,V$7&lt;=nVariables,$A46&lt;&gt;V$7),M!M46,0)</f>
        <v/>
      </c>
      <c r="W46" s="97">
        <f>IF(AND(matrizOK,$A46&lt;=nVariables,W$7&lt;=nVariables,$A46&lt;&gt;W$7),M!N46,0)</f>
        <v/>
      </c>
      <c r="X46" s="97">
        <f>IF(AND(matrizOK,$A46&lt;=nVariables,X$7&lt;=nVariables,$A46&lt;&gt;X$7),M!O46,0)</f>
        <v/>
      </c>
      <c r="Y46" s="97">
        <f>IF(AND(matrizOK,$A46&lt;=nVariables,Y$7&lt;=nVariables,$A46&lt;&gt;Y$7),M!P46,0)</f>
        <v/>
      </c>
      <c r="Z46" s="97">
        <f>IF(AND(matrizOK,$A46&lt;=nVariables,Z$7&lt;=nVariables,$A46&lt;&gt;Z$7),M!Q46,0)</f>
        <v/>
      </c>
      <c r="AA46" s="97">
        <f>IF(AND(matrizOK,$A46&lt;=nVariables,AA$7&lt;=nVariables,$A46&lt;&gt;AA$7),M!R46,0)</f>
        <v/>
      </c>
      <c r="AB46" s="97">
        <f>IF(AND(matrizOK,$A46&lt;=nVariables,AB$7&lt;=nVariables,$A46&lt;&gt;AB$7),M!S46,0)</f>
        <v/>
      </c>
      <c r="AC46" s="97">
        <f>IF(AND(matrizOK,$A46&lt;=nVariables,AC$7&lt;=nVariables,$A46&lt;&gt;AC$7),M!T46,0)</f>
        <v/>
      </c>
      <c r="AD46" s="97">
        <f>IF(AND(matrizOK,$A46&lt;=nVariables,AD$7&lt;=nVariables,$A46&lt;&gt;AD$7),M!U46,0)</f>
        <v/>
      </c>
      <c r="AE46" s="97">
        <f>IF(AND(matrizOK,$A46&lt;=nVariables,AE$7&lt;=nVariables,$A46&lt;&gt;AE$7),M!V46,0)</f>
        <v/>
      </c>
      <c r="AF46" s="97">
        <f>IF(AND(matrizOK,$A46&lt;=nVariables,AF$7&lt;=nVariables,$A46&lt;&gt;AF$7),M!W46,0)</f>
        <v/>
      </c>
      <c r="AG46" s="97">
        <f>IF(AND(matrizOK,$A46&lt;=nVariables,AG$7&lt;=nVariables,$A46&lt;&gt;AG$7),M!X46,0)</f>
        <v/>
      </c>
      <c r="AH46" s="97">
        <f>IF(AND(matrizOK,$A46&lt;=nVariables,AH$7&lt;=nVariables,$A46&lt;&gt;AH$7),M!Y46,0)</f>
        <v/>
      </c>
      <c r="AI46" s="97">
        <f>IF(AND(matrizOK,$A46&lt;=nVariables,AI$7&lt;=nVariables,$A46&lt;&gt;AI$7),M!Z46,0)</f>
        <v/>
      </c>
      <c r="AJ46" s="97">
        <f>IF(AND(matrizOK,$A46&lt;=nVariables,AJ$7&lt;=nVariables,$A46&lt;&gt;AJ$7),M!AA46,0)</f>
        <v/>
      </c>
      <c r="AK46" s="97">
        <f>IF(AND(matrizOK,$A46&lt;=nVariables,AK$7&lt;=nVariables,$A46&lt;&gt;AK$7),M!AB46,0)</f>
        <v/>
      </c>
      <c r="AL46" s="97">
        <f>IF(AND(matrizOK,$A46&lt;=nVariables,AL$7&lt;=nVariables,$A46&lt;&gt;AL$7),M!AC46,0)</f>
        <v/>
      </c>
      <c r="AM46" s="97">
        <f>IF(AND(matrizOK,$A46&lt;=nVariables,AM$7&lt;=nVariables,$A46&lt;&gt;AM$7),M!AD46,0)</f>
        <v/>
      </c>
      <c r="AN46" s="97">
        <f>IF(AND(matrizOK,$A46&lt;=nVariables,AN$7&lt;=nVariables,$A46&lt;&gt;AN$7),M!AE46,0)</f>
        <v/>
      </c>
      <c r="AO46" s="97">
        <f>IF(AND(matrizOK,$A46&lt;=nVariables,AO$7&lt;=nVariables,$A46&lt;&gt;AO$7),M!AF46,0)</f>
        <v/>
      </c>
      <c r="AP46" s="97">
        <f>IF(AND(matrizOK,$A46&lt;=nVariables,AP$7&lt;=nVariables,$A46&lt;&gt;AP$7),M!AG46,0)</f>
        <v/>
      </c>
      <c r="AQ46" s="97">
        <f>IF(AND(matrizOK,$A46&lt;=nVariables,AQ$7&lt;=nVariables,$A46&lt;&gt;AQ$7),M!AH46,0)</f>
        <v/>
      </c>
      <c r="AR46" s="97">
        <f>IF(AND(matrizOK,$A46&lt;=nVariables,AR$7&lt;=nVariables,$A46&lt;&gt;AR$7),M!AI46,0)</f>
        <v/>
      </c>
      <c r="AS46" s="97">
        <f>IF(AND(matrizOK,$A46&lt;=nVariables,AS$7&lt;=nVariables,$A46&lt;&gt;AS$7),M!AJ46,0)</f>
        <v/>
      </c>
      <c r="AT46" s="97">
        <f>IF(AND(matrizOK,$A46&lt;=nVariables,AT$7&lt;=nVariables,$A46&lt;&gt;AT$7),M!AK46,0)</f>
        <v/>
      </c>
      <c r="AU46" s="97">
        <f>IF(AND(matrizOK,$A46&lt;=nVariables,AU$7&lt;=nVariables,$A46&lt;&gt;AU$7),M!AL46,0)</f>
        <v/>
      </c>
      <c r="AV46" s="97">
        <f>IF(AND(matrizOK,$A46&lt;=nVariables,AV$7&lt;=nVariables,$A46&lt;&gt;AV$7),M!AM46,0)</f>
        <v/>
      </c>
      <c r="AW46" s="97">
        <f>IF(AND(matrizOK,$A46&lt;=nVariables,AW$7&lt;=nVariables,$A46&lt;&gt;AW$7),M!AN46,0)</f>
        <v/>
      </c>
      <c r="AX46" s="97">
        <f>IF(AND(matrizOK,$A46&lt;=nVariables,AX$7&lt;=nVariables,$A46&lt;&gt;AX$7),M!AO46,0)</f>
        <v/>
      </c>
      <c r="AY46" s="97">
        <f>IF(AND(matrizOK,$A46&lt;=nVariables,AY$7&lt;=nVariables,$A46&lt;&gt;AY$7),M!AP46,0)</f>
        <v/>
      </c>
      <c r="AZ46" s="97">
        <f>IF(AND(matrizOK,$A46&lt;=nVariables,AZ$7&lt;=nVariables,$A46&lt;&gt;AZ$7),M!AQ46,0)</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IF(AND(matrizOK,$A47&lt;=nVariables,M$7&lt;=nVariables,$A47&lt;&gt;M$7),M!D47,0)</f>
        <v/>
      </c>
      <c r="N47" s="97">
        <f>IF(AND(matrizOK,$A47&lt;=nVariables,N$7&lt;=nVariables,$A47&lt;&gt;N$7),M!E47,0)</f>
        <v/>
      </c>
      <c r="O47" s="97">
        <f>IF(AND(matrizOK,$A47&lt;=nVariables,O$7&lt;=nVariables,$A47&lt;&gt;O$7),M!F47,0)</f>
        <v/>
      </c>
      <c r="P47" s="97">
        <f>IF(AND(matrizOK,$A47&lt;=nVariables,P$7&lt;=nVariables,$A47&lt;&gt;P$7),M!G47,0)</f>
        <v/>
      </c>
      <c r="Q47" s="97">
        <f>IF(AND(matrizOK,$A47&lt;=nVariables,Q$7&lt;=nVariables,$A47&lt;&gt;Q$7),M!H47,0)</f>
        <v/>
      </c>
      <c r="R47" s="97">
        <f>IF(AND(matrizOK,$A47&lt;=nVariables,R$7&lt;=nVariables,$A47&lt;&gt;R$7),M!I47,0)</f>
        <v/>
      </c>
      <c r="S47" s="97">
        <f>IF(AND(matrizOK,$A47&lt;=nVariables,S$7&lt;=nVariables,$A47&lt;&gt;S$7),M!J47,0)</f>
        <v/>
      </c>
      <c r="T47" s="97">
        <f>IF(AND(matrizOK,$A47&lt;=nVariables,T$7&lt;=nVariables,$A47&lt;&gt;T$7),M!K47,0)</f>
        <v/>
      </c>
      <c r="U47" s="97">
        <f>IF(AND(matrizOK,$A47&lt;=nVariables,U$7&lt;=nVariables,$A47&lt;&gt;U$7),M!L47,0)</f>
        <v/>
      </c>
      <c r="V47" s="97">
        <f>IF(AND(matrizOK,$A47&lt;=nVariables,V$7&lt;=nVariables,$A47&lt;&gt;V$7),M!M47,0)</f>
        <v/>
      </c>
      <c r="W47" s="97">
        <f>IF(AND(matrizOK,$A47&lt;=nVariables,W$7&lt;=nVariables,$A47&lt;&gt;W$7),M!N47,0)</f>
        <v/>
      </c>
      <c r="X47" s="97">
        <f>IF(AND(matrizOK,$A47&lt;=nVariables,X$7&lt;=nVariables,$A47&lt;&gt;X$7),M!O47,0)</f>
        <v/>
      </c>
      <c r="Y47" s="97">
        <f>IF(AND(matrizOK,$A47&lt;=nVariables,Y$7&lt;=nVariables,$A47&lt;&gt;Y$7),M!P47,0)</f>
        <v/>
      </c>
      <c r="Z47" s="97">
        <f>IF(AND(matrizOK,$A47&lt;=nVariables,Z$7&lt;=nVariables,$A47&lt;&gt;Z$7),M!Q47,0)</f>
        <v/>
      </c>
      <c r="AA47" s="97">
        <f>IF(AND(matrizOK,$A47&lt;=nVariables,AA$7&lt;=nVariables,$A47&lt;&gt;AA$7),M!R47,0)</f>
        <v/>
      </c>
      <c r="AB47" s="97">
        <f>IF(AND(matrizOK,$A47&lt;=nVariables,AB$7&lt;=nVariables,$A47&lt;&gt;AB$7),M!S47,0)</f>
        <v/>
      </c>
      <c r="AC47" s="97">
        <f>IF(AND(matrizOK,$A47&lt;=nVariables,AC$7&lt;=nVariables,$A47&lt;&gt;AC$7),M!T47,0)</f>
        <v/>
      </c>
      <c r="AD47" s="97">
        <f>IF(AND(matrizOK,$A47&lt;=nVariables,AD$7&lt;=nVariables,$A47&lt;&gt;AD$7),M!U47,0)</f>
        <v/>
      </c>
      <c r="AE47" s="97">
        <f>IF(AND(matrizOK,$A47&lt;=nVariables,AE$7&lt;=nVariables,$A47&lt;&gt;AE$7),M!V47,0)</f>
        <v/>
      </c>
      <c r="AF47" s="97">
        <f>IF(AND(matrizOK,$A47&lt;=nVariables,AF$7&lt;=nVariables,$A47&lt;&gt;AF$7),M!W47,0)</f>
        <v/>
      </c>
      <c r="AG47" s="97">
        <f>IF(AND(matrizOK,$A47&lt;=nVariables,AG$7&lt;=nVariables,$A47&lt;&gt;AG$7),M!X47,0)</f>
        <v/>
      </c>
      <c r="AH47" s="97">
        <f>IF(AND(matrizOK,$A47&lt;=nVariables,AH$7&lt;=nVariables,$A47&lt;&gt;AH$7),M!Y47,0)</f>
        <v/>
      </c>
      <c r="AI47" s="97">
        <f>IF(AND(matrizOK,$A47&lt;=nVariables,AI$7&lt;=nVariables,$A47&lt;&gt;AI$7),M!Z47,0)</f>
        <v/>
      </c>
      <c r="AJ47" s="97">
        <f>IF(AND(matrizOK,$A47&lt;=nVariables,AJ$7&lt;=nVariables,$A47&lt;&gt;AJ$7),M!AA47,0)</f>
        <v/>
      </c>
      <c r="AK47" s="97">
        <f>IF(AND(matrizOK,$A47&lt;=nVariables,AK$7&lt;=nVariables,$A47&lt;&gt;AK$7),M!AB47,0)</f>
        <v/>
      </c>
      <c r="AL47" s="97">
        <f>IF(AND(matrizOK,$A47&lt;=nVariables,AL$7&lt;=nVariables,$A47&lt;&gt;AL$7),M!AC47,0)</f>
        <v/>
      </c>
      <c r="AM47" s="97">
        <f>IF(AND(matrizOK,$A47&lt;=nVariables,AM$7&lt;=nVariables,$A47&lt;&gt;AM$7),M!AD47,0)</f>
        <v/>
      </c>
      <c r="AN47" s="97">
        <f>IF(AND(matrizOK,$A47&lt;=nVariables,AN$7&lt;=nVariables,$A47&lt;&gt;AN$7),M!AE47,0)</f>
        <v/>
      </c>
      <c r="AO47" s="97">
        <f>IF(AND(matrizOK,$A47&lt;=nVariables,AO$7&lt;=nVariables,$A47&lt;&gt;AO$7),M!AF47,0)</f>
        <v/>
      </c>
      <c r="AP47" s="97">
        <f>IF(AND(matrizOK,$A47&lt;=nVariables,AP$7&lt;=nVariables,$A47&lt;&gt;AP$7),M!AG47,0)</f>
        <v/>
      </c>
      <c r="AQ47" s="97">
        <f>IF(AND(matrizOK,$A47&lt;=nVariables,AQ$7&lt;=nVariables,$A47&lt;&gt;AQ$7),M!AH47,0)</f>
        <v/>
      </c>
      <c r="AR47" s="97">
        <f>IF(AND(matrizOK,$A47&lt;=nVariables,AR$7&lt;=nVariables,$A47&lt;&gt;AR$7),M!AI47,0)</f>
        <v/>
      </c>
      <c r="AS47" s="97">
        <f>IF(AND(matrizOK,$A47&lt;=nVariables,AS$7&lt;=nVariables,$A47&lt;&gt;AS$7),M!AJ47,0)</f>
        <v/>
      </c>
      <c r="AT47" s="97">
        <f>IF(AND(matrizOK,$A47&lt;=nVariables,AT$7&lt;=nVariables,$A47&lt;&gt;AT$7),M!AK47,0)</f>
        <v/>
      </c>
      <c r="AU47" s="97">
        <f>IF(AND(matrizOK,$A47&lt;=nVariables,AU$7&lt;=nVariables,$A47&lt;&gt;AU$7),M!AL47,0)</f>
        <v/>
      </c>
      <c r="AV47" s="97">
        <f>IF(AND(matrizOK,$A47&lt;=nVariables,AV$7&lt;=nVariables,$A47&lt;&gt;AV$7),M!AM47,0)</f>
        <v/>
      </c>
      <c r="AW47" s="97">
        <f>IF(AND(matrizOK,$A47&lt;=nVariables,AW$7&lt;=nVariables,$A47&lt;&gt;AW$7),M!AN47,0)</f>
        <v/>
      </c>
      <c r="AX47" s="97">
        <f>IF(AND(matrizOK,$A47&lt;=nVariables,AX$7&lt;=nVariables,$A47&lt;&gt;AX$7),M!AO47,0)</f>
        <v/>
      </c>
      <c r="AY47" s="97">
        <f>IF(AND(matrizOK,$A47&lt;=nVariables,AY$7&lt;=nVariables,$A47&lt;&gt;AY$7),M!AP47,0)</f>
        <v/>
      </c>
      <c r="AZ47" s="97">
        <f>IF(AND(matrizOK,$A47&lt;=nVariables,AZ$7&lt;=nVariables,$A47&lt;&gt;AZ$7),M!AQ47,0)</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IF(AND(matrizOK,$A48&lt;=nVariables,M$7&lt;=nVariables,$A48&lt;&gt;M$7),M!D48,0)</f>
        <v/>
      </c>
      <c r="N48" s="97">
        <f>IF(AND(matrizOK,$A48&lt;=nVariables,N$7&lt;=nVariables,$A48&lt;&gt;N$7),M!E48,0)</f>
        <v/>
      </c>
      <c r="O48" s="97">
        <f>IF(AND(matrizOK,$A48&lt;=nVariables,O$7&lt;=nVariables,$A48&lt;&gt;O$7),M!F48,0)</f>
        <v/>
      </c>
      <c r="P48" s="97">
        <f>IF(AND(matrizOK,$A48&lt;=nVariables,P$7&lt;=nVariables,$A48&lt;&gt;P$7),M!G48,0)</f>
        <v/>
      </c>
      <c r="Q48" s="97">
        <f>IF(AND(matrizOK,$A48&lt;=nVariables,Q$7&lt;=nVariables,$A48&lt;&gt;Q$7),M!H48,0)</f>
        <v/>
      </c>
      <c r="R48" s="97">
        <f>IF(AND(matrizOK,$A48&lt;=nVariables,R$7&lt;=nVariables,$A48&lt;&gt;R$7),M!I48,0)</f>
        <v/>
      </c>
      <c r="S48" s="97">
        <f>IF(AND(matrizOK,$A48&lt;=nVariables,S$7&lt;=nVariables,$A48&lt;&gt;S$7),M!J48,0)</f>
        <v/>
      </c>
      <c r="T48" s="97">
        <f>IF(AND(matrizOK,$A48&lt;=nVariables,T$7&lt;=nVariables,$A48&lt;&gt;T$7),M!K48,0)</f>
        <v/>
      </c>
      <c r="U48" s="97">
        <f>IF(AND(matrizOK,$A48&lt;=nVariables,U$7&lt;=nVariables,$A48&lt;&gt;U$7),M!L48,0)</f>
        <v/>
      </c>
      <c r="V48" s="97">
        <f>IF(AND(matrizOK,$A48&lt;=nVariables,V$7&lt;=nVariables,$A48&lt;&gt;V$7),M!M48,0)</f>
        <v/>
      </c>
      <c r="W48" s="97">
        <f>IF(AND(matrizOK,$A48&lt;=nVariables,W$7&lt;=nVariables,$A48&lt;&gt;W$7),M!N48,0)</f>
        <v/>
      </c>
      <c r="X48" s="97">
        <f>IF(AND(matrizOK,$A48&lt;=nVariables,X$7&lt;=nVariables,$A48&lt;&gt;X$7),M!O48,0)</f>
        <v/>
      </c>
      <c r="Y48" s="97">
        <f>IF(AND(matrizOK,$A48&lt;=nVariables,Y$7&lt;=nVariables,$A48&lt;&gt;Y$7),M!P48,0)</f>
        <v/>
      </c>
      <c r="Z48" s="97">
        <f>IF(AND(matrizOK,$A48&lt;=nVariables,Z$7&lt;=nVariables,$A48&lt;&gt;Z$7),M!Q48,0)</f>
        <v/>
      </c>
      <c r="AA48" s="97">
        <f>IF(AND(matrizOK,$A48&lt;=nVariables,AA$7&lt;=nVariables,$A48&lt;&gt;AA$7),M!R48,0)</f>
        <v/>
      </c>
      <c r="AB48" s="97">
        <f>IF(AND(matrizOK,$A48&lt;=nVariables,AB$7&lt;=nVariables,$A48&lt;&gt;AB$7),M!S48,0)</f>
        <v/>
      </c>
      <c r="AC48" s="97">
        <f>IF(AND(matrizOK,$A48&lt;=nVariables,AC$7&lt;=nVariables,$A48&lt;&gt;AC$7),M!T48,0)</f>
        <v/>
      </c>
      <c r="AD48" s="97">
        <f>IF(AND(matrizOK,$A48&lt;=nVariables,AD$7&lt;=nVariables,$A48&lt;&gt;AD$7),M!U48,0)</f>
        <v/>
      </c>
      <c r="AE48" s="97">
        <f>IF(AND(matrizOK,$A48&lt;=nVariables,AE$7&lt;=nVariables,$A48&lt;&gt;AE$7),M!V48,0)</f>
        <v/>
      </c>
      <c r="AF48" s="97">
        <f>IF(AND(matrizOK,$A48&lt;=nVariables,AF$7&lt;=nVariables,$A48&lt;&gt;AF$7),M!W48,0)</f>
        <v/>
      </c>
      <c r="AG48" s="97">
        <f>IF(AND(matrizOK,$A48&lt;=nVariables,AG$7&lt;=nVariables,$A48&lt;&gt;AG$7),M!X48,0)</f>
        <v/>
      </c>
      <c r="AH48" s="97">
        <f>IF(AND(matrizOK,$A48&lt;=nVariables,AH$7&lt;=nVariables,$A48&lt;&gt;AH$7),M!Y48,0)</f>
        <v/>
      </c>
      <c r="AI48" s="97">
        <f>IF(AND(matrizOK,$A48&lt;=nVariables,AI$7&lt;=nVariables,$A48&lt;&gt;AI$7),M!Z48,0)</f>
        <v/>
      </c>
      <c r="AJ48" s="97">
        <f>IF(AND(matrizOK,$A48&lt;=nVariables,AJ$7&lt;=nVariables,$A48&lt;&gt;AJ$7),M!AA48,0)</f>
        <v/>
      </c>
      <c r="AK48" s="97">
        <f>IF(AND(matrizOK,$A48&lt;=nVariables,AK$7&lt;=nVariables,$A48&lt;&gt;AK$7),M!AB48,0)</f>
        <v/>
      </c>
      <c r="AL48" s="97">
        <f>IF(AND(matrizOK,$A48&lt;=nVariables,AL$7&lt;=nVariables,$A48&lt;&gt;AL$7),M!AC48,0)</f>
        <v/>
      </c>
      <c r="AM48" s="97">
        <f>IF(AND(matrizOK,$A48&lt;=nVariables,AM$7&lt;=nVariables,$A48&lt;&gt;AM$7),M!AD48,0)</f>
        <v/>
      </c>
      <c r="AN48" s="97">
        <f>IF(AND(matrizOK,$A48&lt;=nVariables,AN$7&lt;=nVariables,$A48&lt;&gt;AN$7),M!AE48,0)</f>
        <v/>
      </c>
      <c r="AO48" s="97">
        <f>IF(AND(matrizOK,$A48&lt;=nVariables,AO$7&lt;=nVariables,$A48&lt;&gt;AO$7),M!AF48,0)</f>
        <v/>
      </c>
      <c r="AP48" s="97">
        <f>IF(AND(matrizOK,$A48&lt;=nVariables,AP$7&lt;=nVariables,$A48&lt;&gt;AP$7),M!AG48,0)</f>
        <v/>
      </c>
      <c r="AQ48" s="97">
        <f>IF(AND(matrizOK,$A48&lt;=nVariables,AQ$7&lt;=nVariables,$A48&lt;&gt;AQ$7),M!AH48,0)</f>
        <v/>
      </c>
      <c r="AR48" s="97">
        <f>IF(AND(matrizOK,$A48&lt;=nVariables,AR$7&lt;=nVariables,$A48&lt;&gt;AR$7),M!AI48,0)</f>
        <v/>
      </c>
      <c r="AS48" s="97">
        <f>IF(AND(matrizOK,$A48&lt;=nVariables,AS$7&lt;=nVariables,$A48&lt;&gt;AS$7),M!AJ48,0)</f>
        <v/>
      </c>
      <c r="AT48" s="97">
        <f>IF(AND(matrizOK,$A48&lt;=nVariables,AT$7&lt;=nVariables,$A48&lt;&gt;AT$7),M!AK48,0)</f>
        <v/>
      </c>
      <c r="AU48" s="97">
        <f>IF(AND(matrizOK,$A48&lt;=nVariables,AU$7&lt;=nVariables,$A48&lt;&gt;AU$7),M!AL48,0)</f>
        <v/>
      </c>
      <c r="AV48" s="97">
        <f>IF(AND(matrizOK,$A48&lt;=nVariables,AV$7&lt;=nVariables,$A48&lt;&gt;AV$7),M!AM48,0)</f>
        <v/>
      </c>
      <c r="AW48" s="97">
        <f>IF(AND(matrizOK,$A48&lt;=nVariables,AW$7&lt;=nVariables,$A48&lt;&gt;AW$7),M!AN48,0)</f>
        <v/>
      </c>
      <c r="AX48" s="97">
        <f>IF(AND(matrizOK,$A48&lt;=nVariables,AX$7&lt;=nVariables,$A48&lt;&gt;AX$7),M!AO48,0)</f>
        <v/>
      </c>
      <c r="AY48" s="97">
        <f>IF(AND(matrizOK,$A48&lt;=nVariables,AY$7&lt;=nVariables,$A48&lt;&gt;AY$7),M!AP48,0)</f>
        <v/>
      </c>
      <c r="AZ48" s="97">
        <f>IF(AND(matrizOK,$A48&lt;=nVariables,AZ$7&lt;=nVariables,$A48&lt;&gt;AZ$7),M!AQ48,0)</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IF(AND(matrizOK,$A49&lt;=nVariables,M$7&lt;=nVariables,$A49&lt;&gt;M$7),M!D49,0)</f>
        <v/>
      </c>
      <c r="N49" s="97">
        <f>IF(AND(matrizOK,$A49&lt;=nVariables,N$7&lt;=nVariables,$A49&lt;&gt;N$7),M!E49,0)</f>
        <v/>
      </c>
      <c r="O49" s="97">
        <f>IF(AND(matrizOK,$A49&lt;=nVariables,O$7&lt;=nVariables,$A49&lt;&gt;O$7),M!F49,0)</f>
        <v/>
      </c>
      <c r="P49" s="97">
        <f>IF(AND(matrizOK,$A49&lt;=nVariables,P$7&lt;=nVariables,$A49&lt;&gt;P$7),M!G49,0)</f>
        <v/>
      </c>
      <c r="Q49" s="97">
        <f>IF(AND(matrizOK,$A49&lt;=nVariables,Q$7&lt;=nVariables,$A49&lt;&gt;Q$7),M!H49,0)</f>
        <v/>
      </c>
      <c r="R49" s="97">
        <f>IF(AND(matrizOK,$A49&lt;=nVariables,R$7&lt;=nVariables,$A49&lt;&gt;R$7),M!I49,0)</f>
        <v/>
      </c>
      <c r="S49" s="97">
        <f>IF(AND(matrizOK,$A49&lt;=nVariables,S$7&lt;=nVariables,$A49&lt;&gt;S$7),M!J49,0)</f>
        <v/>
      </c>
      <c r="T49" s="97">
        <f>IF(AND(matrizOK,$A49&lt;=nVariables,T$7&lt;=nVariables,$A49&lt;&gt;T$7),M!K49,0)</f>
        <v/>
      </c>
      <c r="U49" s="97">
        <f>IF(AND(matrizOK,$A49&lt;=nVariables,U$7&lt;=nVariables,$A49&lt;&gt;U$7),M!L49,0)</f>
        <v/>
      </c>
      <c r="V49" s="97">
        <f>IF(AND(matrizOK,$A49&lt;=nVariables,V$7&lt;=nVariables,$A49&lt;&gt;V$7),M!M49,0)</f>
        <v/>
      </c>
      <c r="W49" s="97">
        <f>IF(AND(matrizOK,$A49&lt;=nVariables,W$7&lt;=nVariables,$A49&lt;&gt;W$7),M!N49,0)</f>
        <v/>
      </c>
      <c r="X49" s="97">
        <f>IF(AND(matrizOK,$A49&lt;=nVariables,X$7&lt;=nVariables,$A49&lt;&gt;X$7),M!O49,0)</f>
        <v/>
      </c>
      <c r="Y49" s="97">
        <f>IF(AND(matrizOK,$A49&lt;=nVariables,Y$7&lt;=nVariables,$A49&lt;&gt;Y$7),M!P49,0)</f>
        <v/>
      </c>
      <c r="Z49" s="97">
        <f>IF(AND(matrizOK,$A49&lt;=nVariables,Z$7&lt;=nVariables,$A49&lt;&gt;Z$7),M!Q49,0)</f>
        <v/>
      </c>
      <c r="AA49" s="97">
        <f>IF(AND(matrizOK,$A49&lt;=nVariables,AA$7&lt;=nVariables,$A49&lt;&gt;AA$7),M!R49,0)</f>
        <v/>
      </c>
      <c r="AB49" s="97">
        <f>IF(AND(matrizOK,$A49&lt;=nVariables,AB$7&lt;=nVariables,$A49&lt;&gt;AB$7),M!S49,0)</f>
        <v/>
      </c>
      <c r="AC49" s="97">
        <f>IF(AND(matrizOK,$A49&lt;=nVariables,AC$7&lt;=nVariables,$A49&lt;&gt;AC$7),M!T49,0)</f>
        <v/>
      </c>
      <c r="AD49" s="97">
        <f>IF(AND(matrizOK,$A49&lt;=nVariables,AD$7&lt;=nVariables,$A49&lt;&gt;AD$7),M!U49,0)</f>
        <v/>
      </c>
      <c r="AE49" s="97">
        <f>IF(AND(matrizOK,$A49&lt;=nVariables,AE$7&lt;=nVariables,$A49&lt;&gt;AE$7),M!V49,0)</f>
        <v/>
      </c>
      <c r="AF49" s="97">
        <f>IF(AND(matrizOK,$A49&lt;=nVariables,AF$7&lt;=nVariables,$A49&lt;&gt;AF$7),M!W49,0)</f>
        <v/>
      </c>
      <c r="AG49" s="97">
        <f>IF(AND(matrizOK,$A49&lt;=nVariables,AG$7&lt;=nVariables,$A49&lt;&gt;AG$7),M!X49,0)</f>
        <v/>
      </c>
      <c r="AH49" s="97">
        <f>IF(AND(matrizOK,$A49&lt;=nVariables,AH$7&lt;=nVariables,$A49&lt;&gt;AH$7),M!Y49,0)</f>
        <v/>
      </c>
      <c r="AI49" s="97">
        <f>IF(AND(matrizOK,$A49&lt;=nVariables,AI$7&lt;=nVariables,$A49&lt;&gt;AI$7),M!Z49,0)</f>
        <v/>
      </c>
      <c r="AJ49" s="97">
        <f>IF(AND(matrizOK,$A49&lt;=nVariables,AJ$7&lt;=nVariables,$A49&lt;&gt;AJ$7),M!AA49,0)</f>
        <v/>
      </c>
      <c r="AK49" s="97">
        <f>IF(AND(matrizOK,$A49&lt;=nVariables,AK$7&lt;=nVariables,$A49&lt;&gt;AK$7),M!AB49,0)</f>
        <v/>
      </c>
      <c r="AL49" s="97">
        <f>IF(AND(matrizOK,$A49&lt;=nVariables,AL$7&lt;=nVariables,$A49&lt;&gt;AL$7),M!AC49,0)</f>
        <v/>
      </c>
      <c r="AM49" s="97">
        <f>IF(AND(matrizOK,$A49&lt;=nVariables,AM$7&lt;=nVariables,$A49&lt;&gt;AM$7),M!AD49,0)</f>
        <v/>
      </c>
      <c r="AN49" s="97">
        <f>IF(AND(matrizOK,$A49&lt;=nVariables,AN$7&lt;=nVariables,$A49&lt;&gt;AN$7),M!AE49,0)</f>
        <v/>
      </c>
      <c r="AO49" s="97">
        <f>IF(AND(matrizOK,$A49&lt;=nVariables,AO$7&lt;=nVariables,$A49&lt;&gt;AO$7),M!AF49,0)</f>
        <v/>
      </c>
      <c r="AP49" s="97">
        <f>IF(AND(matrizOK,$A49&lt;=nVariables,AP$7&lt;=nVariables,$A49&lt;&gt;AP$7),M!AG49,0)</f>
        <v/>
      </c>
      <c r="AQ49" s="97">
        <f>IF(AND(matrizOK,$A49&lt;=nVariables,AQ$7&lt;=nVariables,$A49&lt;&gt;AQ$7),M!AH49,0)</f>
        <v/>
      </c>
      <c r="AR49" s="97">
        <f>IF(AND(matrizOK,$A49&lt;=nVariables,AR$7&lt;=nVariables,$A49&lt;&gt;AR$7),M!AI49,0)</f>
        <v/>
      </c>
      <c r="AS49" s="97">
        <f>IF(AND(matrizOK,$A49&lt;=nVariables,AS$7&lt;=nVariables,$A49&lt;&gt;AS$7),M!AJ49,0)</f>
        <v/>
      </c>
      <c r="AT49" s="97">
        <f>IF(AND(matrizOK,$A49&lt;=nVariables,AT$7&lt;=nVariables,$A49&lt;&gt;AT$7),M!AK49,0)</f>
        <v/>
      </c>
      <c r="AU49" s="97">
        <f>IF(AND(matrizOK,$A49&lt;=nVariables,AU$7&lt;=nVariables,$A49&lt;&gt;AU$7),M!AL49,0)</f>
        <v/>
      </c>
      <c r="AV49" s="97">
        <f>IF(AND(matrizOK,$A49&lt;=nVariables,AV$7&lt;=nVariables,$A49&lt;&gt;AV$7),M!AM49,0)</f>
        <v/>
      </c>
      <c r="AW49" s="97">
        <f>IF(AND(matrizOK,$A49&lt;=nVariables,AW$7&lt;=nVariables,$A49&lt;&gt;AW$7),M!AN49,0)</f>
        <v/>
      </c>
      <c r="AX49" s="97">
        <f>IF(AND(matrizOK,$A49&lt;=nVariables,AX$7&lt;=nVariables,$A49&lt;&gt;AX$7),M!AO49,0)</f>
        <v/>
      </c>
      <c r="AY49" s="97">
        <f>IF(AND(matrizOK,$A49&lt;=nVariables,AY$7&lt;=nVariables,$A49&lt;&gt;AY$7),M!AP49,0)</f>
        <v/>
      </c>
      <c r="AZ49" s="97">
        <f>IF(AND(matrizOK,$A49&lt;=nVariables,AZ$7&lt;=nVariables,$A49&lt;&gt;AZ$7),M!AQ49,0)</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4.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G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8.5" customWidth="1" style="62" min="13" max="52"/>
  </cols>
  <sheetData>
    <row r="1" ht="30" customHeight="1" s="62">
      <c r="A1" s="65" t="inlineStr">
        <is>
          <t>M2  |  Recorridos de exactamente 2 vínculos</t>
        </is>
      </c>
    </row>
    <row r="2" ht="46" customHeight="1" s="62">
      <c r="A2" s="63" t="inlineStr">
        <is>
          <t>Cada celda suma productos de una fila de M1 por una columna de M (≡ M1). Los valores son pesos de recorridos, no personas ni porcentajes. Regla: M2 = M1 × M. No eleve cada celda al exponente 2; no multiplique M1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SUMPRODUCT(MMULT('M1'!$M10:$AZ10,'M1'!M$10:M$49))</f>
        <v/>
      </c>
      <c r="N10" s="97">
        <f>SUMPRODUCT(MMULT('M1'!$M10:$AZ10,'M1'!N$10:N$49))</f>
        <v/>
      </c>
      <c r="O10" s="97">
        <f>SUMPRODUCT(MMULT('M1'!$M10:$AZ10,'M1'!O$10:O$49))</f>
        <v/>
      </c>
      <c r="P10" s="97">
        <f>SUMPRODUCT(MMULT('M1'!$M10:$AZ10,'M1'!P$10:P$49))</f>
        <v/>
      </c>
      <c r="Q10" s="97">
        <f>SUMPRODUCT(MMULT('M1'!$M10:$AZ10,'M1'!Q$10:Q$49))</f>
        <v/>
      </c>
      <c r="R10" s="97">
        <f>SUMPRODUCT(MMULT('M1'!$M10:$AZ10,'M1'!R$10:R$49))</f>
        <v/>
      </c>
      <c r="S10" s="97">
        <f>SUMPRODUCT(MMULT('M1'!$M10:$AZ10,'M1'!S$10:S$49))</f>
        <v/>
      </c>
      <c r="T10" s="97">
        <f>SUMPRODUCT(MMULT('M1'!$M10:$AZ10,'M1'!T$10:T$49))</f>
        <v/>
      </c>
      <c r="U10" s="97">
        <f>SUMPRODUCT(MMULT('M1'!$M10:$AZ10,'M1'!U$10:U$49))</f>
        <v/>
      </c>
      <c r="V10" s="97">
        <f>SUMPRODUCT(MMULT('M1'!$M10:$AZ10,'M1'!V$10:V$49))</f>
        <v/>
      </c>
      <c r="W10" s="97">
        <f>SUMPRODUCT(MMULT('M1'!$M10:$AZ10,'M1'!W$10:W$49))</f>
        <v/>
      </c>
      <c r="X10" s="97">
        <f>SUMPRODUCT(MMULT('M1'!$M10:$AZ10,'M1'!X$10:X$49))</f>
        <v/>
      </c>
      <c r="Y10" s="97">
        <f>SUMPRODUCT(MMULT('M1'!$M10:$AZ10,'M1'!Y$10:Y$49))</f>
        <v/>
      </c>
      <c r="Z10" s="97">
        <f>SUMPRODUCT(MMULT('M1'!$M10:$AZ10,'M1'!Z$10:Z$49))</f>
        <v/>
      </c>
      <c r="AA10" s="97">
        <f>SUMPRODUCT(MMULT('M1'!$M10:$AZ10,'M1'!AA$10:AA$49))</f>
        <v/>
      </c>
      <c r="AB10" s="97">
        <f>SUMPRODUCT(MMULT('M1'!$M10:$AZ10,'M1'!AB$10:AB$49))</f>
        <v/>
      </c>
      <c r="AC10" s="97">
        <f>SUMPRODUCT(MMULT('M1'!$M10:$AZ10,'M1'!AC$10:AC$49))</f>
        <v/>
      </c>
      <c r="AD10" s="97">
        <f>SUMPRODUCT(MMULT('M1'!$M10:$AZ10,'M1'!AD$10:AD$49))</f>
        <v/>
      </c>
      <c r="AE10" s="97">
        <f>SUMPRODUCT(MMULT('M1'!$M10:$AZ10,'M1'!AE$10:AE$49))</f>
        <v/>
      </c>
      <c r="AF10" s="97">
        <f>SUMPRODUCT(MMULT('M1'!$M10:$AZ10,'M1'!AF$10:AF$49))</f>
        <v/>
      </c>
      <c r="AG10" s="97">
        <f>SUMPRODUCT(MMULT('M1'!$M10:$AZ10,'M1'!AG$10:AG$49))</f>
        <v/>
      </c>
      <c r="AH10" s="97">
        <f>SUMPRODUCT(MMULT('M1'!$M10:$AZ10,'M1'!AH$10:AH$49))</f>
        <v/>
      </c>
      <c r="AI10" s="97">
        <f>SUMPRODUCT(MMULT('M1'!$M10:$AZ10,'M1'!AI$10:AI$49))</f>
        <v/>
      </c>
      <c r="AJ10" s="97">
        <f>SUMPRODUCT(MMULT('M1'!$M10:$AZ10,'M1'!AJ$10:AJ$49))</f>
        <v/>
      </c>
      <c r="AK10" s="97">
        <f>SUMPRODUCT(MMULT('M1'!$M10:$AZ10,'M1'!AK$10:AK$49))</f>
        <v/>
      </c>
      <c r="AL10" s="97">
        <f>SUMPRODUCT(MMULT('M1'!$M10:$AZ10,'M1'!AL$10:AL$49))</f>
        <v/>
      </c>
      <c r="AM10" s="97">
        <f>SUMPRODUCT(MMULT('M1'!$M10:$AZ10,'M1'!AM$10:AM$49))</f>
        <v/>
      </c>
      <c r="AN10" s="97">
        <f>SUMPRODUCT(MMULT('M1'!$M10:$AZ10,'M1'!AN$10:AN$49))</f>
        <v/>
      </c>
      <c r="AO10" s="97">
        <f>SUMPRODUCT(MMULT('M1'!$M10:$AZ10,'M1'!AO$10:AO$49))</f>
        <v/>
      </c>
      <c r="AP10" s="97">
        <f>SUMPRODUCT(MMULT('M1'!$M10:$AZ10,'M1'!AP$10:AP$49))</f>
        <v/>
      </c>
      <c r="AQ10" s="97">
        <f>SUMPRODUCT(MMULT('M1'!$M10:$AZ10,'M1'!AQ$10:AQ$49))</f>
        <v/>
      </c>
      <c r="AR10" s="97">
        <f>SUMPRODUCT(MMULT('M1'!$M10:$AZ10,'M1'!AR$10:AR$49))</f>
        <v/>
      </c>
      <c r="AS10" s="97">
        <f>SUMPRODUCT(MMULT('M1'!$M10:$AZ10,'M1'!AS$10:AS$49))</f>
        <v/>
      </c>
      <c r="AT10" s="97">
        <f>SUMPRODUCT(MMULT('M1'!$M10:$AZ10,'M1'!AT$10:AT$49))</f>
        <v/>
      </c>
      <c r="AU10" s="97">
        <f>SUMPRODUCT(MMULT('M1'!$M10:$AZ10,'M1'!AU$10:AU$49))</f>
        <v/>
      </c>
      <c r="AV10" s="97">
        <f>SUMPRODUCT(MMULT('M1'!$M10:$AZ10,'M1'!AV$10:AV$49))</f>
        <v/>
      </c>
      <c r="AW10" s="97">
        <f>SUMPRODUCT(MMULT('M1'!$M10:$AZ10,'M1'!AW$10:AW$49))</f>
        <v/>
      </c>
      <c r="AX10" s="97">
        <f>SUMPRODUCT(MMULT('M1'!$M10:$AZ10,'M1'!AX$10:AX$49))</f>
        <v/>
      </c>
      <c r="AY10" s="97">
        <f>SUMPRODUCT(MMULT('M1'!$M10:$AZ10,'M1'!AY$10:AY$49))</f>
        <v/>
      </c>
      <c r="AZ10" s="97">
        <f>SUMPRODUCT(MMULT('M1'!$M10:$AZ10,'M1'!AZ$10:AZ$49))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SUMPRODUCT(MMULT('M1'!$M11:$AZ11,'M1'!M$10:M$49))</f>
        <v/>
      </c>
      <c r="N11" s="97">
        <f>SUMPRODUCT(MMULT('M1'!$M11:$AZ11,'M1'!N$10:N$49))</f>
        <v/>
      </c>
      <c r="O11" s="97">
        <f>SUMPRODUCT(MMULT('M1'!$M11:$AZ11,'M1'!O$10:O$49))</f>
        <v/>
      </c>
      <c r="P11" s="97">
        <f>SUMPRODUCT(MMULT('M1'!$M11:$AZ11,'M1'!P$10:P$49))</f>
        <v/>
      </c>
      <c r="Q11" s="97">
        <f>SUMPRODUCT(MMULT('M1'!$M11:$AZ11,'M1'!Q$10:Q$49))</f>
        <v/>
      </c>
      <c r="R11" s="97">
        <f>SUMPRODUCT(MMULT('M1'!$M11:$AZ11,'M1'!R$10:R$49))</f>
        <v/>
      </c>
      <c r="S11" s="97">
        <f>SUMPRODUCT(MMULT('M1'!$M11:$AZ11,'M1'!S$10:S$49))</f>
        <v/>
      </c>
      <c r="T11" s="97">
        <f>SUMPRODUCT(MMULT('M1'!$M11:$AZ11,'M1'!T$10:T$49))</f>
        <v/>
      </c>
      <c r="U11" s="97">
        <f>SUMPRODUCT(MMULT('M1'!$M11:$AZ11,'M1'!U$10:U$49))</f>
        <v/>
      </c>
      <c r="V11" s="97">
        <f>SUMPRODUCT(MMULT('M1'!$M11:$AZ11,'M1'!V$10:V$49))</f>
        <v/>
      </c>
      <c r="W11" s="97">
        <f>SUMPRODUCT(MMULT('M1'!$M11:$AZ11,'M1'!W$10:W$49))</f>
        <v/>
      </c>
      <c r="X11" s="97">
        <f>SUMPRODUCT(MMULT('M1'!$M11:$AZ11,'M1'!X$10:X$49))</f>
        <v/>
      </c>
      <c r="Y11" s="97">
        <f>SUMPRODUCT(MMULT('M1'!$M11:$AZ11,'M1'!Y$10:Y$49))</f>
        <v/>
      </c>
      <c r="Z11" s="97">
        <f>SUMPRODUCT(MMULT('M1'!$M11:$AZ11,'M1'!Z$10:Z$49))</f>
        <v/>
      </c>
      <c r="AA11" s="97">
        <f>SUMPRODUCT(MMULT('M1'!$M11:$AZ11,'M1'!AA$10:AA$49))</f>
        <v/>
      </c>
      <c r="AB11" s="97">
        <f>SUMPRODUCT(MMULT('M1'!$M11:$AZ11,'M1'!AB$10:AB$49))</f>
        <v/>
      </c>
      <c r="AC11" s="97">
        <f>SUMPRODUCT(MMULT('M1'!$M11:$AZ11,'M1'!AC$10:AC$49))</f>
        <v/>
      </c>
      <c r="AD11" s="97">
        <f>SUMPRODUCT(MMULT('M1'!$M11:$AZ11,'M1'!AD$10:AD$49))</f>
        <v/>
      </c>
      <c r="AE11" s="97">
        <f>SUMPRODUCT(MMULT('M1'!$M11:$AZ11,'M1'!AE$10:AE$49))</f>
        <v/>
      </c>
      <c r="AF11" s="97">
        <f>SUMPRODUCT(MMULT('M1'!$M11:$AZ11,'M1'!AF$10:AF$49))</f>
        <v/>
      </c>
      <c r="AG11" s="97">
        <f>SUMPRODUCT(MMULT('M1'!$M11:$AZ11,'M1'!AG$10:AG$49))</f>
        <v/>
      </c>
      <c r="AH11" s="97">
        <f>SUMPRODUCT(MMULT('M1'!$M11:$AZ11,'M1'!AH$10:AH$49))</f>
        <v/>
      </c>
      <c r="AI11" s="97">
        <f>SUMPRODUCT(MMULT('M1'!$M11:$AZ11,'M1'!AI$10:AI$49))</f>
        <v/>
      </c>
      <c r="AJ11" s="97">
        <f>SUMPRODUCT(MMULT('M1'!$M11:$AZ11,'M1'!AJ$10:AJ$49))</f>
        <v/>
      </c>
      <c r="AK11" s="97">
        <f>SUMPRODUCT(MMULT('M1'!$M11:$AZ11,'M1'!AK$10:AK$49))</f>
        <v/>
      </c>
      <c r="AL11" s="97">
        <f>SUMPRODUCT(MMULT('M1'!$M11:$AZ11,'M1'!AL$10:AL$49))</f>
        <v/>
      </c>
      <c r="AM11" s="97">
        <f>SUMPRODUCT(MMULT('M1'!$M11:$AZ11,'M1'!AM$10:AM$49))</f>
        <v/>
      </c>
      <c r="AN11" s="97">
        <f>SUMPRODUCT(MMULT('M1'!$M11:$AZ11,'M1'!AN$10:AN$49))</f>
        <v/>
      </c>
      <c r="AO11" s="97">
        <f>SUMPRODUCT(MMULT('M1'!$M11:$AZ11,'M1'!AO$10:AO$49))</f>
        <v/>
      </c>
      <c r="AP11" s="97">
        <f>SUMPRODUCT(MMULT('M1'!$M11:$AZ11,'M1'!AP$10:AP$49))</f>
        <v/>
      </c>
      <c r="AQ11" s="97">
        <f>SUMPRODUCT(MMULT('M1'!$M11:$AZ11,'M1'!AQ$10:AQ$49))</f>
        <v/>
      </c>
      <c r="AR11" s="97">
        <f>SUMPRODUCT(MMULT('M1'!$M11:$AZ11,'M1'!AR$10:AR$49))</f>
        <v/>
      </c>
      <c r="AS11" s="97">
        <f>SUMPRODUCT(MMULT('M1'!$M11:$AZ11,'M1'!AS$10:AS$49))</f>
        <v/>
      </c>
      <c r="AT11" s="97">
        <f>SUMPRODUCT(MMULT('M1'!$M11:$AZ11,'M1'!AT$10:AT$49))</f>
        <v/>
      </c>
      <c r="AU11" s="97">
        <f>SUMPRODUCT(MMULT('M1'!$M11:$AZ11,'M1'!AU$10:AU$49))</f>
        <v/>
      </c>
      <c r="AV11" s="97">
        <f>SUMPRODUCT(MMULT('M1'!$M11:$AZ11,'M1'!AV$10:AV$49))</f>
        <v/>
      </c>
      <c r="AW11" s="97">
        <f>SUMPRODUCT(MMULT('M1'!$M11:$AZ11,'M1'!AW$10:AW$49))</f>
        <v/>
      </c>
      <c r="AX11" s="97">
        <f>SUMPRODUCT(MMULT('M1'!$M11:$AZ11,'M1'!AX$10:AX$49))</f>
        <v/>
      </c>
      <c r="AY11" s="97">
        <f>SUMPRODUCT(MMULT('M1'!$M11:$AZ11,'M1'!AY$10:AY$49))</f>
        <v/>
      </c>
      <c r="AZ11" s="97">
        <f>SUMPRODUCT(MMULT('M1'!$M11:$AZ11,'M1'!AZ$10:AZ$49))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SUMPRODUCT(MMULT('M1'!$M12:$AZ12,'M1'!M$10:M$49))</f>
        <v/>
      </c>
      <c r="N12" s="97">
        <f>SUMPRODUCT(MMULT('M1'!$M12:$AZ12,'M1'!N$10:N$49))</f>
        <v/>
      </c>
      <c r="O12" s="97">
        <f>SUMPRODUCT(MMULT('M1'!$M12:$AZ12,'M1'!O$10:O$49))</f>
        <v/>
      </c>
      <c r="P12" s="97">
        <f>SUMPRODUCT(MMULT('M1'!$M12:$AZ12,'M1'!P$10:P$49))</f>
        <v/>
      </c>
      <c r="Q12" s="97">
        <f>SUMPRODUCT(MMULT('M1'!$M12:$AZ12,'M1'!Q$10:Q$49))</f>
        <v/>
      </c>
      <c r="R12" s="97">
        <f>SUMPRODUCT(MMULT('M1'!$M12:$AZ12,'M1'!R$10:R$49))</f>
        <v/>
      </c>
      <c r="S12" s="97">
        <f>SUMPRODUCT(MMULT('M1'!$M12:$AZ12,'M1'!S$10:S$49))</f>
        <v/>
      </c>
      <c r="T12" s="97">
        <f>SUMPRODUCT(MMULT('M1'!$M12:$AZ12,'M1'!T$10:T$49))</f>
        <v/>
      </c>
      <c r="U12" s="97">
        <f>SUMPRODUCT(MMULT('M1'!$M12:$AZ12,'M1'!U$10:U$49))</f>
        <v/>
      </c>
      <c r="V12" s="97">
        <f>SUMPRODUCT(MMULT('M1'!$M12:$AZ12,'M1'!V$10:V$49))</f>
        <v/>
      </c>
      <c r="W12" s="97">
        <f>SUMPRODUCT(MMULT('M1'!$M12:$AZ12,'M1'!W$10:W$49))</f>
        <v/>
      </c>
      <c r="X12" s="97">
        <f>SUMPRODUCT(MMULT('M1'!$M12:$AZ12,'M1'!X$10:X$49))</f>
        <v/>
      </c>
      <c r="Y12" s="97">
        <f>SUMPRODUCT(MMULT('M1'!$M12:$AZ12,'M1'!Y$10:Y$49))</f>
        <v/>
      </c>
      <c r="Z12" s="97">
        <f>SUMPRODUCT(MMULT('M1'!$M12:$AZ12,'M1'!Z$10:Z$49))</f>
        <v/>
      </c>
      <c r="AA12" s="97">
        <f>SUMPRODUCT(MMULT('M1'!$M12:$AZ12,'M1'!AA$10:AA$49))</f>
        <v/>
      </c>
      <c r="AB12" s="97">
        <f>SUMPRODUCT(MMULT('M1'!$M12:$AZ12,'M1'!AB$10:AB$49))</f>
        <v/>
      </c>
      <c r="AC12" s="97">
        <f>SUMPRODUCT(MMULT('M1'!$M12:$AZ12,'M1'!AC$10:AC$49))</f>
        <v/>
      </c>
      <c r="AD12" s="97">
        <f>SUMPRODUCT(MMULT('M1'!$M12:$AZ12,'M1'!AD$10:AD$49))</f>
        <v/>
      </c>
      <c r="AE12" s="97">
        <f>SUMPRODUCT(MMULT('M1'!$M12:$AZ12,'M1'!AE$10:AE$49))</f>
        <v/>
      </c>
      <c r="AF12" s="97">
        <f>SUMPRODUCT(MMULT('M1'!$M12:$AZ12,'M1'!AF$10:AF$49))</f>
        <v/>
      </c>
      <c r="AG12" s="97">
        <f>SUMPRODUCT(MMULT('M1'!$M12:$AZ12,'M1'!AG$10:AG$49))</f>
        <v/>
      </c>
      <c r="AH12" s="97">
        <f>SUMPRODUCT(MMULT('M1'!$M12:$AZ12,'M1'!AH$10:AH$49))</f>
        <v/>
      </c>
      <c r="AI12" s="97">
        <f>SUMPRODUCT(MMULT('M1'!$M12:$AZ12,'M1'!AI$10:AI$49))</f>
        <v/>
      </c>
      <c r="AJ12" s="97">
        <f>SUMPRODUCT(MMULT('M1'!$M12:$AZ12,'M1'!AJ$10:AJ$49))</f>
        <v/>
      </c>
      <c r="AK12" s="97">
        <f>SUMPRODUCT(MMULT('M1'!$M12:$AZ12,'M1'!AK$10:AK$49))</f>
        <v/>
      </c>
      <c r="AL12" s="97">
        <f>SUMPRODUCT(MMULT('M1'!$M12:$AZ12,'M1'!AL$10:AL$49))</f>
        <v/>
      </c>
      <c r="AM12" s="97">
        <f>SUMPRODUCT(MMULT('M1'!$M12:$AZ12,'M1'!AM$10:AM$49))</f>
        <v/>
      </c>
      <c r="AN12" s="97">
        <f>SUMPRODUCT(MMULT('M1'!$M12:$AZ12,'M1'!AN$10:AN$49))</f>
        <v/>
      </c>
      <c r="AO12" s="97">
        <f>SUMPRODUCT(MMULT('M1'!$M12:$AZ12,'M1'!AO$10:AO$49))</f>
        <v/>
      </c>
      <c r="AP12" s="97">
        <f>SUMPRODUCT(MMULT('M1'!$M12:$AZ12,'M1'!AP$10:AP$49))</f>
        <v/>
      </c>
      <c r="AQ12" s="97">
        <f>SUMPRODUCT(MMULT('M1'!$M12:$AZ12,'M1'!AQ$10:AQ$49))</f>
        <v/>
      </c>
      <c r="AR12" s="97">
        <f>SUMPRODUCT(MMULT('M1'!$M12:$AZ12,'M1'!AR$10:AR$49))</f>
        <v/>
      </c>
      <c r="AS12" s="97">
        <f>SUMPRODUCT(MMULT('M1'!$M12:$AZ12,'M1'!AS$10:AS$49))</f>
        <v/>
      </c>
      <c r="AT12" s="97">
        <f>SUMPRODUCT(MMULT('M1'!$M12:$AZ12,'M1'!AT$10:AT$49))</f>
        <v/>
      </c>
      <c r="AU12" s="97">
        <f>SUMPRODUCT(MMULT('M1'!$M12:$AZ12,'M1'!AU$10:AU$49))</f>
        <v/>
      </c>
      <c r="AV12" s="97">
        <f>SUMPRODUCT(MMULT('M1'!$M12:$AZ12,'M1'!AV$10:AV$49))</f>
        <v/>
      </c>
      <c r="AW12" s="97">
        <f>SUMPRODUCT(MMULT('M1'!$M12:$AZ12,'M1'!AW$10:AW$49))</f>
        <v/>
      </c>
      <c r="AX12" s="97">
        <f>SUMPRODUCT(MMULT('M1'!$M12:$AZ12,'M1'!AX$10:AX$49))</f>
        <v/>
      </c>
      <c r="AY12" s="97">
        <f>SUMPRODUCT(MMULT('M1'!$M12:$AZ12,'M1'!AY$10:AY$49))</f>
        <v/>
      </c>
      <c r="AZ12" s="97">
        <f>SUMPRODUCT(MMULT('M1'!$M12:$AZ12,'M1'!AZ$10:AZ$49))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SUMPRODUCT(MMULT('M1'!$M13:$AZ13,'M1'!M$10:M$49))</f>
        <v/>
      </c>
      <c r="N13" s="97">
        <f>SUMPRODUCT(MMULT('M1'!$M13:$AZ13,'M1'!N$10:N$49))</f>
        <v/>
      </c>
      <c r="O13" s="97">
        <f>SUMPRODUCT(MMULT('M1'!$M13:$AZ13,'M1'!O$10:O$49))</f>
        <v/>
      </c>
      <c r="P13" s="97">
        <f>SUMPRODUCT(MMULT('M1'!$M13:$AZ13,'M1'!P$10:P$49))</f>
        <v/>
      </c>
      <c r="Q13" s="97">
        <f>SUMPRODUCT(MMULT('M1'!$M13:$AZ13,'M1'!Q$10:Q$49))</f>
        <v/>
      </c>
      <c r="R13" s="97">
        <f>SUMPRODUCT(MMULT('M1'!$M13:$AZ13,'M1'!R$10:R$49))</f>
        <v/>
      </c>
      <c r="S13" s="97">
        <f>SUMPRODUCT(MMULT('M1'!$M13:$AZ13,'M1'!S$10:S$49))</f>
        <v/>
      </c>
      <c r="T13" s="97">
        <f>SUMPRODUCT(MMULT('M1'!$M13:$AZ13,'M1'!T$10:T$49))</f>
        <v/>
      </c>
      <c r="U13" s="97">
        <f>SUMPRODUCT(MMULT('M1'!$M13:$AZ13,'M1'!U$10:U$49))</f>
        <v/>
      </c>
      <c r="V13" s="97">
        <f>SUMPRODUCT(MMULT('M1'!$M13:$AZ13,'M1'!V$10:V$49))</f>
        <v/>
      </c>
      <c r="W13" s="97">
        <f>SUMPRODUCT(MMULT('M1'!$M13:$AZ13,'M1'!W$10:W$49))</f>
        <v/>
      </c>
      <c r="X13" s="97">
        <f>SUMPRODUCT(MMULT('M1'!$M13:$AZ13,'M1'!X$10:X$49))</f>
        <v/>
      </c>
      <c r="Y13" s="97">
        <f>SUMPRODUCT(MMULT('M1'!$M13:$AZ13,'M1'!Y$10:Y$49))</f>
        <v/>
      </c>
      <c r="Z13" s="97">
        <f>SUMPRODUCT(MMULT('M1'!$M13:$AZ13,'M1'!Z$10:Z$49))</f>
        <v/>
      </c>
      <c r="AA13" s="97">
        <f>SUMPRODUCT(MMULT('M1'!$M13:$AZ13,'M1'!AA$10:AA$49))</f>
        <v/>
      </c>
      <c r="AB13" s="97">
        <f>SUMPRODUCT(MMULT('M1'!$M13:$AZ13,'M1'!AB$10:AB$49))</f>
        <v/>
      </c>
      <c r="AC13" s="97">
        <f>SUMPRODUCT(MMULT('M1'!$M13:$AZ13,'M1'!AC$10:AC$49))</f>
        <v/>
      </c>
      <c r="AD13" s="97">
        <f>SUMPRODUCT(MMULT('M1'!$M13:$AZ13,'M1'!AD$10:AD$49))</f>
        <v/>
      </c>
      <c r="AE13" s="97">
        <f>SUMPRODUCT(MMULT('M1'!$M13:$AZ13,'M1'!AE$10:AE$49))</f>
        <v/>
      </c>
      <c r="AF13" s="97">
        <f>SUMPRODUCT(MMULT('M1'!$M13:$AZ13,'M1'!AF$10:AF$49))</f>
        <v/>
      </c>
      <c r="AG13" s="97">
        <f>SUMPRODUCT(MMULT('M1'!$M13:$AZ13,'M1'!AG$10:AG$49))</f>
        <v/>
      </c>
      <c r="AH13" s="97">
        <f>SUMPRODUCT(MMULT('M1'!$M13:$AZ13,'M1'!AH$10:AH$49))</f>
        <v/>
      </c>
      <c r="AI13" s="97">
        <f>SUMPRODUCT(MMULT('M1'!$M13:$AZ13,'M1'!AI$10:AI$49))</f>
        <v/>
      </c>
      <c r="AJ13" s="97">
        <f>SUMPRODUCT(MMULT('M1'!$M13:$AZ13,'M1'!AJ$10:AJ$49))</f>
        <v/>
      </c>
      <c r="AK13" s="97">
        <f>SUMPRODUCT(MMULT('M1'!$M13:$AZ13,'M1'!AK$10:AK$49))</f>
        <v/>
      </c>
      <c r="AL13" s="97">
        <f>SUMPRODUCT(MMULT('M1'!$M13:$AZ13,'M1'!AL$10:AL$49))</f>
        <v/>
      </c>
      <c r="AM13" s="97">
        <f>SUMPRODUCT(MMULT('M1'!$M13:$AZ13,'M1'!AM$10:AM$49))</f>
        <v/>
      </c>
      <c r="AN13" s="97">
        <f>SUMPRODUCT(MMULT('M1'!$M13:$AZ13,'M1'!AN$10:AN$49))</f>
        <v/>
      </c>
      <c r="AO13" s="97">
        <f>SUMPRODUCT(MMULT('M1'!$M13:$AZ13,'M1'!AO$10:AO$49))</f>
        <v/>
      </c>
      <c r="AP13" s="97">
        <f>SUMPRODUCT(MMULT('M1'!$M13:$AZ13,'M1'!AP$10:AP$49))</f>
        <v/>
      </c>
      <c r="AQ13" s="97">
        <f>SUMPRODUCT(MMULT('M1'!$M13:$AZ13,'M1'!AQ$10:AQ$49))</f>
        <v/>
      </c>
      <c r="AR13" s="97">
        <f>SUMPRODUCT(MMULT('M1'!$M13:$AZ13,'M1'!AR$10:AR$49))</f>
        <v/>
      </c>
      <c r="AS13" s="97">
        <f>SUMPRODUCT(MMULT('M1'!$M13:$AZ13,'M1'!AS$10:AS$49))</f>
        <v/>
      </c>
      <c r="AT13" s="97">
        <f>SUMPRODUCT(MMULT('M1'!$M13:$AZ13,'M1'!AT$10:AT$49))</f>
        <v/>
      </c>
      <c r="AU13" s="97">
        <f>SUMPRODUCT(MMULT('M1'!$M13:$AZ13,'M1'!AU$10:AU$49))</f>
        <v/>
      </c>
      <c r="AV13" s="97">
        <f>SUMPRODUCT(MMULT('M1'!$M13:$AZ13,'M1'!AV$10:AV$49))</f>
        <v/>
      </c>
      <c r="AW13" s="97">
        <f>SUMPRODUCT(MMULT('M1'!$M13:$AZ13,'M1'!AW$10:AW$49))</f>
        <v/>
      </c>
      <c r="AX13" s="97">
        <f>SUMPRODUCT(MMULT('M1'!$M13:$AZ13,'M1'!AX$10:AX$49))</f>
        <v/>
      </c>
      <c r="AY13" s="97">
        <f>SUMPRODUCT(MMULT('M1'!$M13:$AZ13,'M1'!AY$10:AY$49))</f>
        <v/>
      </c>
      <c r="AZ13" s="97">
        <f>SUMPRODUCT(MMULT('M1'!$M13:$AZ13,'M1'!AZ$10:AZ$49))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SUMPRODUCT(MMULT('M1'!$M14:$AZ14,'M1'!M$10:M$49))</f>
        <v/>
      </c>
      <c r="N14" s="97">
        <f>SUMPRODUCT(MMULT('M1'!$M14:$AZ14,'M1'!N$10:N$49))</f>
        <v/>
      </c>
      <c r="O14" s="97">
        <f>SUMPRODUCT(MMULT('M1'!$M14:$AZ14,'M1'!O$10:O$49))</f>
        <v/>
      </c>
      <c r="P14" s="97">
        <f>SUMPRODUCT(MMULT('M1'!$M14:$AZ14,'M1'!P$10:P$49))</f>
        <v/>
      </c>
      <c r="Q14" s="97">
        <f>SUMPRODUCT(MMULT('M1'!$M14:$AZ14,'M1'!Q$10:Q$49))</f>
        <v/>
      </c>
      <c r="R14" s="97">
        <f>SUMPRODUCT(MMULT('M1'!$M14:$AZ14,'M1'!R$10:R$49))</f>
        <v/>
      </c>
      <c r="S14" s="97">
        <f>SUMPRODUCT(MMULT('M1'!$M14:$AZ14,'M1'!S$10:S$49))</f>
        <v/>
      </c>
      <c r="T14" s="97">
        <f>SUMPRODUCT(MMULT('M1'!$M14:$AZ14,'M1'!T$10:T$49))</f>
        <v/>
      </c>
      <c r="U14" s="97">
        <f>SUMPRODUCT(MMULT('M1'!$M14:$AZ14,'M1'!U$10:U$49))</f>
        <v/>
      </c>
      <c r="V14" s="97">
        <f>SUMPRODUCT(MMULT('M1'!$M14:$AZ14,'M1'!V$10:V$49))</f>
        <v/>
      </c>
      <c r="W14" s="97">
        <f>SUMPRODUCT(MMULT('M1'!$M14:$AZ14,'M1'!W$10:W$49))</f>
        <v/>
      </c>
      <c r="X14" s="97">
        <f>SUMPRODUCT(MMULT('M1'!$M14:$AZ14,'M1'!X$10:X$49))</f>
        <v/>
      </c>
      <c r="Y14" s="97">
        <f>SUMPRODUCT(MMULT('M1'!$M14:$AZ14,'M1'!Y$10:Y$49))</f>
        <v/>
      </c>
      <c r="Z14" s="97">
        <f>SUMPRODUCT(MMULT('M1'!$M14:$AZ14,'M1'!Z$10:Z$49))</f>
        <v/>
      </c>
      <c r="AA14" s="97">
        <f>SUMPRODUCT(MMULT('M1'!$M14:$AZ14,'M1'!AA$10:AA$49))</f>
        <v/>
      </c>
      <c r="AB14" s="97">
        <f>SUMPRODUCT(MMULT('M1'!$M14:$AZ14,'M1'!AB$10:AB$49))</f>
        <v/>
      </c>
      <c r="AC14" s="97">
        <f>SUMPRODUCT(MMULT('M1'!$M14:$AZ14,'M1'!AC$10:AC$49))</f>
        <v/>
      </c>
      <c r="AD14" s="97">
        <f>SUMPRODUCT(MMULT('M1'!$M14:$AZ14,'M1'!AD$10:AD$49))</f>
        <v/>
      </c>
      <c r="AE14" s="97">
        <f>SUMPRODUCT(MMULT('M1'!$M14:$AZ14,'M1'!AE$10:AE$49))</f>
        <v/>
      </c>
      <c r="AF14" s="97">
        <f>SUMPRODUCT(MMULT('M1'!$M14:$AZ14,'M1'!AF$10:AF$49))</f>
        <v/>
      </c>
      <c r="AG14" s="97">
        <f>SUMPRODUCT(MMULT('M1'!$M14:$AZ14,'M1'!AG$10:AG$49))</f>
        <v/>
      </c>
      <c r="AH14" s="97">
        <f>SUMPRODUCT(MMULT('M1'!$M14:$AZ14,'M1'!AH$10:AH$49))</f>
        <v/>
      </c>
      <c r="AI14" s="97">
        <f>SUMPRODUCT(MMULT('M1'!$M14:$AZ14,'M1'!AI$10:AI$49))</f>
        <v/>
      </c>
      <c r="AJ14" s="97">
        <f>SUMPRODUCT(MMULT('M1'!$M14:$AZ14,'M1'!AJ$10:AJ$49))</f>
        <v/>
      </c>
      <c r="AK14" s="97">
        <f>SUMPRODUCT(MMULT('M1'!$M14:$AZ14,'M1'!AK$10:AK$49))</f>
        <v/>
      </c>
      <c r="AL14" s="97">
        <f>SUMPRODUCT(MMULT('M1'!$M14:$AZ14,'M1'!AL$10:AL$49))</f>
        <v/>
      </c>
      <c r="AM14" s="97">
        <f>SUMPRODUCT(MMULT('M1'!$M14:$AZ14,'M1'!AM$10:AM$49))</f>
        <v/>
      </c>
      <c r="AN14" s="97">
        <f>SUMPRODUCT(MMULT('M1'!$M14:$AZ14,'M1'!AN$10:AN$49))</f>
        <v/>
      </c>
      <c r="AO14" s="97">
        <f>SUMPRODUCT(MMULT('M1'!$M14:$AZ14,'M1'!AO$10:AO$49))</f>
        <v/>
      </c>
      <c r="AP14" s="97">
        <f>SUMPRODUCT(MMULT('M1'!$M14:$AZ14,'M1'!AP$10:AP$49))</f>
        <v/>
      </c>
      <c r="AQ14" s="97">
        <f>SUMPRODUCT(MMULT('M1'!$M14:$AZ14,'M1'!AQ$10:AQ$49))</f>
        <v/>
      </c>
      <c r="AR14" s="97">
        <f>SUMPRODUCT(MMULT('M1'!$M14:$AZ14,'M1'!AR$10:AR$49))</f>
        <v/>
      </c>
      <c r="AS14" s="97">
        <f>SUMPRODUCT(MMULT('M1'!$M14:$AZ14,'M1'!AS$10:AS$49))</f>
        <v/>
      </c>
      <c r="AT14" s="97">
        <f>SUMPRODUCT(MMULT('M1'!$M14:$AZ14,'M1'!AT$10:AT$49))</f>
        <v/>
      </c>
      <c r="AU14" s="97">
        <f>SUMPRODUCT(MMULT('M1'!$M14:$AZ14,'M1'!AU$10:AU$49))</f>
        <v/>
      </c>
      <c r="AV14" s="97">
        <f>SUMPRODUCT(MMULT('M1'!$M14:$AZ14,'M1'!AV$10:AV$49))</f>
        <v/>
      </c>
      <c r="AW14" s="97">
        <f>SUMPRODUCT(MMULT('M1'!$M14:$AZ14,'M1'!AW$10:AW$49))</f>
        <v/>
      </c>
      <c r="AX14" s="97">
        <f>SUMPRODUCT(MMULT('M1'!$M14:$AZ14,'M1'!AX$10:AX$49))</f>
        <v/>
      </c>
      <c r="AY14" s="97">
        <f>SUMPRODUCT(MMULT('M1'!$M14:$AZ14,'M1'!AY$10:AY$49))</f>
        <v/>
      </c>
      <c r="AZ14" s="97">
        <f>SUMPRODUCT(MMULT('M1'!$M14:$AZ14,'M1'!AZ$10:AZ$49))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SUMPRODUCT(MMULT('M1'!$M15:$AZ15,'M1'!M$10:M$49))</f>
        <v/>
      </c>
      <c r="N15" s="97">
        <f>SUMPRODUCT(MMULT('M1'!$M15:$AZ15,'M1'!N$10:N$49))</f>
        <v/>
      </c>
      <c r="O15" s="97">
        <f>SUMPRODUCT(MMULT('M1'!$M15:$AZ15,'M1'!O$10:O$49))</f>
        <v/>
      </c>
      <c r="P15" s="97">
        <f>SUMPRODUCT(MMULT('M1'!$M15:$AZ15,'M1'!P$10:P$49))</f>
        <v/>
      </c>
      <c r="Q15" s="97">
        <f>SUMPRODUCT(MMULT('M1'!$M15:$AZ15,'M1'!Q$10:Q$49))</f>
        <v/>
      </c>
      <c r="R15" s="97">
        <f>SUMPRODUCT(MMULT('M1'!$M15:$AZ15,'M1'!R$10:R$49))</f>
        <v/>
      </c>
      <c r="S15" s="97">
        <f>SUMPRODUCT(MMULT('M1'!$M15:$AZ15,'M1'!S$10:S$49))</f>
        <v/>
      </c>
      <c r="T15" s="97">
        <f>SUMPRODUCT(MMULT('M1'!$M15:$AZ15,'M1'!T$10:T$49))</f>
        <v/>
      </c>
      <c r="U15" s="97">
        <f>SUMPRODUCT(MMULT('M1'!$M15:$AZ15,'M1'!U$10:U$49))</f>
        <v/>
      </c>
      <c r="V15" s="97">
        <f>SUMPRODUCT(MMULT('M1'!$M15:$AZ15,'M1'!V$10:V$49))</f>
        <v/>
      </c>
      <c r="W15" s="97">
        <f>SUMPRODUCT(MMULT('M1'!$M15:$AZ15,'M1'!W$10:W$49))</f>
        <v/>
      </c>
      <c r="X15" s="97">
        <f>SUMPRODUCT(MMULT('M1'!$M15:$AZ15,'M1'!X$10:X$49))</f>
        <v/>
      </c>
      <c r="Y15" s="97">
        <f>SUMPRODUCT(MMULT('M1'!$M15:$AZ15,'M1'!Y$10:Y$49))</f>
        <v/>
      </c>
      <c r="Z15" s="97">
        <f>SUMPRODUCT(MMULT('M1'!$M15:$AZ15,'M1'!Z$10:Z$49))</f>
        <v/>
      </c>
      <c r="AA15" s="97">
        <f>SUMPRODUCT(MMULT('M1'!$M15:$AZ15,'M1'!AA$10:AA$49))</f>
        <v/>
      </c>
      <c r="AB15" s="97">
        <f>SUMPRODUCT(MMULT('M1'!$M15:$AZ15,'M1'!AB$10:AB$49))</f>
        <v/>
      </c>
      <c r="AC15" s="97">
        <f>SUMPRODUCT(MMULT('M1'!$M15:$AZ15,'M1'!AC$10:AC$49))</f>
        <v/>
      </c>
      <c r="AD15" s="97">
        <f>SUMPRODUCT(MMULT('M1'!$M15:$AZ15,'M1'!AD$10:AD$49))</f>
        <v/>
      </c>
      <c r="AE15" s="97">
        <f>SUMPRODUCT(MMULT('M1'!$M15:$AZ15,'M1'!AE$10:AE$49))</f>
        <v/>
      </c>
      <c r="AF15" s="97">
        <f>SUMPRODUCT(MMULT('M1'!$M15:$AZ15,'M1'!AF$10:AF$49))</f>
        <v/>
      </c>
      <c r="AG15" s="97">
        <f>SUMPRODUCT(MMULT('M1'!$M15:$AZ15,'M1'!AG$10:AG$49))</f>
        <v/>
      </c>
      <c r="AH15" s="97">
        <f>SUMPRODUCT(MMULT('M1'!$M15:$AZ15,'M1'!AH$10:AH$49))</f>
        <v/>
      </c>
      <c r="AI15" s="97">
        <f>SUMPRODUCT(MMULT('M1'!$M15:$AZ15,'M1'!AI$10:AI$49))</f>
        <v/>
      </c>
      <c r="AJ15" s="97">
        <f>SUMPRODUCT(MMULT('M1'!$M15:$AZ15,'M1'!AJ$10:AJ$49))</f>
        <v/>
      </c>
      <c r="AK15" s="97">
        <f>SUMPRODUCT(MMULT('M1'!$M15:$AZ15,'M1'!AK$10:AK$49))</f>
        <v/>
      </c>
      <c r="AL15" s="97">
        <f>SUMPRODUCT(MMULT('M1'!$M15:$AZ15,'M1'!AL$10:AL$49))</f>
        <v/>
      </c>
      <c r="AM15" s="97">
        <f>SUMPRODUCT(MMULT('M1'!$M15:$AZ15,'M1'!AM$10:AM$49))</f>
        <v/>
      </c>
      <c r="AN15" s="97">
        <f>SUMPRODUCT(MMULT('M1'!$M15:$AZ15,'M1'!AN$10:AN$49))</f>
        <v/>
      </c>
      <c r="AO15" s="97">
        <f>SUMPRODUCT(MMULT('M1'!$M15:$AZ15,'M1'!AO$10:AO$49))</f>
        <v/>
      </c>
      <c r="AP15" s="97">
        <f>SUMPRODUCT(MMULT('M1'!$M15:$AZ15,'M1'!AP$10:AP$49))</f>
        <v/>
      </c>
      <c r="AQ15" s="97">
        <f>SUMPRODUCT(MMULT('M1'!$M15:$AZ15,'M1'!AQ$10:AQ$49))</f>
        <v/>
      </c>
      <c r="AR15" s="97">
        <f>SUMPRODUCT(MMULT('M1'!$M15:$AZ15,'M1'!AR$10:AR$49))</f>
        <v/>
      </c>
      <c r="AS15" s="97">
        <f>SUMPRODUCT(MMULT('M1'!$M15:$AZ15,'M1'!AS$10:AS$49))</f>
        <v/>
      </c>
      <c r="AT15" s="97">
        <f>SUMPRODUCT(MMULT('M1'!$M15:$AZ15,'M1'!AT$10:AT$49))</f>
        <v/>
      </c>
      <c r="AU15" s="97">
        <f>SUMPRODUCT(MMULT('M1'!$M15:$AZ15,'M1'!AU$10:AU$49))</f>
        <v/>
      </c>
      <c r="AV15" s="97">
        <f>SUMPRODUCT(MMULT('M1'!$M15:$AZ15,'M1'!AV$10:AV$49))</f>
        <v/>
      </c>
      <c r="AW15" s="97">
        <f>SUMPRODUCT(MMULT('M1'!$M15:$AZ15,'M1'!AW$10:AW$49))</f>
        <v/>
      </c>
      <c r="AX15" s="97">
        <f>SUMPRODUCT(MMULT('M1'!$M15:$AZ15,'M1'!AX$10:AX$49))</f>
        <v/>
      </c>
      <c r="AY15" s="97">
        <f>SUMPRODUCT(MMULT('M1'!$M15:$AZ15,'M1'!AY$10:AY$49))</f>
        <v/>
      </c>
      <c r="AZ15" s="97">
        <f>SUMPRODUCT(MMULT('M1'!$M15:$AZ15,'M1'!AZ$10:AZ$49))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SUMPRODUCT(MMULT('M1'!$M16:$AZ16,'M1'!M$10:M$49))</f>
        <v/>
      </c>
      <c r="N16" s="97">
        <f>SUMPRODUCT(MMULT('M1'!$M16:$AZ16,'M1'!N$10:N$49))</f>
        <v/>
      </c>
      <c r="O16" s="97">
        <f>SUMPRODUCT(MMULT('M1'!$M16:$AZ16,'M1'!O$10:O$49))</f>
        <v/>
      </c>
      <c r="P16" s="97">
        <f>SUMPRODUCT(MMULT('M1'!$M16:$AZ16,'M1'!P$10:P$49))</f>
        <v/>
      </c>
      <c r="Q16" s="97">
        <f>SUMPRODUCT(MMULT('M1'!$M16:$AZ16,'M1'!Q$10:Q$49))</f>
        <v/>
      </c>
      <c r="R16" s="97">
        <f>SUMPRODUCT(MMULT('M1'!$M16:$AZ16,'M1'!R$10:R$49))</f>
        <v/>
      </c>
      <c r="S16" s="97">
        <f>SUMPRODUCT(MMULT('M1'!$M16:$AZ16,'M1'!S$10:S$49))</f>
        <v/>
      </c>
      <c r="T16" s="97">
        <f>SUMPRODUCT(MMULT('M1'!$M16:$AZ16,'M1'!T$10:T$49))</f>
        <v/>
      </c>
      <c r="U16" s="97">
        <f>SUMPRODUCT(MMULT('M1'!$M16:$AZ16,'M1'!U$10:U$49))</f>
        <v/>
      </c>
      <c r="V16" s="97">
        <f>SUMPRODUCT(MMULT('M1'!$M16:$AZ16,'M1'!V$10:V$49))</f>
        <v/>
      </c>
      <c r="W16" s="97">
        <f>SUMPRODUCT(MMULT('M1'!$M16:$AZ16,'M1'!W$10:W$49))</f>
        <v/>
      </c>
      <c r="X16" s="97">
        <f>SUMPRODUCT(MMULT('M1'!$M16:$AZ16,'M1'!X$10:X$49))</f>
        <v/>
      </c>
      <c r="Y16" s="97">
        <f>SUMPRODUCT(MMULT('M1'!$M16:$AZ16,'M1'!Y$10:Y$49))</f>
        <v/>
      </c>
      <c r="Z16" s="97">
        <f>SUMPRODUCT(MMULT('M1'!$M16:$AZ16,'M1'!Z$10:Z$49))</f>
        <v/>
      </c>
      <c r="AA16" s="97">
        <f>SUMPRODUCT(MMULT('M1'!$M16:$AZ16,'M1'!AA$10:AA$49))</f>
        <v/>
      </c>
      <c r="AB16" s="97">
        <f>SUMPRODUCT(MMULT('M1'!$M16:$AZ16,'M1'!AB$10:AB$49))</f>
        <v/>
      </c>
      <c r="AC16" s="97">
        <f>SUMPRODUCT(MMULT('M1'!$M16:$AZ16,'M1'!AC$10:AC$49))</f>
        <v/>
      </c>
      <c r="AD16" s="97">
        <f>SUMPRODUCT(MMULT('M1'!$M16:$AZ16,'M1'!AD$10:AD$49))</f>
        <v/>
      </c>
      <c r="AE16" s="97">
        <f>SUMPRODUCT(MMULT('M1'!$M16:$AZ16,'M1'!AE$10:AE$49))</f>
        <v/>
      </c>
      <c r="AF16" s="97">
        <f>SUMPRODUCT(MMULT('M1'!$M16:$AZ16,'M1'!AF$10:AF$49))</f>
        <v/>
      </c>
      <c r="AG16" s="97">
        <f>SUMPRODUCT(MMULT('M1'!$M16:$AZ16,'M1'!AG$10:AG$49))</f>
        <v/>
      </c>
      <c r="AH16" s="97">
        <f>SUMPRODUCT(MMULT('M1'!$M16:$AZ16,'M1'!AH$10:AH$49))</f>
        <v/>
      </c>
      <c r="AI16" s="97">
        <f>SUMPRODUCT(MMULT('M1'!$M16:$AZ16,'M1'!AI$10:AI$49))</f>
        <v/>
      </c>
      <c r="AJ16" s="97">
        <f>SUMPRODUCT(MMULT('M1'!$M16:$AZ16,'M1'!AJ$10:AJ$49))</f>
        <v/>
      </c>
      <c r="AK16" s="97">
        <f>SUMPRODUCT(MMULT('M1'!$M16:$AZ16,'M1'!AK$10:AK$49))</f>
        <v/>
      </c>
      <c r="AL16" s="97">
        <f>SUMPRODUCT(MMULT('M1'!$M16:$AZ16,'M1'!AL$10:AL$49))</f>
        <v/>
      </c>
      <c r="AM16" s="97">
        <f>SUMPRODUCT(MMULT('M1'!$M16:$AZ16,'M1'!AM$10:AM$49))</f>
        <v/>
      </c>
      <c r="AN16" s="97">
        <f>SUMPRODUCT(MMULT('M1'!$M16:$AZ16,'M1'!AN$10:AN$49))</f>
        <v/>
      </c>
      <c r="AO16" s="97">
        <f>SUMPRODUCT(MMULT('M1'!$M16:$AZ16,'M1'!AO$10:AO$49))</f>
        <v/>
      </c>
      <c r="AP16" s="97">
        <f>SUMPRODUCT(MMULT('M1'!$M16:$AZ16,'M1'!AP$10:AP$49))</f>
        <v/>
      </c>
      <c r="AQ16" s="97">
        <f>SUMPRODUCT(MMULT('M1'!$M16:$AZ16,'M1'!AQ$10:AQ$49))</f>
        <v/>
      </c>
      <c r="AR16" s="97">
        <f>SUMPRODUCT(MMULT('M1'!$M16:$AZ16,'M1'!AR$10:AR$49))</f>
        <v/>
      </c>
      <c r="AS16" s="97">
        <f>SUMPRODUCT(MMULT('M1'!$M16:$AZ16,'M1'!AS$10:AS$49))</f>
        <v/>
      </c>
      <c r="AT16" s="97">
        <f>SUMPRODUCT(MMULT('M1'!$M16:$AZ16,'M1'!AT$10:AT$49))</f>
        <v/>
      </c>
      <c r="AU16" s="97">
        <f>SUMPRODUCT(MMULT('M1'!$M16:$AZ16,'M1'!AU$10:AU$49))</f>
        <v/>
      </c>
      <c r="AV16" s="97">
        <f>SUMPRODUCT(MMULT('M1'!$M16:$AZ16,'M1'!AV$10:AV$49))</f>
        <v/>
      </c>
      <c r="AW16" s="97">
        <f>SUMPRODUCT(MMULT('M1'!$M16:$AZ16,'M1'!AW$10:AW$49))</f>
        <v/>
      </c>
      <c r="AX16" s="97">
        <f>SUMPRODUCT(MMULT('M1'!$M16:$AZ16,'M1'!AX$10:AX$49))</f>
        <v/>
      </c>
      <c r="AY16" s="97">
        <f>SUMPRODUCT(MMULT('M1'!$M16:$AZ16,'M1'!AY$10:AY$49))</f>
        <v/>
      </c>
      <c r="AZ16" s="97">
        <f>SUMPRODUCT(MMULT('M1'!$M16:$AZ16,'M1'!AZ$10:AZ$49))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SUMPRODUCT(MMULT('M1'!$M17:$AZ17,'M1'!M$10:M$49))</f>
        <v/>
      </c>
      <c r="N17" s="97">
        <f>SUMPRODUCT(MMULT('M1'!$M17:$AZ17,'M1'!N$10:N$49))</f>
        <v/>
      </c>
      <c r="O17" s="97">
        <f>SUMPRODUCT(MMULT('M1'!$M17:$AZ17,'M1'!O$10:O$49))</f>
        <v/>
      </c>
      <c r="P17" s="97">
        <f>SUMPRODUCT(MMULT('M1'!$M17:$AZ17,'M1'!P$10:P$49))</f>
        <v/>
      </c>
      <c r="Q17" s="97">
        <f>SUMPRODUCT(MMULT('M1'!$M17:$AZ17,'M1'!Q$10:Q$49))</f>
        <v/>
      </c>
      <c r="R17" s="97">
        <f>SUMPRODUCT(MMULT('M1'!$M17:$AZ17,'M1'!R$10:R$49))</f>
        <v/>
      </c>
      <c r="S17" s="97">
        <f>SUMPRODUCT(MMULT('M1'!$M17:$AZ17,'M1'!S$10:S$49))</f>
        <v/>
      </c>
      <c r="T17" s="97">
        <f>SUMPRODUCT(MMULT('M1'!$M17:$AZ17,'M1'!T$10:T$49))</f>
        <v/>
      </c>
      <c r="U17" s="97">
        <f>SUMPRODUCT(MMULT('M1'!$M17:$AZ17,'M1'!U$10:U$49))</f>
        <v/>
      </c>
      <c r="V17" s="97">
        <f>SUMPRODUCT(MMULT('M1'!$M17:$AZ17,'M1'!V$10:V$49))</f>
        <v/>
      </c>
      <c r="W17" s="97">
        <f>SUMPRODUCT(MMULT('M1'!$M17:$AZ17,'M1'!W$10:W$49))</f>
        <v/>
      </c>
      <c r="X17" s="97">
        <f>SUMPRODUCT(MMULT('M1'!$M17:$AZ17,'M1'!X$10:X$49))</f>
        <v/>
      </c>
      <c r="Y17" s="97">
        <f>SUMPRODUCT(MMULT('M1'!$M17:$AZ17,'M1'!Y$10:Y$49))</f>
        <v/>
      </c>
      <c r="Z17" s="97">
        <f>SUMPRODUCT(MMULT('M1'!$M17:$AZ17,'M1'!Z$10:Z$49))</f>
        <v/>
      </c>
      <c r="AA17" s="97">
        <f>SUMPRODUCT(MMULT('M1'!$M17:$AZ17,'M1'!AA$10:AA$49))</f>
        <v/>
      </c>
      <c r="AB17" s="97">
        <f>SUMPRODUCT(MMULT('M1'!$M17:$AZ17,'M1'!AB$10:AB$49))</f>
        <v/>
      </c>
      <c r="AC17" s="97">
        <f>SUMPRODUCT(MMULT('M1'!$M17:$AZ17,'M1'!AC$10:AC$49))</f>
        <v/>
      </c>
      <c r="AD17" s="97">
        <f>SUMPRODUCT(MMULT('M1'!$M17:$AZ17,'M1'!AD$10:AD$49))</f>
        <v/>
      </c>
      <c r="AE17" s="97">
        <f>SUMPRODUCT(MMULT('M1'!$M17:$AZ17,'M1'!AE$10:AE$49))</f>
        <v/>
      </c>
      <c r="AF17" s="97">
        <f>SUMPRODUCT(MMULT('M1'!$M17:$AZ17,'M1'!AF$10:AF$49))</f>
        <v/>
      </c>
      <c r="AG17" s="97">
        <f>SUMPRODUCT(MMULT('M1'!$M17:$AZ17,'M1'!AG$10:AG$49))</f>
        <v/>
      </c>
      <c r="AH17" s="97">
        <f>SUMPRODUCT(MMULT('M1'!$M17:$AZ17,'M1'!AH$10:AH$49))</f>
        <v/>
      </c>
      <c r="AI17" s="97">
        <f>SUMPRODUCT(MMULT('M1'!$M17:$AZ17,'M1'!AI$10:AI$49))</f>
        <v/>
      </c>
      <c r="AJ17" s="97">
        <f>SUMPRODUCT(MMULT('M1'!$M17:$AZ17,'M1'!AJ$10:AJ$49))</f>
        <v/>
      </c>
      <c r="AK17" s="97">
        <f>SUMPRODUCT(MMULT('M1'!$M17:$AZ17,'M1'!AK$10:AK$49))</f>
        <v/>
      </c>
      <c r="AL17" s="97">
        <f>SUMPRODUCT(MMULT('M1'!$M17:$AZ17,'M1'!AL$10:AL$49))</f>
        <v/>
      </c>
      <c r="AM17" s="97">
        <f>SUMPRODUCT(MMULT('M1'!$M17:$AZ17,'M1'!AM$10:AM$49))</f>
        <v/>
      </c>
      <c r="AN17" s="97">
        <f>SUMPRODUCT(MMULT('M1'!$M17:$AZ17,'M1'!AN$10:AN$49))</f>
        <v/>
      </c>
      <c r="AO17" s="97">
        <f>SUMPRODUCT(MMULT('M1'!$M17:$AZ17,'M1'!AO$10:AO$49))</f>
        <v/>
      </c>
      <c r="AP17" s="97">
        <f>SUMPRODUCT(MMULT('M1'!$M17:$AZ17,'M1'!AP$10:AP$49))</f>
        <v/>
      </c>
      <c r="AQ17" s="97">
        <f>SUMPRODUCT(MMULT('M1'!$M17:$AZ17,'M1'!AQ$10:AQ$49))</f>
        <v/>
      </c>
      <c r="AR17" s="97">
        <f>SUMPRODUCT(MMULT('M1'!$M17:$AZ17,'M1'!AR$10:AR$49))</f>
        <v/>
      </c>
      <c r="AS17" s="97">
        <f>SUMPRODUCT(MMULT('M1'!$M17:$AZ17,'M1'!AS$10:AS$49))</f>
        <v/>
      </c>
      <c r="AT17" s="97">
        <f>SUMPRODUCT(MMULT('M1'!$M17:$AZ17,'M1'!AT$10:AT$49))</f>
        <v/>
      </c>
      <c r="AU17" s="97">
        <f>SUMPRODUCT(MMULT('M1'!$M17:$AZ17,'M1'!AU$10:AU$49))</f>
        <v/>
      </c>
      <c r="AV17" s="97">
        <f>SUMPRODUCT(MMULT('M1'!$M17:$AZ17,'M1'!AV$10:AV$49))</f>
        <v/>
      </c>
      <c r="AW17" s="97">
        <f>SUMPRODUCT(MMULT('M1'!$M17:$AZ17,'M1'!AW$10:AW$49))</f>
        <v/>
      </c>
      <c r="AX17" s="97">
        <f>SUMPRODUCT(MMULT('M1'!$M17:$AZ17,'M1'!AX$10:AX$49))</f>
        <v/>
      </c>
      <c r="AY17" s="97">
        <f>SUMPRODUCT(MMULT('M1'!$M17:$AZ17,'M1'!AY$10:AY$49))</f>
        <v/>
      </c>
      <c r="AZ17" s="97">
        <f>SUMPRODUCT(MMULT('M1'!$M17:$AZ17,'M1'!AZ$10:AZ$49))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SUMPRODUCT(MMULT('M1'!$M18:$AZ18,'M1'!M$10:M$49))</f>
        <v/>
      </c>
      <c r="N18" s="97">
        <f>SUMPRODUCT(MMULT('M1'!$M18:$AZ18,'M1'!N$10:N$49))</f>
        <v/>
      </c>
      <c r="O18" s="97">
        <f>SUMPRODUCT(MMULT('M1'!$M18:$AZ18,'M1'!O$10:O$49))</f>
        <v/>
      </c>
      <c r="P18" s="97">
        <f>SUMPRODUCT(MMULT('M1'!$M18:$AZ18,'M1'!P$10:P$49))</f>
        <v/>
      </c>
      <c r="Q18" s="97">
        <f>SUMPRODUCT(MMULT('M1'!$M18:$AZ18,'M1'!Q$10:Q$49))</f>
        <v/>
      </c>
      <c r="R18" s="97">
        <f>SUMPRODUCT(MMULT('M1'!$M18:$AZ18,'M1'!R$10:R$49))</f>
        <v/>
      </c>
      <c r="S18" s="97">
        <f>SUMPRODUCT(MMULT('M1'!$M18:$AZ18,'M1'!S$10:S$49))</f>
        <v/>
      </c>
      <c r="T18" s="97">
        <f>SUMPRODUCT(MMULT('M1'!$M18:$AZ18,'M1'!T$10:T$49))</f>
        <v/>
      </c>
      <c r="U18" s="97">
        <f>SUMPRODUCT(MMULT('M1'!$M18:$AZ18,'M1'!U$10:U$49))</f>
        <v/>
      </c>
      <c r="V18" s="97">
        <f>SUMPRODUCT(MMULT('M1'!$M18:$AZ18,'M1'!V$10:V$49))</f>
        <v/>
      </c>
      <c r="W18" s="97">
        <f>SUMPRODUCT(MMULT('M1'!$M18:$AZ18,'M1'!W$10:W$49))</f>
        <v/>
      </c>
      <c r="X18" s="97">
        <f>SUMPRODUCT(MMULT('M1'!$M18:$AZ18,'M1'!X$10:X$49))</f>
        <v/>
      </c>
      <c r="Y18" s="97">
        <f>SUMPRODUCT(MMULT('M1'!$M18:$AZ18,'M1'!Y$10:Y$49))</f>
        <v/>
      </c>
      <c r="Z18" s="97">
        <f>SUMPRODUCT(MMULT('M1'!$M18:$AZ18,'M1'!Z$10:Z$49))</f>
        <v/>
      </c>
      <c r="AA18" s="97">
        <f>SUMPRODUCT(MMULT('M1'!$M18:$AZ18,'M1'!AA$10:AA$49))</f>
        <v/>
      </c>
      <c r="AB18" s="97">
        <f>SUMPRODUCT(MMULT('M1'!$M18:$AZ18,'M1'!AB$10:AB$49))</f>
        <v/>
      </c>
      <c r="AC18" s="97">
        <f>SUMPRODUCT(MMULT('M1'!$M18:$AZ18,'M1'!AC$10:AC$49))</f>
        <v/>
      </c>
      <c r="AD18" s="97">
        <f>SUMPRODUCT(MMULT('M1'!$M18:$AZ18,'M1'!AD$10:AD$49))</f>
        <v/>
      </c>
      <c r="AE18" s="97">
        <f>SUMPRODUCT(MMULT('M1'!$M18:$AZ18,'M1'!AE$10:AE$49))</f>
        <v/>
      </c>
      <c r="AF18" s="97">
        <f>SUMPRODUCT(MMULT('M1'!$M18:$AZ18,'M1'!AF$10:AF$49))</f>
        <v/>
      </c>
      <c r="AG18" s="97">
        <f>SUMPRODUCT(MMULT('M1'!$M18:$AZ18,'M1'!AG$10:AG$49))</f>
        <v/>
      </c>
      <c r="AH18" s="97">
        <f>SUMPRODUCT(MMULT('M1'!$M18:$AZ18,'M1'!AH$10:AH$49))</f>
        <v/>
      </c>
      <c r="AI18" s="97">
        <f>SUMPRODUCT(MMULT('M1'!$M18:$AZ18,'M1'!AI$10:AI$49))</f>
        <v/>
      </c>
      <c r="AJ18" s="97">
        <f>SUMPRODUCT(MMULT('M1'!$M18:$AZ18,'M1'!AJ$10:AJ$49))</f>
        <v/>
      </c>
      <c r="AK18" s="97">
        <f>SUMPRODUCT(MMULT('M1'!$M18:$AZ18,'M1'!AK$10:AK$49))</f>
        <v/>
      </c>
      <c r="AL18" s="97">
        <f>SUMPRODUCT(MMULT('M1'!$M18:$AZ18,'M1'!AL$10:AL$49))</f>
        <v/>
      </c>
      <c r="AM18" s="97">
        <f>SUMPRODUCT(MMULT('M1'!$M18:$AZ18,'M1'!AM$10:AM$49))</f>
        <v/>
      </c>
      <c r="AN18" s="97">
        <f>SUMPRODUCT(MMULT('M1'!$M18:$AZ18,'M1'!AN$10:AN$49))</f>
        <v/>
      </c>
      <c r="AO18" s="97">
        <f>SUMPRODUCT(MMULT('M1'!$M18:$AZ18,'M1'!AO$10:AO$49))</f>
        <v/>
      </c>
      <c r="AP18" s="97">
        <f>SUMPRODUCT(MMULT('M1'!$M18:$AZ18,'M1'!AP$10:AP$49))</f>
        <v/>
      </c>
      <c r="AQ18" s="97">
        <f>SUMPRODUCT(MMULT('M1'!$M18:$AZ18,'M1'!AQ$10:AQ$49))</f>
        <v/>
      </c>
      <c r="AR18" s="97">
        <f>SUMPRODUCT(MMULT('M1'!$M18:$AZ18,'M1'!AR$10:AR$49))</f>
        <v/>
      </c>
      <c r="AS18" s="97">
        <f>SUMPRODUCT(MMULT('M1'!$M18:$AZ18,'M1'!AS$10:AS$49))</f>
        <v/>
      </c>
      <c r="AT18" s="97">
        <f>SUMPRODUCT(MMULT('M1'!$M18:$AZ18,'M1'!AT$10:AT$49))</f>
        <v/>
      </c>
      <c r="AU18" s="97">
        <f>SUMPRODUCT(MMULT('M1'!$M18:$AZ18,'M1'!AU$10:AU$49))</f>
        <v/>
      </c>
      <c r="AV18" s="97">
        <f>SUMPRODUCT(MMULT('M1'!$M18:$AZ18,'M1'!AV$10:AV$49))</f>
        <v/>
      </c>
      <c r="AW18" s="97">
        <f>SUMPRODUCT(MMULT('M1'!$M18:$AZ18,'M1'!AW$10:AW$49))</f>
        <v/>
      </c>
      <c r="AX18" s="97">
        <f>SUMPRODUCT(MMULT('M1'!$M18:$AZ18,'M1'!AX$10:AX$49))</f>
        <v/>
      </c>
      <c r="AY18" s="97">
        <f>SUMPRODUCT(MMULT('M1'!$M18:$AZ18,'M1'!AY$10:AY$49))</f>
        <v/>
      </c>
      <c r="AZ18" s="97">
        <f>SUMPRODUCT(MMULT('M1'!$M18:$AZ18,'M1'!AZ$10:AZ$49))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SUMPRODUCT(MMULT('M1'!$M19:$AZ19,'M1'!M$10:M$49))</f>
        <v/>
      </c>
      <c r="N19" s="97">
        <f>SUMPRODUCT(MMULT('M1'!$M19:$AZ19,'M1'!N$10:N$49))</f>
        <v/>
      </c>
      <c r="O19" s="97">
        <f>SUMPRODUCT(MMULT('M1'!$M19:$AZ19,'M1'!O$10:O$49))</f>
        <v/>
      </c>
      <c r="P19" s="97">
        <f>SUMPRODUCT(MMULT('M1'!$M19:$AZ19,'M1'!P$10:P$49))</f>
        <v/>
      </c>
      <c r="Q19" s="97">
        <f>SUMPRODUCT(MMULT('M1'!$M19:$AZ19,'M1'!Q$10:Q$49))</f>
        <v/>
      </c>
      <c r="R19" s="97">
        <f>SUMPRODUCT(MMULT('M1'!$M19:$AZ19,'M1'!R$10:R$49))</f>
        <v/>
      </c>
      <c r="S19" s="97">
        <f>SUMPRODUCT(MMULT('M1'!$M19:$AZ19,'M1'!S$10:S$49))</f>
        <v/>
      </c>
      <c r="T19" s="97">
        <f>SUMPRODUCT(MMULT('M1'!$M19:$AZ19,'M1'!T$10:T$49))</f>
        <v/>
      </c>
      <c r="U19" s="97">
        <f>SUMPRODUCT(MMULT('M1'!$M19:$AZ19,'M1'!U$10:U$49))</f>
        <v/>
      </c>
      <c r="V19" s="97">
        <f>SUMPRODUCT(MMULT('M1'!$M19:$AZ19,'M1'!V$10:V$49))</f>
        <v/>
      </c>
      <c r="W19" s="97">
        <f>SUMPRODUCT(MMULT('M1'!$M19:$AZ19,'M1'!W$10:W$49))</f>
        <v/>
      </c>
      <c r="X19" s="97">
        <f>SUMPRODUCT(MMULT('M1'!$M19:$AZ19,'M1'!X$10:X$49))</f>
        <v/>
      </c>
      <c r="Y19" s="97">
        <f>SUMPRODUCT(MMULT('M1'!$M19:$AZ19,'M1'!Y$10:Y$49))</f>
        <v/>
      </c>
      <c r="Z19" s="97">
        <f>SUMPRODUCT(MMULT('M1'!$M19:$AZ19,'M1'!Z$10:Z$49))</f>
        <v/>
      </c>
      <c r="AA19" s="97">
        <f>SUMPRODUCT(MMULT('M1'!$M19:$AZ19,'M1'!AA$10:AA$49))</f>
        <v/>
      </c>
      <c r="AB19" s="97">
        <f>SUMPRODUCT(MMULT('M1'!$M19:$AZ19,'M1'!AB$10:AB$49))</f>
        <v/>
      </c>
      <c r="AC19" s="97">
        <f>SUMPRODUCT(MMULT('M1'!$M19:$AZ19,'M1'!AC$10:AC$49))</f>
        <v/>
      </c>
      <c r="AD19" s="97">
        <f>SUMPRODUCT(MMULT('M1'!$M19:$AZ19,'M1'!AD$10:AD$49))</f>
        <v/>
      </c>
      <c r="AE19" s="97">
        <f>SUMPRODUCT(MMULT('M1'!$M19:$AZ19,'M1'!AE$10:AE$49))</f>
        <v/>
      </c>
      <c r="AF19" s="97">
        <f>SUMPRODUCT(MMULT('M1'!$M19:$AZ19,'M1'!AF$10:AF$49))</f>
        <v/>
      </c>
      <c r="AG19" s="97">
        <f>SUMPRODUCT(MMULT('M1'!$M19:$AZ19,'M1'!AG$10:AG$49))</f>
        <v/>
      </c>
      <c r="AH19" s="97">
        <f>SUMPRODUCT(MMULT('M1'!$M19:$AZ19,'M1'!AH$10:AH$49))</f>
        <v/>
      </c>
      <c r="AI19" s="97">
        <f>SUMPRODUCT(MMULT('M1'!$M19:$AZ19,'M1'!AI$10:AI$49))</f>
        <v/>
      </c>
      <c r="AJ19" s="97">
        <f>SUMPRODUCT(MMULT('M1'!$M19:$AZ19,'M1'!AJ$10:AJ$49))</f>
        <v/>
      </c>
      <c r="AK19" s="97">
        <f>SUMPRODUCT(MMULT('M1'!$M19:$AZ19,'M1'!AK$10:AK$49))</f>
        <v/>
      </c>
      <c r="AL19" s="97">
        <f>SUMPRODUCT(MMULT('M1'!$M19:$AZ19,'M1'!AL$10:AL$49))</f>
        <v/>
      </c>
      <c r="AM19" s="97">
        <f>SUMPRODUCT(MMULT('M1'!$M19:$AZ19,'M1'!AM$10:AM$49))</f>
        <v/>
      </c>
      <c r="AN19" s="97">
        <f>SUMPRODUCT(MMULT('M1'!$M19:$AZ19,'M1'!AN$10:AN$49))</f>
        <v/>
      </c>
      <c r="AO19" s="97">
        <f>SUMPRODUCT(MMULT('M1'!$M19:$AZ19,'M1'!AO$10:AO$49))</f>
        <v/>
      </c>
      <c r="AP19" s="97">
        <f>SUMPRODUCT(MMULT('M1'!$M19:$AZ19,'M1'!AP$10:AP$49))</f>
        <v/>
      </c>
      <c r="AQ19" s="97">
        <f>SUMPRODUCT(MMULT('M1'!$M19:$AZ19,'M1'!AQ$10:AQ$49))</f>
        <v/>
      </c>
      <c r="AR19" s="97">
        <f>SUMPRODUCT(MMULT('M1'!$M19:$AZ19,'M1'!AR$10:AR$49))</f>
        <v/>
      </c>
      <c r="AS19" s="97">
        <f>SUMPRODUCT(MMULT('M1'!$M19:$AZ19,'M1'!AS$10:AS$49))</f>
        <v/>
      </c>
      <c r="AT19" s="97">
        <f>SUMPRODUCT(MMULT('M1'!$M19:$AZ19,'M1'!AT$10:AT$49))</f>
        <v/>
      </c>
      <c r="AU19" s="97">
        <f>SUMPRODUCT(MMULT('M1'!$M19:$AZ19,'M1'!AU$10:AU$49))</f>
        <v/>
      </c>
      <c r="AV19" s="97">
        <f>SUMPRODUCT(MMULT('M1'!$M19:$AZ19,'M1'!AV$10:AV$49))</f>
        <v/>
      </c>
      <c r="AW19" s="97">
        <f>SUMPRODUCT(MMULT('M1'!$M19:$AZ19,'M1'!AW$10:AW$49))</f>
        <v/>
      </c>
      <c r="AX19" s="97">
        <f>SUMPRODUCT(MMULT('M1'!$M19:$AZ19,'M1'!AX$10:AX$49))</f>
        <v/>
      </c>
      <c r="AY19" s="97">
        <f>SUMPRODUCT(MMULT('M1'!$M19:$AZ19,'M1'!AY$10:AY$49))</f>
        <v/>
      </c>
      <c r="AZ19" s="97">
        <f>SUMPRODUCT(MMULT('M1'!$M19:$AZ19,'M1'!AZ$10:AZ$49))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SUMPRODUCT(MMULT('M1'!$M20:$AZ20,'M1'!M$10:M$49))</f>
        <v/>
      </c>
      <c r="N20" s="97">
        <f>SUMPRODUCT(MMULT('M1'!$M20:$AZ20,'M1'!N$10:N$49))</f>
        <v/>
      </c>
      <c r="O20" s="97">
        <f>SUMPRODUCT(MMULT('M1'!$M20:$AZ20,'M1'!O$10:O$49))</f>
        <v/>
      </c>
      <c r="P20" s="97">
        <f>SUMPRODUCT(MMULT('M1'!$M20:$AZ20,'M1'!P$10:P$49))</f>
        <v/>
      </c>
      <c r="Q20" s="97">
        <f>SUMPRODUCT(MMULT('M1'!$M20:$AZ20,'M1'!Q$10:Q$49))</f>
        <v/>
      </c>
      <c r="R20" s="97">
        <f>SUMPRODUCT(MMULT('M1'!$M20:$AZ20,'M1'!R$10:R$49))</f>
        <v/>
      </c>
      <c r="S20" s="97">
        <f>SUMPRODUCT(MMULT('M1'!$M20:$AZ20,'M1'!S$10:S$49))</f>
        <v/>
      </c>
      <c r="T20" s="97">
        <f>SUMPRODUCT(MMULT('M1'!$M20:$AZ20,'M1'!T$10:T$49))</f>
        <v/>
      </c>
      <c r="U20" s="97">
        <f>SUMPRODUCT(MMULT('M1'!$M20:$AZ20,'M1'!U$10:U$49))</f>
        <v/>
      </c>
      <c r="V20" s="97">
        <f>SUMPRODUCT(MMULT('M1'!$M20:$AZ20,'M1'!V$10:V$49))</f>
        <v/>
      </c>
      <c r="W20" s="97">
        <f>SUMPRODUCT(MMULT('M1'!$M20:$AZ20,'M1'!W$10:W$49))</f>
        <v/>
      </c>
      <c r="X20" s="97">
        <f>SUMPRODUCT(MMULT('M1'!$M20:$AZ20,'M1'!X$10:X$49))</f>
        <v/>
      </c>
      <c r="Y20" s="97">
        <f>SUMPRODUCT(MMULT('M1'!$M20:$AZ20,'M1'!Y$10:Y$49))</f>
        <v/>
      </c>
      <c r="Z20" s="97">
        <f>SUMPRODUCT(MMULT('M1'!$M20:$AZ20,'M1'!Z$10:Z$49))</f>
        <v/>
      </c>
      <c r="AA20" s="97">
        <f>SUMPRODUCT(MMULT('M1'!$M20:$AZ20,'M1'!AA$10:AA$49))</f>
        <v/>
      </c>
      <c r="AB20" s="97">
        <f>SUMPRODUCT(MMULT('M1'!$M20:$AZ20,'M1'!AB$10:AB$49))</f>
        <v/>
      </c>
      <c r="AC20" s="97">
        <f>SUMPRODUCT(MMULT('M1'!$M20:$AZ20,'M1'!AC$10:AC$49))</f>
        <v/>
      </c>
      <c r="AD20" s="97">
        <f>SUMPRODUCT(MMULT('M1'!$M20:$AZ20,'M1'!AD$10:AD$49))</f>
        <v/>
      </c>
      <c r="AE20" s="97">
        <f>SUMPRODUCT(MMULT('M1'!$M20:$AZ20,'M1'!AE$10:AE$49))</f>
        <v/>
      </c>
      <c r="AF20" s="97">
        <f>SUMPRODUCT(MMULT('M1'!$M20:$AZ20,'M1'!AF$10:AF$49))</f>
        <v/>
      </c>
      <c r="AG20" s="97">
        <f>SUMPRODUCT(MMULT('M1'!$M20:$AZ20,'M1'!AG$10:AG$49))</f>
        <v/>
      </c>
      <c r="AH20" s="97">
        <f>SUMPRODUCT(MMULT('M1'!$M20:$AZ20,'M1'!AH$10:AH$49))</f>
        <v/>
      </c>
      <c r="AI20" s="97">
        <f>SUMPRODUCT(MMULT('M1'!$M20:$AZ20,'M1'!AI$10:AI$49))</f>
        <v/>
      </c>
      <c r="AJ20" s="97">
        <f>SUMPRODUCT(MMULT('M1'!$M20:$AZ20,'M1'!AJ$10:AJ$49))</f>
        <v/>
      </c>
      <c r="AK20" s="97">
        <f>SUMPRODUCT(MMULT('M1'!$M20:$AZ20,'M1'!AK$10:AK$49))</f>
        <v/>
      </c>
      <c r="AL20" s="97">
        <f>SUMPRODUCT(MMULT('M1'!$M20:$AZ20,'M1'!AL$10:AL$49))</f>
        <v/>
      </c>
      <c r="AM20" s="97">
        <f>SUMPRODUCT(MMULT('M1'!$M20:$AZ20,'M1'!AM$10:AM$49))</f>
        <v/>
      </c>
      <c r="AN20" s="97">
        <f>SUMPRODUCT(MMULT('M1'!$M20:$AZ20,'M1'!AN$10:AN$49))</f>
        <v/>
      </c>
      <c r="AO20" s="97">
        <f>SUMPRODUCT(MMULT('M1'!$M20:$AZ20,'M1'!AO$10:AO$49))</f>
        <v/>
      </c>
      <c r="AP20" s="97">
        <f>SUMPRODUCT(MMULT('M1'!$M20:$AZ20,'M1'!AP$10:AP$49))</f>
        <v/>
      </c>
      <c r="AQ20" s="97">
        <f>SUMPRODUCT(MMULT('M1'!$M20:$AZ20,'M1'!AQ$10:AQ$49))</f>
        <v/>
      </c>
      <c r="AR20" s="97">
        <f>SUMPRODUCT(MMULT('M1'!$M20:$AZ20,'M1'!AR$10:AR$49))</f>
        <v/>
      </c>
      <c r="AS20" s="97">
        <f>SUMPRODUCT(MMULT('M1'!$M20:$AZ20,'M1'!AS$10:AS$49))</f>
        <v/>
      </c>
      <c r="AT20" s="97">
        <f>SUMPRODUCT(MMULT('M1'!$M20:$AZ20,'M1'!AT$10:AT$49))</f>
        <v/>
      </c>
      <c r="AU20" s="97">
        <f>SUMPRODUCT(MMULT('M1'!$M20:$AZ20,'M1'!AU$10:AU$49))</f>
        <v/>
      </c>
      <c r="AV20" s="97">
        <f>SUMPRODUCT(MMULT('M1'!$M20:$AZ20,'M1'!AV$10:AV$49))</f>
        <v/>
      </c>
      <c r="AW20" s="97">
        <f>SUMPRODUCT(MMULT('M1'!$M20:$AZ20,'M1'!AW$10:AW$49))</f>
        <v/>
      </c>
      <c r="AX20" s="97">
        <f>SUMPRODUCT(MMULT('M1'!$M20:$AZ20,'M1'!AX$10:AX$49))</f>
        <v/>
      </c>
      <c r="AY20" s="97">
        <f>SUMPRODUCT(MMULT('M1'!$M20:$AZ20,'M1'!AY$10:AY$49))</f>
        <v/>
      </c>
      <c r="AZ20" s="97">
        <f>SUMPRODUCT(MMULT('M1'!$M20:$AZ20,'M1'!AZ$10:AZ$49))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SUMPRODUCT(MMULT('M1'!$M21:$AZ21,'M1'!M$10:M$49))</f>
        <v/>
      </c>
      <c r="N21" s="97">
        <f>SUMPRODUCT(MMULT('M1'!$M21:$AZ21,'M1'!N$10:N$49))</f>
        <v/>
      </c>
      <c r="O21" s="97">
        <f>SUMPRODUCT(MMULT('M1'!$M21:$AZ21,'M1'!O$10:O$49))</f>
        <v/>
      </c>
      <c r="P21" s="97">
        <f>SUMPRODUCT(MMULT('M1'!$M21:$AZ21,'M1'!P$10:P$49))</f>
        <v/>
      </c>
      <c r="Q21" s="97">
        <f>SUMPRODUCT(MMULT('M1'!$M21:$AZ21,'M1'!Q$10:Q$49))</f>
        <v/>
      </c>
      <c r="R21" s="97">
        <f>SUMPRODUCT(MMULT('M1'!$M21:$AZ21,'M1'!R$10:R$49))</f>
        <v/>
      </c>
      <c r="S21" s="97">
        <f>SUMPRODUCT(MMULT('M1'!$M21:$AZ21,'M1'!S$10:S$49))</f>
        <v/>
      </c>
      <c r="T21" s="97">
        <f>SUMPRODUCT(MMULT('M1'!$M21:$AZ21,'M1'!T$10:T$49))</f>
        <v/>
      </c>
      <c r="U21" s="97">
        <f>SUMPRODUCT(MMULT('M1'!$M21:$AZ21,'M1'!U$10:U$49))</f>
        <v/>
      </c>
      <c r="V21" s="97">
        <f>SUMPRODUCT(MMULT('M1'!$M21:$AZ21,'M1'!V$10:V$49))</f>
        <v/>
      </c>
      <c r="W21" s="97">
        <f>SUMPRODUCT(MMULT('M1'!$M21:$AZ21,'M1'!W$10:W$49))</f>
        <v/>
      </c>
      <c r="X21" s="97">
        <f>SUMPRODUCT(MMULT('M1'!$M21:$AZ21,'M1'!X$10:X$49))</f>
        <v/>
      </c>
      <c r="Y21" s="97">
        <f>SUMPRODUCT(MMULT('M1'!$M21:$AZ21,'M1'!Y$10:Y$49))</f>
        <v/>
      </c>
      <c r="Z21" s="97">
        <f>SUMPRODUCT(MMULT('M1'!$M21:$AZ21,'M1'!Z$10:Z$49))</f>
        <v/>
      </c>
      <c r="AA21" s="97">
        <f>SUMPRODUCT(MMULT('M1'!$M21:$AZ21,'M1'!AA$10:AA$49))</f>
        <v/>
      </c>
      <c r="AB21" s="97">
        <f>SUMPRODUCT(MMULT('M1'!$M21:$AZ21,'M1'!AB$10:AB$49))</f>
        <v/>
      </c>
      <c r="AC21" s="97">
        <f>SUMPRODUCT(MMULT('M1'!$M21:$AZ21,'M1'!AC$10:AC$49))</f>
        <v/>
      </c>
      <c r="AD21" s="97">
        <f>SUMPRODUCT(MMULT('M1'!$M21:$AZ21,'M1'!AD$10:AD$49))</f>
        <v/>
      </c>
      <c r="AE21" s="97">
        <f>SUMPRODUCT(MMULT('M1'!$M21:$AZ21,'M1'!AE$10:AE$49))</f>
        <v/>
      </c>
      <c r="AF21" s="97">
        <f>SUMPRODUCT(MMULT('M1'!$M21:$AZ21,'M1'!AF$10:AF$49))</f>
        <v/>
      </c>
      <c r="AG21" s="97">
        <f>SUMPRODUCT(MMULT('M1'!$M21:$AZ21,'M1'!AG$10:AG$49))</f>
        <v/>
      </c>
      <c r="AH21" s="97">
        <f>SUMPRODUCT(MMULT('M1'!$M21:$AZ21,'M1'!AH$10:AH$49))</f>
        <v/>
      </c>
      <c r="AI21" s="97">
        <f>SUMPRODUCT(MMULT('M1'!$M21:$AZ21,'M1'!AI$10:AI$49))</f>
        <v/>
      </c>
      <c r="AJ21" s="97">
        <f>SUMPRODUCT(MMULT('M1'!$M21:$AZ21,'M1'!AJ$10:AJ$49))</f>
        <v/>
      </c>
      <c r="AK21" s="97">
        <f>SUMPRODUCT(MMULT('M1'!$M21:$AZ21,'M1'!AK$10:AK$49))</f>
        <v/>
      </c>
      <c r="AL21" s="97">
        <f>SUMPRODUCT(MMULT('M1'!$M21:$AZ21,'M1'!AL$10:AL$49))</f>
        <v/>
      </c>
      <c r="AM21" s="97">
        <f>SUMPRODUCT(MMULT('M1'!$M21:$AZ21,'M1'!AM$10:AM$49))</f>
        <v/>
      </c>
      <c r="AN21" s="97">
        <f>SUMPRODUCT(MMULT('M1'!$M21:$AZ21,'M1'!AN$10:AN$49))</f>
        <v/>
      </c>
      <c r="AO21" s="97">
        <f>SUMPRODUCT(MMULT('M1'!$M21:$AZ21,'M1'!AO$10:AO$49))</f>
        <v/>
      </c>
      <c r="AP21" s="97">
        <f>SUMPRODUCT(MMULT('M1'!$M21:$AZ21,'M1'!AP$10:AP$49))</f>
        <v/>
      </c>
      <c r="AQ21" s="97">
        <f>SUMPRODUCT(MMULT('M1'!$M21:$AZ21,'M1'!AQ$10:AQ$49))</f>
        <v/>
      </c>
      <c r="AR21" s="97">
        <f>SUMPRODUCT(MMULT('M1'!$M21:$AZ21,'M1'!AR$10:AR$49))</f>
        <v/>
      </c>
      <c r="AS21" s="97">
        <f>SUMPRODUCT(MMULT('M1'!$M21:$AZ21,'M1'!AS$10:AS$49))</f>
        <v/>
      </c>
      <c r="AT21" s="97">
        <f>SUMPRODUCT(MMULT('M1'!$M21:$AZ21,'M1'!AT$10:AT$49))</f>
        <v/>
      </c>
      <c r="AU21" s="97">
        <f>SUMPRODUCT(MMULT('M1'!$M21:$AZ21,'M1'!AU$10:AU$49))</f>
        <v/>
      </c>
      <c r="AV21" s="97">
        <f>SUMPRODUCT(MMULT('M1'!$M21:$AZ21,'M1'!AV$10:AV$49))</f>
        <v/>
      </c>
      <c r="AW21" s="97">
        <f>SUMPRODUCT(MMULT('M1'!$M21:$AZ21,'M1'!AW$10:AW$49))</f>
        <v/>
      </c>
      <c r="AX21" s="97">
        <f>SUMPRODUCT(MMULT('M1'!$M21:$AZ21,'M1'!AX$10:AX$49))</f>
        <v/>
      </c>
      <c r="AY21" s="97">
        <f>SUMPRODUCT(MMULT('M1'!$M21:$AZ21,'M1'!AY$10:AY$49))</f>
        <v/>
      </c>
      <c r="AZ21" s="97">
        <f>SUMPRODUCT(MMULT('M1'!$M21:$AZ21,'M1'!AZ$10:AZ$49))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SUMPRODUCT(MMULT('M1'!$M22:$AZ22,'M1'!M$10:M$49))</f>
        <v/>
      </c>
      <c r="N22" s="97">
        <f>SUMPRODUCT(MMULT('M1'!$M22:$AZ22,'M1'!N$10:N$49))</f>
        <v/>
      </c>
      <c r="O22" s="97">
        <f>SUMPRODUCT(MMULT('M1'!$M22:$AZ22,'M1'!O$10:O$49))</f>
        <v/>
      </c>
      <c r="P22" s="97">
        <f>SUMPRODUCT(MMULT('M1'!$M22:$AZ22,'M1'!P$10:P$49))</f>
        <v/>
      </c>
      <c r="Q22" s="97">
        <f>SUMPRODUCT(MMULT('M1'!$M22:$AZ22,'M1'!Q$10:Q$49))</f>
        <v/>
      </c>
      <c r="R22" s="97">
        <f>SUMPRODUCT(MMULT('M1'!$M22:$AZ22,'M1'!R$10:R$49))</f>
        <v/>
      </c>
      <c r="S22" s="97">
        <f>SUMPRODUCT(MMULT('M1'!$M22:$AZ22,'M1'!S$10:S$49))</f>
        <v/>
      </c>
      <c r="T22" s="97">
        <f>SUMPRODUCT(MMULT('M1'!$M22:$AZ22,'M1'!T$10:T$49))</f>
        <v/>
      </c>
      <c r="U22" s="97">
        <f>SUMPRODUCT(MMULT('M1'!$M22:$AZ22,'M1'!U$10:U$49))</f>
        <v/>
      </c>
      <c r="V22" s="97">
        <f>SUMPRODUCT(MMULT('M1'!$M22:$AZ22,'M1'!V$10:V$49))</f>
        <v/>
      </c>
      <c r="W22" s="97">
        <f>SUMPRODUCT(MMULT('M1'!$M22:$AZ22,'M1'!W$10:W$49))</f>
        <v/>
      </c>
      <c r="X22" s="97">
        <f>SUMPRODUCT(MMULT('M1'!$M22:$AZ22,'M1'!X$10:X$49))</f>
        <v/>
      </c>
      <c r="Y22" s="97">
        <f>SUMPRODUCT(MMULT('M1'!$M22:$AZ22,'M1'!Y$10:Y$49))</f>
        <v/>
      </c>
      <c r="Z22" s="97">
        <f>SUMPRODUCT(MMULT('M1'!$M22:$AZ22,'M1'!Z$10:Z$49))</f>
        <v/>
      </c>
      <c r="AA22" s="97">
        <f>SUMPRODUCT(MMULT('M1'!$M22:$AZ22,'M1'!AA$10:AA$49))</f>
        <v/>
      </c>
      <c r="AB22" s="97">
        <f>SUMPRODUCT(MMULT('M1'!$M22:$AZ22,'M1'!AB$10:AB$49))</f>
        <v/>
      </c>
      <c r="AC22" s="97">
        <f>SUMPRODUCT(MMULT('M1'!$M22:$AZ22,'M1'!AC$10:AC$49))</f>
        <v/>
      </c>
      <c r="AD22" s="97">
        <f>SUMPRODUCT(MMULT('M1'!$M22:$AZ22,'M1'!AD$10:AD$49))</f>
        <v/>
      </c>
      <c r="AE22" s="97">
        <f>SUMPRODUCT(MMULT('M1'!$M22:$AZ22,'M1'!AE$10:AE$49))</f>
        <v/>
      </c>
      <c r="AF22" s="97">
        <f>SUMPRODUCT(MMULT('M1'!$M22:$AZ22,'M1'!AF$10:AF$49))</f>
        <v/>
      </c>
      <c r="AG22" s="97">
        <f>SUMPRODUCT(MMULT('M1'!$M22:$AZ22,'M1'!AG$10:AG$49))</f>
        <v/>
      </c>
      <c r="AH22" s="97">
        <f>SUMPRODUCT(MMULT('M1'!$M22:$AZ22,'M1'!AH$10:AH$49))</f>
        <v/>
      </c>
      <c r="AI22" s="97">
        <f>SUMPRODUCT(MMULT('M1'!$M22:$AZ22,'M1'!AI$10:AI$49))</f>
        <v/>
      </c>
      <c r="AJ22" s="97">
        <f>SUMPRODUCT(MMULT('M1'!$M22:$AZ22,'M1'!AJ$10:AJ$49))</f>
        <v/>
      </c>
      <c r="AK22" s="97">
        <f>SUMPRODUCT(MMULT('M1'!$M22:$AZ22,'M1'!AK$10:AK$49))</f>
        <v/>
      </c>
      <c r="AL22" s="97">
        <f>SUMPRODUCT(MMULT('M1'!$M22:$AZ22,'M1'!AL$10:AL$49))</f>
        <v/>
      </c>
      <c r="AM22" s="97">
        <f>SUMPRODUCT(MMULT('M1'!$M22:$AZ22,'M1'!AM$10:AM$49))</f>
        <v/>
      </c>
      <c r="AN22" s="97">
        <f>SUMPRODUCT(MMULT('M1'!$M22:$AZ22,'M1'!AN$10:AN$49))</f>
        <v/>
      </c>
      <c r="AO22" s="97">
        <f>SUMPRODUCT(MMULT('M1'!$M22:$AZ22,'M1'!AO$10:AO$49))</f>
        <v/>
      </c>
      <c r="AP22" s="97">
        <f>SUMPRODUCT(MMULT('M1'!$M22:$AZ22,'M1'!AP$10:AP$49))</f>
        <v/>
      </c>
      <c r="AQ22" s="97">
        <f>SUMPRODUCT(MMULT('M1'!$M22:$AZ22,'M1'!AQ$10:AQ$49))</f>
        <v/>
      </c>
      <c r="AR22" s="97">
        <f>SUMPRODUCT(MMULT('M1'!$M22:$AZ22,'M1'!AR$10:AR$49))</f>
        <v/>
      </c>
      <c r="AS22" s="97">
        <f>SUMPRODUCT(MMULT('M1'!$M22:$AZ22,'M1'!AS$10:AS$49))</f>
        <v/>
      </c>
      <c r="AT22" s="97">
        <f>SUMPRODUCT(MMULT('M1'!$M22:$AZ22,'M1'!AT$10:AT$49))</f>
        <v/>
      </c>
      <c r="AU22" s="97">
        <f>SUMPRODUCT(MMULT('M1'!$M22:$AZ22,'M1'!AU$10:AU$49))</f>
        <v/>
      </c>
      <c r="AV22" s="97">
        <f>SUMPRODUCT(MMULT('M1'!$M22:$AZ22,'M1'!AV$10:AV$49))</f>
        <v/>
      </c>
      <c r="AW22" s="97">
        <f>SUMPRODUCT(MMULT('M1'!$M22:$AZ22,'M1'!AW$10:AW$49))</f>
        <v/>
      </c>
      <c r="AX22" s="97">
        <f>SUMPRODUCT(MMULT('M1'!$M22:$AZ22,'M1'!AX$10:AX$49))</f>
        <v/>
      </c>
      <c r="AY22" s="97">
        <f>SUMPRODUCT(MMULT('M1'!$M22:$AZ22,'M1'!AY$10:AY$49))</f>
        <v/>
      </c>
      <c r="AZ22" s="97">
        <f>SUMPRODUCT(MMULT('M1'!$M22:$AZ22,'M1'!AZ$10:AZ$49))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SUMPRODUCT(MMULT('M1'!$M23:$AZ23,'M1'!M$10:M$49))</f>
        <v/>
      </c>
      <c r="N23" s="97">
        <f>SUMPRODUCT(MMULT('M1'!$M23:$AZ23,'M1'!N$10:N$49))</f>
        <v/>
      </c>
      <c r="O23" s="97">
        <f>SUMPRODUCT(MMULT('M1'!$M23:$AZ23,'M1'!O$10:O$49))</f>
        <v/>
      </c>
      <c r="P23" s="97">
        <f>SUMPRODUCT(MMULT('M1'!$M23:$AZ23,'M1'!P$10:P$49))</f>
        <v/>
      </c>
      <c r="Q23" s="97">
        <f>SUMPRODUCT(MMULT('M1'!$M23:$AZ23,'M1'!Q$10:Q$49))</f>
        <v/>
      </c>
      <c r="R23" s="97">
        <f>SUMPRODUCT(MMULT('M1'!$M23:$AZ23,'M1'!R$10:R$49))</f>
        <v/>
      </c>
      <c r="S23" s="97">
        <f>SUMPRODUCT(MMULT('M1'!$M23:$AZ23,'M1'!S$10:S$49))</f>
        <v/>
      </c>
      <c r="T23" s="97">
        <f>SUMPRODUCT(MMULT('M1'!$M23:$AZ23,'M1'!T$10:T$49))</f>
        <v/>
      </c>
      <c r="U23" s="97">
        <f>SUMPRODUCT(MMULT('M1'!$M23:$AZ23,'M1'!U$10:U$49))</f>
        <v/>
      </c>
      <c r="V23" s="97">
        <f>SUMPRODUCT(MMULT('M1'!$M23:$AZ23,'M1'!V$10:V$49))</f>
        <v/>
      </c>
      <c r="W23" s="97">
        <f>SUMPRODUCT(MMULT('M1'!$M23:$AZ23,'M1'!W$10:W$49))</f>
        <v/>
      </c>
      <c r="X23" s="97">
        <f>SUMPRODUCT(MMULT('M1'!$M23:$AZ23,'M1'!X$10:X$49))</f>
        <v/>
      </c>
      <c r="Y23" s="97">
        <f>SUMPRODUCT(MMULT('M1'!$M23:$AZ23,'M1'!Y$10:Y$49))</f>
        <v/>
      </c>
      <c r="Z23" s="97">
        <f>SUMPRODUCT(MMULT('M1'!$M23:$AZ23,'M1'!Z$10:Z$49))</f>
        <v/>
      </c>
      <c r="AA23" s="97">
        <f>SUMPRODUCT(MMULT('M1'!$M23:$AZ23,'M1'!AA$10:AA$49))</f>
        <v/>
      </c>
      <c r="AB23" s="97">
        <f>SUMPRODUCT(MMULT('M1'!$M23:$AZ23,'M1'!AB$10:AB$49))</f>
        <v/>
      </c>
      <c r="AC23" s="97">
        <f>SUMPRODUCT(MMULT('M1'!$M23:$AZ23,'M1'!AC$10:AC$49))</f>
        <v/>
      </c>
      <c r="AD23" s="97">
        <f>SUMPRODUCT(MMULT('M1'!$M23:$AZ23,'M1'!AD$10:AD$49))</f>
        <v/>
      </c>
      <c r="AE23" s="97">
        <f>SUMPRODUCT(MMULT('M1'!$M23:$AZ23,'M1'!AE$10:AE$49))</f>
        <v/>
      </c>
      <c r="AF23" s="97">
        <f>SUMPRODUCT(MMULT('M1'!$M23:$AZ23,'M1'!AF$10:AF$49))</f>
        <v/>
      </c>
      <c r="AG23" s="97">
        <f>SUMPRODUCT(MMULT('M1'!$M23:$AZ23,'M1'!AG$10:AG$49))</f>
        <v/>
      </c>
      <c r="AH23" s="97">
        <f>SUMPRODUCT(MMULT('M1'!$M23:$AZ23,'M1'!AH$10:AH$49))</f>
        <v/>
      </c>
      <c r="AI23" s="97">
        <f>SUMPRODUCT(MMULT('M1'!$M23:$AZ23,'M1'!AI$10:AI$49))</f>
        <v/>
      </c>
      <c r="AJ23" s="97">
        <f>SUMPRODUCT(MMULT('M1'!$M23:$AZ23,'M1'!AJ$10:AJ$49))</f>
        <v/>
      </c>
      <c r="AK23" s="97">
        <f>SUMPRODUCT(MMULT('M1'!$M23:$AZ23,'M1'!AK$10:AK$49))</f>
        <v/>
      </c>
      <c r="AL23" s="97">
        <f>SUMPRODUCT(MMULT('M1'!$M23:$AZ23,'M1'!AL$10:AL$49))</f>
        <v/>
      </c>
      <c r="AM23" s="97">
        <f>SUMPRODUCT(MMULT('M1'!$M23:$AZ23,'M1'!AM$10:AM$49))</f>
        <v/>
      </c>
      <c r="AN23" s="97">
        <f>SUMPRODUCT(MMULT('M1'!$M23:$AZ23,'M1'!AN$10:AN$49))</f>
        <v/>
      </c>
      <c r="AO23" s="97">
        <f>SUMPRODUCT(MMULT('M1'!$M23:$AZ23,'M1'!AO$10:AO$49))</f>
        <v/>
      </c>
      <c r="AP23" s="97">
        <f>SUMPRODUCT(MMULT('M1'!$M23:$AZ23,'M1'!AP$10:AP$49))</f>
        <v/>
      </c>
      <c r="AQ23" s="97">
        <f>SUMPRODUCT(MMULT('M1'!$M23:$AZ23,'M1'!AQ$10:AQ$49))</f>
        <v/>
      </c>
      <c r="AR23" s="97">
        <f>SUMPRODUCT(MMULT('M1'!$M23:$AZ23,'M1'!AR$10:AR$49))</f>
        <v/>
      </c>
      <c r="AS23" s="97">
        <f>SUMPRODUCT(MMULT('M1'!$M23:$AZ23,'M1'!AS$10:AS$49))</f>
        <v/>
      </c>
      <c r="AT23" s="97">
        <f>SUMPRODUCT(MMULT('M1'!$M23:$AZ23,'M1'!AT$10:AT$49))</f>
        <v/>
      </c>
      <c r="AU23" s="97">
        <f>SUMPRODUCT(MMULT('M1'!$M23:$AZ23,'M1'!AU$10:AU$49))</f>
        <v/>
      </c>
      <c r="AV23" s="97">
        <f>SUMPRODUCT(MMULT('M1'!$M23:$AZ23,'M1'!AV$10:AV$49))</f>
        <v/>
      </c>
      <c r="AW23" s="97">
        <f>SUMPRODUCT(MMULT('M1'!$M23:$AZ23,'M1'!AW$10:AW$49))</f>
        <v/>
      </c>
      <c r="AX23" s="97">
        <f>SUMPRODUCT(MMULT('M1'!$M23:$AZ23,'M1'!AX$10:AX$49))</f>
        <v/>
      </c>
      <c r="AY23" s="97">
        <f>SUMPRODUCT(MMULT('M1'!$M23:$AZ23,'M1'!AY$10:AY$49))</f>
        <v/>
      </c>
      <c r="AZ23" s="97">
        <f>SUMPRODUCT(MMULT('M1'!$M23:$AZ23,'M1'!AZ$10:AZ$49))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SUMPRODUCT(MMULT('M1'!$M24:$AZ24,'M1'!M$10:M$49))</f>
        <v/>
      </c>
      <c r="N24" s="97">
        <f>SUMPRODUCT(MMULT('M1'!$M24:$AZ24,'M1'!N$10:N$49))</f>
        <v/>
      </c>
      <c r="O24" s="97">
        <f>SUMPRODUCT(MMULT('M1'!$M24:$AZ24,'M1'!O$10:O$49))</f>
        <v/>
      </c>
      <c r="P24" s="97">
        <f>SUMPRODUCT(MMULT('M1'!$M24:$AZ24,'M1'!P$10:P$49))</f>
        <v/>
      </c>
      <c r="Q24" s="97">
        <f>SUMPRODUCT(MMULT('M1'!$M24:$AZ24,'M1'!Q$10:Q$49))</f>
        <v/>
      </c>
      <c r="R24" s="97">
        <f>SUMPRODUCT(MMULT('M1'!$M24:$AZ24,'M1'!R$10:R$49))</f>
        <v/>
      </c>
      <c r="S24" s="97">
        <f>SUMPRODUCT(MMULT('M1'!$M24:$AZ24,'M1'!S$10:S$49))</f>
        <v/>
      </c>
      <c r="T24" s="97">
        <f>SUMPRODUCT(MMULT('M1'!$M24:$AZ24,'M1'!T$10:T$49))</f>
        <v/>
      </c>
      <c r="U24" s="97">
        <f>SUMPRODUCT(MMULT('M1'!$M24:$AZ24,'M1'!U$10:U$49))</f>
        <v/>
      </c>
      <c r="V24" s="97">
        <f>SUMPRODUCT(MMULT('M1'!$M24:$AZ24,'M1'!V$10:V$49))</f>
        <v/>
      </c>
      <c r="W24" s="97">
        <f>SUMPRODUCT(MMULT('M1'!$M24:$AZ24,'M1'!W$10:W$49))</f>
        <v/>
      </c>
      <c r="X24" s="97">
        <f>SUMPRODUCT(MMULT('M1'!$M24:$AZ24,'M1'!X$10:X$49))</f>
        <v/>
      </c>
      <c r="Y24" s="97">
        <f>SUMPRODUCT(MMULT('M1'!$M24:$AZ24,'M1'!Y$10:Y$49))</f>
        <v/>
      </c>
      <c r="Z24" s="97">
        <f>SUMPRODUCT(MMULT('M1'!$M24:$AZ24,'M1'!Z$10:Z$49))</f>
        <v/>
      </c>
      <c r="AA24" s="97">
        <f>SUMPRODUCT(MMULT('M1'!$M24:$AZ24,'M1'!AA$10:AA$49))</f>
        <v/>
      </c>
      <c r="AB24" s="97">
        <f>SUMPRODUCT(MMULT('M1'!$M24:$AZ24,'M1'!AB$10:AB$49))</f>
        <v/>
      </c>
      <c r="AC24" s="97">
        <f>SUMPRODUCT(MMULT('M1'!$M24:$AZ24,'M1'!AC$10:AC$49))</f>
        <v/>
      </c>
      <c r="AD24" s="97">
        <f>SUMPRODUCT(MMULT('M1'!$M24:$AZ24,'M1'!AD$10:AD$49))</f>
        <v/>
      </c>
      <c r="AE24" s="97">
        <f>SUMPRODUCT(MMULT('M1'!$M24:$AZ24,'M1'!AE$10:AE$49))</f>
        <v/>
      </c>
      <c r="AF24" s="97">
        <f>SUMPRODUCT(MMULT('M1'!$M24:$AZ24,'M1'!AF$10:AF$49))</f>
        <v/>
      </c>
      <c r="AG24" s="97">
        <f>SUMPRODUCT(MMULT('M1'!$M24:$AZ24,'M1'!AG$10:AG$49))</f>
        <v/>
      </c>
      <c r="AH24" s="97">
        <f>SUMPRODUCT(MMULT('M1'!$M24:$AZ24,'M1'!AH$10:AH$49))</f>
        <v/>
      </c>
      <c r="AI24" s="97">
        <f>SUMPRODUCT(MMULT('M1'!$M24:$AZ24,'M1'!AI$10:AI$49))</f>
        <v/>
      </c>
      <c r="AJ24" s="97">
        <f>SUMPRODUCT(MMULT('M1'!$M24:$AZ24,'M1'!AJ$10:AJ$49))</f>
        <v/>
      </c>
      <c r="AK24" s="97">
        <f>SUMPRODUCT(MMULT('M1'!$M24:$AZ24,'M1'!AK$10:AK$49))</f>
        <v/>
      </c>
      <c r="AL24" s="97">
        <f>SUMPRODUCT(MMULT('M1'!$M24:$AZ24,'M1'!AL$10:AL$49))</f>
        <v/>
      </c>
      <c r="AM24" s="97">
        <f>SUMPRODUCT(MMULT('M1'!$M24:$AZ24,'M1'!AM$10:AM$49))</f>
        <v/>
      </c>
      <c r="AN24" s="97">
        <f>SUMPRODUCT(MMULT('M1'!$M24:$AZ24,'M1'!AN$10:AN$49))</f>
        <v/>
      </c>
      <c r="AO24" s="97">
        <f>SUMPRODUCT(MMULT('M1'!$M24:$AZ24,'M1'!AO$10:AO$49))</f>
        <v/>
      </c>
      <c r="AP24" s="97">
        <f>SUMPRODUCT(MMULT('M1'!$M24:$AZ24,'M1'!AP$10:AP$49))</f>
        <v/>
      </c>
      <c r="AQ24" s="97">
        <f>SUMPRODUCT(MMULT('M1'!$M24:$AZ24,'M1'!AQ$10:AQ$49))</f>
        <v/>
      </c>
      <c r="AR24" s="97">
        <f>SUMPRODUCT(MMULT('M1'!$M24:$AZ24,'M1'!AR$10:AR$49))</f>
        <v/>
      </c>
      <c r="AS24" s="97">
        <f>SUMPRODUCT(MMULT('M1'!$M24:$AZ24,'M1'!AS$10:AS$49))</f>
        <v/>
      </c>
      <c r="AT24" s="97">
        <f>SUMPRODUCT(MMULT('M1'!$M24:$AZ24,'M1'!AT$10:AT$49))</f>
        <v/>
      </c>
      <c r="AU24" s="97">
        <f>SUMPRODUCT(MMULT('M1'!$M24:$AZ24,'M1'!AU$10:AU$49))</f>
        <v/>
      </c>
      <c r="AV24" s="97">
        <f>SUMPRODUCT(MMULT('M1'!$M24:$AZ24,'M1'!AV$10:AV$49))</f>
        <v/>
      </c>
      <c r="AW24" s="97">
        <f>SUMPRODUCT(MMULT('M1'!$M24:$AZ24,'M1'!AW$10:AW$49))</f>
        <v/>
      </c>
      <c r="AX24" s="97">
        <f>SUMPRODUCT(MMULT('M1'!$M24:$AZ24,'M1'!AX$10:AX$49))</f>
        <v/>
      </c>
      <c r="AY24" s="97">
        <f>SUMPRODUCT(MMULT('M1'!$M24:$AZ24,'M1'!AY$10:AY$49))</f>
        <v/>
      </c>
      <c r="AZ24" s="97">
        <f>SUMPRODUCT(MMULT('M1'!$M24:$AZ24,'M1'!AZ$10:AZ$49))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SUMPRODUCT(MMULT('M1'!$M25:$AZ25,'M1'!M$10:M$49))</f>
        <v/>
      </c>
      <c r="N25" s="97">
        <f>SUMPRODUCT(MMULT('M1'!$M25:$AZ25,'M1'!N$10:N$49))</f>
        <v/>
      </c>
      <c r="O25" s="97">
        <f>SUMPRODUCT(MMULT('M1'!$M25:$AZ25,'M1'!O$10:O$49))</f>
        <v/>
      </c>
      <c r="P25" s="97">
        <f>SUMPRODUCT(MMULT('M1'!$M25:$AZ25,'M1'!P$10:P$49))</f>
        <v/>
      </c>
      <c r="Q25" s="97">
        <f>SUMPRODUCT(MMULT('M1'!$M25:$AZ25,'M1'!Q$10:Q$49))</f>
        <v/>
      </c>
      <c r="R25" s="97">
        <f>SUMPRODUCT(MMULT('M1'!$M25:$AZ25,'M1'!R$10:R$49))</f>
        <v/>
      </c>
      <c r="S25" s="97">
        <f>SUMPRODUCT(MMULT('M1'!$M25:$AZ25,'M1'!S$10:S$49))</f>
        <v/>
      </c>
      <c r="T25" s="97">
        <f>SUMPRODUCT(MMULT('M1'!$M25:$AZ25,'M1'!T$10:T$49))</f>
        <v/>
      </c>
      <c r="U25" s="97">
        <f>SUMPRODUCT(MMULT('M1'!$M25:$AZ25,'M1'!U$10:U$49))</f>
        <v/>
      </c>
      <c r="V25" s="97">
        <f>SUMPRODUCT(MMULT('M1'!$M25:$AZ25,'M1'!V$10:V$49))</f>
        <v/>
      </c>
      <c r="W25" s="97">
        <f>SUMPRODUCT(MMULT('M1'!$M25:$AZ25,'M1'!W$10:W$49))</f>
        <v/>
      </c>
      <c r="X25" s="97">
        <f>SUMPRODUCT(MMULT('M1'!$M25:$AZ25,'M1'!X$10:X$49))</f>
        <v/>
      </c>
      <c r="Y25" s="97">
        <f>SUMPRODUCT(MMULT('M1'!$M25:$AZ25,'M1'!Y$10:Y$49))</f>
        <v/>
      </c>
      <c r="Z25" s="97">
        <f>SUMPRODUCT(MMULT('M1'!$M25:$AZ25,'M1'!Z$10:Z$49))</f>
        <v/>
      </c>
      <c r="AA25" s="97">
        <f>SUMPRODUCT(MMULT('M1'!$M25:$AZ25,'M1'!AA$10:AA$49))</f>
        <v/>
      </c>
      <c r="AB25" s="97">
        <f>SUMPRODUCT(MMULT('M1'!$M25:$AZ25,'M1'!AB$10:AB$49))</f>
        <v/>
      </c>
      <c r="AC25" s="97">
        <f>SUMPRODUCT(MMULT('M1'!$M25:$AZ25,'M1'!AC$10:AC$49))</f>
        <v/>
      </c>
      <c r="AD25" s="97">
        <f>SUMPRODUCT(MMULT('M1'!$M25:$AZ25,'M1'!AD$10:AD$49))</f>
        <v/>
      </c>
      <c r="AE25" s="97">
        <f>SUMPRODUCT(MMULT('M1'!$M25:$AZ25,'M1'!AE$10:AE$49))</f>
        <v/>
      </c>
      <c r="AF25" s="97">
        <f>SUMPRODUCT(MMULT('M1'!$M25:$AZ25,'M1'!AF$10:AF$49))</f>
        <v/>
      </c>
      <c r="AG25" s="97">
        <f>SUMPRODUCT(MMULT('M1'!$M25:$AZ25,'M1'!AG$10:AG$49))</f>
        <v/>
      </c>
      <c r="AH25" s="97">
        <f>SUMPRODUCT(MMULT('M1'!$M25:$AZ25,'M1'!AH$10:AH$49))</f>
        <v/>
      </c>
      <c r="AI25" s="97">
        <f>SUMPRODUCT(MMULT('M1'!$M25:$AZ25,'M1'!AI$10:AI$49))</f>
        <v/>
      </c>
      <c r="AJ25" s="97">
        <f>SUMPRODUCT(MMULT('M1'!$M25:$AZ25,'M1'!AJ$10:AJ$49))</f>
        <v/>
      </c>
      <c r="AK25" s="97">
        <f>SUMPRODUCT(MMULT('M1'!$M25:$AZ25,'M1'!AK$10:AK$49))</f>
        <v/>
      </c>
      <c r="AL25" s="97">
        <f>SUMPRODUCT(MMULT('M1'!$M25:$AZ25,'M1'!AL$10:AL$49))</f>
        <v/>
      </c>
      <c r="AM25" s="97">
        <f>SUMPRODUCT(MMULT('M1'!$M25:$AZ25,'M1'!AM$10:AM$49))</f>
        <v/>
      </c>
      <c r="AN25" s="97">
        <f>SUMPRODUCT(MMULT('M1'!$M25:$AZ25,'M1'!AN$10:AN$49))</f>
        <v/>
      </c>
      <c r="AO25" s="97">
        <f>SUMPRODUCT(MMULT('M1'!$M25:$AZ25,'M1'!AO$10:AO$49))</f>
        <v/>
      </c>
      <c r="AP25" s="97">
        <f>SUMPRODUCT(MMULT('M1'!$M25:$AZ25,'M1'!AP$10:AP$49))</f>
        <v/>
      </c>
      <c r="AQ25" s="97">
        <f>SUMPRODUCT(MMULT('M1'!$M25:$AZ25,'M1'!AQ$10:AQ$49))</f>
        <v/>
      </c>
      <c r="AR25" s="97">
        <f>SUMPRODUCT(MMULT('M1'!$M25:$AZ25,'M1'!AR$10:AR$49))</f>
        <v/>
      </c>
      <c r="AS25" s="97">
        <f>SUMPRODUCT(MMULT('M1'!$M25:$AZ25,'M1'!AS$10:AS$49))</f>
        <v/>
      </c>
      <c r="AT25" s="97">
        <f>SUMPRODUCT(MMULT('M1'!$M25:$AZ25,'M1'!AT$10:AT$49))</f>
        <v/>
      </c>
      <c r="AU25" s="97">
        <f>SUMPRODUCT(MMULT('M1'!$M25:$AZ25,'M1'!AU$10:AU$49))</f>
        <v/>
      </c>
      <c r="AV25" s="97">
        <f>SUMPRODUCT(MMULT('M1'!$M25:$AZ25,'M1'!AV$10:AV$49))</f>
        <v/>
      </c>
      <c r="AW25" s="97">
        <f>SUMPRODUCT(MMULT('M1'!$M25:$AZ25,'M1'!AW$10:AW$49))</f>
        <v/>
      </c>
      <c r="AX25" s="97">
        <f>SUMPRODUCT(MMULT('M1'!$M25:$AZ25,'M1'!AX$10:AX$49))</f>
        <v/>
      </c>
      <c r="AY25" s="97">
        <f>SUMPRODUCT(MMULT('M1'!$M25:$AZ25,'M1'!AY$10:AY$49))</f>
        <v/>
      </c>
      <c r="AZ25" s="97">
        <f>SUMPRODUCT(MMULT('M1'!$M25:$AZ25,'M1'!AZ$10:AZ$49))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SUMPRODUCT(MMULT('M1'!$M26:$AZ26,'M1'!M$10:M$49))</f>
        <v/>
      </c>
      <c r="N26" s="97">
        <f>SUMPRODUCT(MMULT('M1'!$M26:$AZ26,'M1'!N$10:N$49))</f>
        <v/>
      </c>
      <c r="O26" s="97">
        <f>SUMPRODUCT(MMULT('M1'!$M26:$AZ26,'M1'!O$10:O$49))</f>
        <v/>
      </c>
      <c r="P26" s="97">
        <f>SUMPRODUCT(MMULT('M1'!$M26:$AZ26,'M1'!P$10:P$49))</f>
        <v/>
      </c>
      <c r="Q26" s="97">
        <f>SUMPRODUCT(MMULT('M1'!$M26:$AZ26,'M1'!Q$10:Q$49))</f>
        <v/>
      </c>
      <c r="R26" s="97">
        <f>SUMPRODUCT(MMULT('M1'!$M26:$AZ26,'M1'!R$10:R$49))</f>
        <v/>
      </c>
      <c r="S26" s="97">
        <f>SUMPRODUCT(MMULT('M1'!$M26:$AZ26,'M1'!S$10:S$49))</f>
        <v/>
      </c>
      <c r="T26" s="97">
        <f>SUMPRODUCT(MMULT('M1'!$M26:$AZ26,'M1'!T$10:T$49))</f>
        <v/>
      </c>
      <c r="U26" s="97">
        <f>SUMPRODUCT(MMULT('M1'!$M26:$AZ26,'M1'!U$10:U$49))</f>
        <v/>
      </c>
      <c r="V26" s="97">
        <f>SUMPRODUCT(MMULT('M1'!$M26:$AZ26,'M1'!V$10:V$49))</f>
        <v/>
      </c>
      <c r="W26" s="97">
        <f>SUMPRODUCT(MMULT('M1'!$M26:$AZ26,'M1'!W$10:W$49))</f>
        <v/>
      </c>
      <c r="X26" s="97">
        <f>SUMPRODUCT(MMULT('M1'!$M26:$AZ26,'M1'!X$10:X$49))</f>
        <v/>
      </c>
      <c r="Y26" s="97">
        <f>SUMPRODUCT(MMULT('M1'!$M26:$AZ26,'M1'!Y$10:Y$49))</f>
        <v/>
      </c>
      <c r="Z26" s="97">
        <f>SUMPRODUCT(MMULT('M1'!$M26:$AZ26,'M1'!Z$10:Z$49))</f>
        <v/>
      </c>
      <c r="AA26" s="97">
        <f>SUMPRODUCT(MMULT('M1'!$M26:$AZ26,'M1'!AA$10:AA$49))</f>
        <v/>
      </c>
      <c r="AB26" s="97">
        <f>SUMPRODUCT(MMULT('M1'!$M26:$AZ26,'M1'!AB$10:AB$49))</f>
        <v/>
      </c>
      <c r="AC26" s="97">
        <f>SUMPRODUCT(MMULT('M1'!$M26:$AZ26,'M1'!AC$10:AC$49))</f>
        <v/>
      </c>
      <c r="AD26" s="97">
        <f>SUMPRODUCT(MMULT('M1'!$M26:$AZ26,'M1'!AD$10:AD$49))</f>
        <v/>
      </c>
      <c r="AE26" s="97">
        <f>SUMPRODUCT(MMULT('M1'!$M26:$AZ26,'M1'!AE$10:AE$49))</f>
        <v/>
      </c>
      <c r="AF26" s="97">
        <f>SUMPRODUCT(MMULT('M1'!$M26:$AZ26,'M1'!AF$10:AF$49))</f>
        <v/>
      </c>
      <c r="AG26" s="97">
        <f>SUMPRODUCT(MMULT('M1'!$M26:$AZ26,'M1'!AG$10:AG$49))</f>
        <v/>
      </c>
      <c r="AH26" s="97">
        <f>SUMPRODUCT(MMULT('M1'!$M26:$AZ26,'M1'!AH$10:AH$49))</f>
        <v/>
      </c>
      <c r="AI26" s="97">
        <f>SUMPRODUCT(MMULT('M1'!$M26:$AZ26,'M1'!AI$10:AI$49))</f>
        <v/>
      </c>
      <c r="AJ26" s="97">
        <f>SUMPRODUCT(MMULT('M1'!$M26:$AZ26,'M1'!AJ$10:AJ$49))</f>
        <v/>
      </c>
      <c r="AK26" s="97">
        <f>SUMPRODUCT(MMULT('M1'!$M26:$AZ26,'M1'!AK$10:AK$49))</f>
        <v/>
      </c>
      <c r="AL26" s="97">
        <f>SUMPRODUCT(MMULT('M1'!$M26:$AZ26,'M1'!AL$10:AL$49))</f>
        <v/>
      </c>
      <c r="AM26" s="97">
        <f>SUMPRODUCT(MMULT('M1'!$M26:$AZ26,'M1'!AM$10:AM$49))</f>
        <v/>
      </c>
      <c r="AN26" s="97">
        <f>SUMPRODUCT(MMULT('M1'!$M26:$AZ26,'M1'!AN$10:AN$49))</f>
        <v/>
      </c>
      <c r="AO26" s="97">
        <f>SUMPRODUCT(MMULT('M1'!$M26:$AZ26,'M1'!AO$10:AO$49))</f>
        <v/>
      </c>
      <c r="AP26" s="97">
        <f>SUMPRODUCT(MMULT('M1'!$M26:$AZ26,'M1'!AP$10:AP$49))</f>
        <v/>
      </c>
      <c r="AQ26" s="97">
        <f>SUMPRODUCT(MMULT('M1'!$M26:$AZ26,'M1'!AQ$10:AQ$49))</f>
        <v/>
      </c>
      <c r="AR26" s="97">
        <f>SUMPRODUCT(MMULT('M1'!$M26:$AZ26,'M1'!AR$10:AR$49))</f>
        <v/>
      </c>
      <c r="AS26" s="97">
        <f>SUMPRODUCT(MMULT('M1'!$M26:$AZ26,'M1'!AS$10:AS$49))</f>
        <v/>
      </c>
      <c r="AT26" s="97">
        <f>SUMPRODUCT(MMULT('M1'!$M26:$AZ26,'M1'!AT$10:AT$49))</f>
        <v/>
      </c>
      <c r="AU26" s="97">
        <f>SUMPRODUCT(MMULT('M1'!$M26:$AZ26,'M1'!AU$10:AU$49))</f>
        <v/>
      </c>
      <c r="AV26" s="97">
        <f>SUMPRODUCT(MMULT('M1'!$M26:$AZ26,'M1'!AV$10:AV$49))</f>
        <v/>
      </c>
      <c r="AW26" s="97">
        <f>SUMPRODUCT(MMULT('M1'!$M26:$AZ26,'M1'!AW$10:AW$49))</f>
        <v/>
      </c>
      <c r="AX26" s="97">
        <f>SUMPRODUCT(MMULT('M1'!$M26:$AZ26,'M1'!AX$10:AX$49))</f>
        <v/>
      </c>
      <c r="AY26" s="97">
        <f>SUMPRODUCT(MMULT('M1'!$M26:$AZ26,'M1'!AY$10:AY$49))</f>
        <v/>
      </c>
      <c r="AZ26" s="97">
        <f>SUMPRODUCT(MMULT('M1'!$M26:$AZ26,'M1'!AZ$10:AZ$49))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SUMPRODUCT(MMULT('M1'!$M27:$AZ27,'M1'!M$10:M$49))</f>
        <v/>
      </c>
      <c r="N27" s="97">
        <f>SUMPRODUCT(MMULT('M1'!$M27:$AZ27,'M1'!N$10:N$49))</f>
        <v/>
      </c>
      <c r="O27" s="97">
        <f>SUMPRODUCT(MMULT('M1'!$M27:$AZ27,'M1'!O$10:O$49))</f>
        <v/>
      </c>
      <c r="P27" s="97">
        <f>SUMPRODUCT(MMULT('M1'!$M27:$AZ27,'M1'!P$10:P$49))</f>
        <v/>
      </c>
      <c r="Q27" s="97">
        <f>SUMPRODUCT(MMULT('M1'!$M27:$AZ27,'M1'!Q$10:Q$49))</f>
        <v/>
      </c>
      <c r="R27" s="97">
        <f>SUMPRODUCT(MMULT('M1'!$M27:$AZ27,'M1'!R$10:R$49))</f>
        <v/>
      </c>
      <c r="S27" s="97">
        <f>SUMPRODUCT(MMULT('M1'!$M27:$AZ27,'M1'!S$10:S$49))</f>
        <v/>
      </c>
      <c r="T27" s="97">
        <f>SUMPRODUCT(MMULT('M1'!$M27:$AZ27,'M1'!T$10:T$49))</f>
        <v/>
      </c>
      <c r="U27" s="97">
        <f>SUMPRODUCT(MMULT('M1'!$M27:$AZ27,'M1'!U$10:U$49))</f>
        <v/>
      </c>
      <c r="V27" s="97">
        <f>SUMPRODUCT(MMULT('M1'!$M27:$AZ27,'M1'!V$10:V$49))</f>
        <v/>
      </c>
      <c r="W27" s="97">
        <f>SUMPRODUCT(MMULT('M1'!$M27:$AZ27,'M1'!W$10:W$49))</f>
        <v/>
      </c>
      <c r="X27" s="97">
        <f>SUMPRODUCT(MMULT('M1'!$M27:$AZ27,'M1'!X$10:X$49))</f>
        <v/>
      </c>
      <c r="Y27" s="97">
        <f>SUMPRODUCT(MMULT('M1'!$M27:$AZ27,'M1'!Y$10:Y$49))</f>
        <v/>
      </c>
      <c r="Z27" s="97">
        <f>SUMPRODUCT(MMULT('M1'!$M27:$AZ27,'M1'!Z$10:Z$49))</f>
        <v/>
      </c>
      <c r="AA27" s="97">
        <f>SUMPRODUCT(MMULT('M1'!$M27:$AZ27,'M1'!AA$10:AA$49))</f>
        <v/>
      </c>
      <c r="AB27" s="97">
        <f>SUMPRODUCT(MMULT('M1'!$M27:$AZ27,'M1'!AB$10:AB$49))</f>
        <v/>
      </c>
      <c r="AC27" s="97">
        <f>SUMPRODUCT(MMULT('M1'!$M27:$AZ27,'M1'!AC$10:AC$49))</f>
        <v/>
      </c>
      <c r="AD27" s="97">
        <f>SUMPRODUCT(MMULT('M1'!$M27:$AZ27,'M1'!AD$10:AD$49))</f>
        <v/>
      </c>
      <c r="AE27" s="97">
        <f>SUMPRODUCT(MMULT('M1'!$M27:$AZ27,'M1'!AE$10:AE$49))</f>
        <v/>
      </c>
      <c r="AF27" s="97">
        <f>SUMPRODUCT(MMULT('M1'!$M27:$AZ27,'M1'!AF$10:AF$49))</f>
        <v/>
      </c>
      <c r="AG27" s="97">
        <f>SUMPRODUCT(MMULT('M1'!$M27:$AZ27,'M1'!AG$10:AG$49))</f>
        <v/>
      </c>
      <c r="AH27" s="97">
        <f>SUMPRODUCT(MMULT('M1'!$M27:$AZ27,'M1'!AH$10:AH$49))</f>
        <v/>
      </c>
      <c r="AI27" s="97">
        <f>SUMPRODUCT(MMULT('M1'!$M27:$AZ27,'M1'!AI$10:AI$49))</f>
        <v/>
      </c>
      <c r="AJ27" s="97">
        <f>SUMPRODUCT(MMULT('M1'!$M27:$AZ27,'M1'!AJ$10:AJ$49))</f>
        <v/>
      </c>
      <c r="AK27" s="97">
        <f>SUMPRODUCT(MMULT('M1'!$M27:$AZ27,'M1'!AK$10:AK$49))</f>
        <v/>
      </c>
      <c r="AL27" s="97">
        <f>SUMPRODUCT(MMULT('M1'!$M27:$AZ27,'M1'!AL$10:AL$49))</f>
        <v/>
      </c>
      <c r="AM27" s="97">
        <f>SUMPRODUCT(MMULT('M1'!$M27:$AZ27,'M1'!AM$10:AM$49))</f>
        <v/>
      </c>
      <c r="AN27" s="97">
        <f>SUMPRODUCT(MMULT('M1'!$M27:$AZ27,'M1'!AN$10:AN$49))</f>
        <v/>
      </c>
      <c r="AO27" s="97">
        <f>SUMPRODUCT(MMULT('M1'!$M27:$AZ27,'M1'!AO$10:AO$49))</f>
        <v/>
      </c>
      <c r="AP27" s="97">
        <f>SUMPRODUCT(MMULT('M1'!$M27:$AZ27,'M1'!AP$10:AP$49))</f>
        <v/>
      </c>
      <c r="AQ27" s="97">
        <f>SUMPRODUCT(MMULT('M1'!$M27:$AZ27,'M1'!AQ$10:AQ$49))</f>
        <v/>
      </c>
      <c r="AR27" s="97">
        <f>SUMPRODUCT(MMULT('M1'!$M27:$AZ27,'M1'!AR$10:AR$49))</f>
        <v/>
      </c>
      <c r="AS27" s="97">
        <f>SUMPRODUCT(MMULT('M1'!$M27:$AZ27,'M1'!AS$10:AS$49))</f>
        <v/>
      </c>
      <c r="AT27" s="97">
        <f>SUMPRODUCT(MMULT('M1'!$M27:$AZ27,'M1'!AT$10:AT$49))</f>
        <v/>
      </c>
      <c r="AU27" s="97">
        <f>SUMPRODUCT(MMULT('M1'!$M27:$AZ27,'M1'!AU$10:AU$49))</f>
        <v/>
      </c>
      <c r="AV27" s="97">
        <f>SUMPRODUCT(MMULT('M1'!$M27:$AZ27,'M1'!AV$10:AV$49))</f>
        <v/>
      </c>
      <c r="AW27" s="97">
        <f>SUMPRODUCT(MMULT('M1'!$M27:$AZ27,'M1'!AW$10:AW$49))</f>
        <v/>
      </c>
      <c r="AX27" s="97">
        <f>SUMPRODUCT(MMULT('M1'!$M27:$AZ27,'M1'!AX$10:AX$49))</f>
        <v/>
      </c>
      <c r="AY27" s="97">
        <f>SUMPRODUCT(MMULT('M1'!$M27:$AZ27,'M1'!AY$10:AY$49))</f>
        <v/>
      </c>
      <c r="AZ27" s="97">
        <f>SUMPRODUCT(MMULT('M1'!$M27:$AZ27,'M1'!AZ$10:AZ$49))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SUMPRODUCT(MMULT('M1'!$M28:$AZ28,'M1'!M$10:M$49))</f>
        <v/>
      </c>
      <c r="N28" s="97">
        <f>SUMPRODUCT(MMULT('M1'!$M28:$AZ28,'M1'!N$10:N$49))</f>
        <v/>
      </c>
      <c r="O28" s="97">
        <f>SUMPRODUCT(MMULT('M1'!$M28:$AZ28,'M1'!O$10:O$49))</f>
        <v/>
      </c>
      <c r="P28" s="97">
        <f>SUMPRODUCT(MMULT('M1'!$M28:$AZ28,'M1'!P$10:P$49))</f>
        <v/>
      </c>
      <c r="Q28" s="97">
        <f>SUMPRODUCT(MMULT('M1'!$M28:$AZ28,'M1'!Q$10:Q$49))</f>
        <v/>
      </c>
      <c r="R28" s="97">
        <f>SUMPRODUCT(MMULT('M1'!$M28:$AZ28,'M1'!R$10:R$49))</f>
        <v/>
      </c>
      <c r="S28" s="97">
        <f>SUMPRODUCT(MMULT('M1'!$M28:$AZ28,'M1'!S$10:S$49))</f>
        <v/>
      </c>
      <c r="T28" s="97">
        <f>SUMPRODUCT(MMULT('M1'!$M28:$AZ28,'M1'!T$10:T$49))</f>
        <v/>
      </c>
      <c r="U28" s="97">
        <f>SUMPRODUCT(MMULT('M1'!$M28:$AZ28,'M1'!U$10:U$49))</f>
        <v/>
      </c>
      <c r="V28" s="97">
        <f>SUMPRODUCT(MMULT('M1'!$M28:$AZ28,'M1'!V$10:V$49))</f>
        <v/>
      </c>
      <c r="W28" s="97">
        <f>SUMPRODUCT(MMULT('M1'!$M28:$AZ28,'M1'!W$10:W$49))</f>
        <v/>
      </c>
      <c r="X28" s="97">
        <f>SUMPRODUCT(MMULT('M1'!$M28:$AZ28,'M1'!X$10:X$49))</f>
        <v/>
      </c>
      <c r="Y28" s="97">
        <f>SUMPRODUCT(MMULT('M1'!$M28:$AZ28,'M1'!Y$10:Y$49))</f>
        <v/>
      </c>
      <c r="Z28" s="97">
        <f>SUMPRODUCT(MMULT('M1'!$M28:$AZ28,'M1'!Z$10:Z$49))</f>
        <v/>
      </c>
      <c r="AA28" s="97">
        <f>SUMPRODUCT(MMULT('M1'!$M28:$AZ28,'M1'!AA$10:AA$49))</f>
        <v/>
      </c>
      <c r="AB28" s="97">
        <f>SUMPRODUCT(MMULT('M1'!$M28:$AZ28,'M1'!AB$10:AB$49))</f>
        <v/>
      </c>
      <c r="AC28" s="97">
        <f>SUMPRODUCT(MMULT('M1'!$M28:$AZ28,'M1'!AC$10:AC$49))</f>
        <v/>
      </c>
      <c r="AD28" s="97">
        <f>SUMPRODUCT(MMULT('M1'!$M28:$AZ28,'M1'!AD$10:AD$49))</f>
        <v/>
      </c>
      <c r="AE28" s="97">
        <f>SUMPRODUCT(MMULT('M1'!$M28:$AZ28,'M1'!AE$10:AE$49))</f>
        <v/>
      </c>
      <c r="AF28" s="97">
        <f>SUMPRODUCT(MMULT('M1'!$M28:$AZ28,'M1'!AF$10:AF$49))</f>
        <v/>
      </c>
      <c r="AG28" s="97">
        <f>SUMPRODUCT(MMULT('M1'!$M28:$AZ28,'M1'!AG$10:AG$49))</f>
        <v/>
      </c>
      <c r="AH28" s="97">
        <f>SUMPRODUCT(MMULT('M1'!$M28:$AZ28,'M1'!AH$10:AH$49))</f>
        <v/>
      </c>
      <c r="AI28" s="97">
        <f>SUMPRODUCT(MMULT('M1'!$M28:$AZ28,'M1'!AI$10:AI$49))</f>
        <v/>
      </c>
      <c r="AJ28" s="97">
        <f>SUMPRODUCT(MMULT('M1'!$M28:$AZ28,'M1'!AJ$10:AJ$49))</f>
        <v/>
      </c>
      <c r="AK28" s="97">
        <f>SUMPRODUCT(MMULT('M1'!$M28:$AZ28,'M1'!AK$10:AK$49))</f>
        <v/>
      </c>
      <c r="AL28" s="97">
        <f>SUMPRODUCT(MMULT('M1'!$M28:$AZ28,'M1'!AL$10:AL$49))</f>
        <v/>
      </c>
      <c r="AM28" s="97">
        <f>SUMPRODUCT(MMULT('M1'!$M28:$AZ28,'M1'!AM$10:AM$49))</f>
        <v/>
      </c>
      <c r="AN28" s="97">
        <f>SUMPRODUCT(MMULT('M1'!$M28:$AZ28,'M1'!AN$10:AN$49))</f>
        <v/>
      </c>
      <c r="AO28" s="97">
        <f>SUMPRODUCT(MMULT('M1'!$M28:$AZ28,'M1'!AO$10:AO$49))</f>
        <v/>
      </c>
      <c r="AP28" s="97">
        <f>SUMPRODUCT(MMULT('M1'!$M28:$AZ28,'M1'!AP$10:AP$49))</f>
        <v/>
      </c>
      <c r="AQ28" s="97">
        <f>SUMPRODUCT(MMULT('M1'!$M28:$AZ28,'M1'!AQ$10:AQ$49))</f>
        <v/>
      </c>
      <c r="AR28" s="97">
        <f>SUMPRODUCT(MMULT('M1'!$M28:$AZ28,'M1'!AR$10:AR$49))</f>
        <v/>
      </c>
      <c r="AS28" s="97">
        <f>SUMPRODUCT(MMULT('M1'!$M28:$AZ28,'M1'!AS$10:AS$49))</f>
        <v/>
      </c>
      <c r="AT28" s="97">
        <f>SUMPRODUCT(MMULT('M1'!$M28:$AZ28,'M1'!AT$10:AT$49))</f>
        <v/>
      </c>
      <c r="AU28" s="97">
        <f>SUMPRODUCT(MMULT('M1'!$M28:$AZ28,'M1'!AU$10:AU$49))</f>
        <v/>
      </c>
      <c r="AV28" s="97">
        <f>SUMPRODUCT(MMULT('M1'!$M28:$AZ28,'M1'!AV$10:AV$49))</f>
        <v/>
      </c>
      <c r="AW28" s="97">
        <f>SUMPRODUCT(MMULT('M1'!$M28:$AZ28,'M1'!AW$10:AW$49))</f>
        <v/>
      </c>
      <c r="AX28" s="97">
        <f>SUMPRODUCT(MMULT('M1'!$M28:$AZ28,'M1'!AX$10:AX$49))</f>
        <v/>
      </c>
      <c r="AY28" s="97">
        <f>SUMPRODUCT(MMULT('M1'!$M28:$AZ28,'M1'!AY$10:AY$49))</f>
        <v/>
      </c>
      <c r="AZ28" s="97">
        <f>SUMPRODUCT(MMULT('M1'!$M28:$AZ28,'M1'!AZ$10:AZ$49))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SUMPRODUCT(MMULT('M1'!$M29:$AZ29,'M1'!M$10:M$49))</f>
        <v/>
      </c>
      <c r="N29" s="97">
        <f>SUMPRODUCT(MMULT('M1'!$M29:$AZ29,'M1'!N$10:N$49))</f>
        <v/>
      </c>
      <c r="O29" s="97">
        <f>SUMPRODUCT(MMULT('M1'!$M29:$AZ29,'M1'!O$10:O$49))</f>
        <v/>
      </c>
      <c r="P29" s="97">
        <f>SUMPRODUCT(MMULT('M1'!$M29:$AZ29,'M1'!P$10:P$49))</f>
        <v/>
      </c>
      <c r="Q29" s="97">
        <f>SUMPRODUCT(MMULT('M1'!$M29:$AZ29,'M1'!Q$10:Q$49))</f>
        <v/>
      </c>
      <c r="R29" s="97">
        <f>SUMPRODUCT(MMULT('M1'!$M29:$AZ29,'M1'!R$10:R$49))</f>
        <v/>
      </c>
      <c r="S29" s="97">
        <f>SUMPRODUCT(MMULT('M1'!$M29:$AZ29,'M1'!S$10:S$49))</f>
        <v/>
      </c>
      <c r="T29" s="97">
        <f>SUMPRODUCT(MMULT('M1'!$M29:$AZ29,'M1'!T$10:T$49))</f>
        <v/>
      </c>
      <c r="U29" s="97">
        <f>SUMPRODUCT(MMULT('M1'!$M29:$AZ29,'M1'!U$10:U$49))</f>
        <v/>
      </c>
      <c r="V29" s="97">
        <f>SUMPRODUCT(MMULT('M1'!$M29:$AZ29,'M1'!V$10:V$49))</f>
        <v/>
      </c>
      <c r="W29" s="97">
        <f>SUMPRODUCT(MMULT('M1'!$M29:$AZ29,'M1'!W$10:W$49))</f>
        <v/>
      </c>
      <c r="X29" s="97">
        <f>SUMPRODUCT(MMULT('M1'!$M29:$AZ29,'M1'!X$10:X$49))</f>
        <v/>
      </c>
      <c r="Y29" s="97">
        <f>SUMPRODUCT(MMULT('M1'!$M29:$AZ29,'M1'!Y$10:Y$49))</f>
        <v/>
      </c>
      <c r="Z29" s="97">
        <f>SUMPRODUCT(MMULT('M1'!$M29:$AZ29,'M1'!Z$10:Z$49))</f>
        <v/>
      </c>
      <c r="AA29" s="97">
        <f>SUMPRODUCT(MMULT('M1'!$M29:$AZ29,'M1'!AA$10:AA$49))</f>
        <v/>
      </c>
      <c r="AB29" s="97">
        <f>SUMPRODUCT(MMULT('M1'!$M29:$AZ29,'M1'!AB$10:AB$49))</f>
        <v/>
      </c>
      <c r="AC29" s="97">
        <f>SUMPRODUCT(MMULT('M1'!$M29:$AZ29,'M1'!AC$10:AC$49))</f>
        <v/>
      </c>
      <c r="AD29" s="97">
        <f>SUMPRODUCT(MMULT('M1'!$M29:$AZ29,'M1'!AD$10:AD$49))</f>
        <v/>
      </c>
      <c r="AE29" s="97">
        <f>SUMPRODUCT(MMULT('M1'!$M29:$AZ29,'M1'!AE$10:AE$49))</f>
        <v/>
      </c>
      <c r="AF29" s="97">
        <f>SUMPRODUCT(MMULT('M1'!$M29:$AZ29,'M1'!AF$10:AF$49))</f>
        <v/>
      </c>
      <c r="AG29" s="97">
        <f>SUMPRODUCT(MMULT('M1'!$M29:$AZ29,'M1'!AG$10:AG$49))</f>
        <v/>
      </c>
      <c r="AH29" s="97">
        <f>SUMPRODUCT(MMULT('M1'!$M29:$AZ29,'M1'!AH$10:AH$49))</f>
        <v/>
      </c>
      <c r="AI29" s="97">
        <f>SUMPRODUCT(MMULT('M1'!$M29:$AZ29,'M1'!AI$10:AI$49))</f>
        <v/>
      </c>
      <c r="AJ29" s="97">
        <f>SUMPRODUCT(MMULT('M1'!$M29:$AZ29,'M1'!AJ$10:AJ$49))</f>
        <v/>
      </c>
      <c r="AK29" s="97">
        <f>SUMPRODUCT(MMULT('M1'!$M29:$AZ29,'M1'!AK$10:AK$49))</f>
        <v/>
      </c>
      <c r="AL29" s="97">
        <f>SUMPRODUCT(MMULT('M1'!$M29:$AZ29,'M1'!AL$10:AL$49))</f>
        <v/>
      </c>
      <c r="AM29" s="97">
        <f>SUMPRODUCT(MMULT('M1'!$M29:$AZ29,'M1'!AM$10:AM$49))</f>
        <v/>
      </c>
      <c r="AN29" s="97">
        <f>SUMPRODUCT(MMULT('M1'!$M29:$AZ29,'M1'!AN$10:AN$49))</f>
        <v/>
      </c>
      <c r="AO29" s="97">
        <f>SUMPRODUCT(MMULT('M1'!$M29:$AZ29,'M1'!AO$10:AO$49))</f>
        <v/>
      </c>
      <c r="AP29" s="97">
        <f>SUMPRODUCT(MMULT('M1'!$M29:$AZ29,'M1'!AP$10:AP$49))</f>
        <v/>
      </c>
      <c r="AQ29" s="97">
        <f>SUMPRODUCT(MMULT('M1'!$M29:$AZ29,'M1'!AQ$10:AQ$49))</f>
        <v/>
      </c>
      <c r="AR29" s="97">
        <f>SUMPRODUCT(MMULT('M1'!$M29:$AZ29,'M1'!AR$10:AR$49))</f>
        <v/>
      </c>
      <c r="AS29" s="97">
        <f>SUMPRODUCT(MMULT('M1'!$M29:$AZ29,'M1'!AS$10:AS$49))</f>
        <v/>
      </c>
      <c r="AT29" s="97">
        <f>SUMPRODUCT(MMULT('M1'!$M29:$AZ29,'M1'!AT$10:AT$49))</f>
        <v/>
      </c>
      <c r="AU29" s="97">
        <f>SUMPRODUCT(MMULT('M1'!$M29:$AZ29,'M1'!AU$10:AU$49))</f>
        <v/>
      </c>
      <c r="AV29" s="97">
        <f>SUMPRODUCT(MMULT('M1'!$M29:$AZ29,'M1'!AV$10:AV$49))</f>
        <v/>
      </c>
      <c r="AW29" s="97">
        <f>SUMPRODUCT(MMULT('M1'!$M29:$AZ29,'M1'!AW$10:AW$49))</f>
        <v/>
      </c>
      <c r="AX29" s="97">
        <f>SUMPRODUCT(MMULT('M1'!$M29:$AZ29,'M1'!AX$10:AX$49))</f>
        <v/>
      </c>
      <c r="AY29" s="97">
        <f>SUMPRODUCT(MMULT('M1'!$M29:$AZ29,'M1'!AY$10:AY$49))</f>
        <v/>
      </c>
      <c r="AZ29" s="97">
        <f>SUMPRODUCT(MMULT('M1'!$M29:$AZ29,'M1'!AZ$10:AZ$49))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SUMPRODUCT(MMULT('M1'!$M30:$AZ30,'M1'!M$10:M$49))</f>
        <v/>
      </c>
      <c r="N30" s="97">
        <f>SUMPRODUCT(MMULT('M1'!$M30:$AZ30,'M1'!N$10:N$49))</f>
        <v/>
      </c>
      <c r="O30" s="97">
        <f>SUMPRODUCT(MMULT('M1'!$M30:$AZ30,'M1'!O$10:O$49))</f>
        <v/>
      </c>
      <c r="P30" s="97">
        <f>SUMPRODUCT(MMULT('M1'!$M30:$AZ30,'M1'!P$10:P$49))</f>
        <v/>
      </c>
      <c r="Q30" s="97">
        <f>SUMPRODUCT(MMULT('M1'!$M30:$AZ30,'M1'!Q$10:Q$49))</f>
        <v/>
      </c>
      <c r="R30" s="97">
        <f>SUMPRODUCT(MMULT('M1'!$M30:$AZ30,'M1'!R$10:R$49))</f>
        <v/>
      </c>
      <c r="S30" s="97">
        <f>SUMPRODUCT(MMULT('M1'!$M30:$AZ30,'M1'!S$10:S$49))</f>
        <v/>
      </c>
      <c r="T30" s="97">
        <f>SUMPRODUCT(MMULT('M1'!$M30:$AZ30,'M1'!T$10:T$49))</f>
        <v/>
      </c>
      <c r="U30" s="97">
        <f>SUMPRODUCT(MMULT('M1'!$M30:$AZ30,'M1'!U$10:U$49))</f>
        <v/>
      </c>
      <c r="V30" s="97">
        <f>SUMPRODUCT(MMULT('M1'!$M30:$AZ30,'M1'!V$10:V$49))</f>
        <v/>
      </c>
      <c r="W30" s="97">
        <f>SUMPRODUCT(MMULT('M1'!$M30:$AZ30,'M1'!W$10:W$49))</f>
        <v/>
      </c>
      <c r="X30" s="97">
        <f>SUMPRODUCT(MMULT('M1'!$M30:$AZ30,'M1'!X$10:X$49))</f>
        <v/>
      </c>
      <c r="Y30" s="97">
        <f>SUMPRODUCT(MMULT('M1'!$M30:$AZ30,'M1'!Y$10:Y$49))</f>
        <v/>
      </c>
      <c r="Z30" s="97">
        <f>SUMPRODUCT(MMULT('M1'!$M30:$AZ30,'M1'!Z$10:Z$49))</f>
        <v/>
      </c>
      <c r="AA30" s="97">
        <f>SUMPRODUCT(MMULT('M1'!$M30:$AZ30,'M1'!AA$10:AA$49))</f>
        <v/>
      </c>
      <c r="AB30" s="97">
        <f>SUMPRODUCT(MMULT('M1'!$M30:$AZ30,'M1'!AB$10:AB$49))</f>
        <v/>
      </c>
      <c r="AC30" s="97">
        <f>SUMPRODUCT(MMULT('M1'!$M30:$AZ30,'M1'!AC$10:AC$49))</f>
        <v/>
      </c>
      <c r="AD30" s="97">
        <f>SUMPRODUCT(MMULT('M1'!$M30:$AZ30,'M1'!AD$10:AD$49))</f>
        <v/>
      </c>
      <c r="AE30" s="97">
        <f>SUMPRODUCT(MMULT('M1'!$M30:$AZ30,'M1'!AE$10:AE$49))</f>
        <v/>
      </c>
      <c r="AF30" s="97">
        <f>SUMPRODUCT(MMULT('M1'!$M30:$AZ30,'M1'!AF$10:AF$49))</f>
        <v/>
      </c>
      <c r="AG30" s="97">
        <f>SUMPRODUCT(MMULT('M1'!$M30:$AZ30,'M1'!AG$10:AG$49))</f>
        <v/>
      </c>
      <c r="AH30" s="97">
        <f>SUMPRODUCT(MMULT('M1'!$M30:$AZ30,'M1'!AH$10:AH$49))</f>
        <v/>
      </c>
      <c r="AI30" s="97">
        <f>SUMPRODUCT(MMULT('M1'!$M30:$AZ30,'M1'!AI$10:AI$49))</f>
        <v/>
      </c>
      <c r="AJ30" s="97">
        <f>SUMPRODUCT(MMULT('M1'!$M30:$AZ30,'M1'!AJ$10:AJ$49))</f>
        <v/>
      </c>
      <c r="AK30" s="97">
        <f>SUMPRODUCT(MMULT('M1'!$M30:$AZ30,'M1'!AK$10:AK$49))</f>
        <v/>
      </c>
      <c r="AL30" s="97">
        <f>SUMPRODUCT(MMULT('M1'!$M30:$AZ30,'M1'!AL$10:AL$49))</f>
        <v/>
      </c>
      <c r="AM30" s="97">
        <f>SUMPRODUCT(MMULT('M1'!$M30:$AZ30,'M1'!AM$10:AM$49))</f>
        <v/>
      </c>
      <c r="AN30" s="97">
        <f>SUMPRODUCT(MMULT('M1'!$M30:$AZ30,'M1'!AN$10:AN$49))</f>
        <v/>
      </c>
      <c r="AO30" s="97">
        <f>SUMPRODUCT(MMULT('M1'!$M30:$AZ30,'M1'!AO$10:AO$49))</f>
        <v/>
      </c>
      <c r="AP30" s="97">
        <f>SUMPRODUCT(MMULT('M1'!$M30:$AZ30,'M1'!AP$10:AP$49))</f>
        <v/>
      </c>
      <c r="AQ30" s="97">
        <f>SUMPRODUCT(MMULT('M1'!$M30:$AZ30,'M1'!AQ$10:AQ$49))</f>
        <v/>
      </c>
      <c r="AR30" s="97">
        <f>SUMPRODUCT(MMULT('M1'!$M30:$AZ30,'M1'!AR$10:AR$49))</f>
        <v/>
      </c>
      <c r="AS30" s="97">
        <f>SUMPRODUCT(MMULT('M1'!$M30:$AZ30,'M1'!AS$10:AS$49))</f>
        <v/>
      </c>
      <c r="AT30" s="97">
        <f>SUMPRODUCT(MMULT('M1'!$M30:$AZ30,'M1'!AT$10:AT$49))</f>
        <v/>
      </c>
      <c r="AU30" s="97">
        <f>SUMPRODUCT(MMULT('M1'!$M30:$AZ30,'M1'!AU$10:AU$49))</f>
        <v/>
      </c>
      <c r="AV30" s="97">
        <f>SUMPRODUCT(MMULT('M1'!$M30:$AZ30,'M1'!AV$10:AV$49))</f>
        <v/>
      </c>
      <c r="AW30" s="97">
        <f>SUMPRODUCT(MMULT('M1'!$M30:$AZ30,'M1'!AW$10:AW$49))</f>
        <v/>
      </c>
      <c r="AX30" s="97">
        <f>SUMPRODUCT(MMULT('M1'!$M30:$AZ30,'M1'!AX$10:AX$49))</f>
        <v/>
      </c>
      <c r="AY30" s="97">
        <f>SUMPRODUCT(MMULT('M1'!$M30:$AZ30,'M1'!AY$10:AY$49))</f>
        <v/>
      </c>
      <c r="AZ30" s="97">
        <f>SUMPRODUCT(MMULT('M1'!$M30:$AZ30,'M1'!AZ$10:AZ$49))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SUMPRODUCT(MMULT('M1'!$M31:$AZ31,'M1'!M$10:M$49))</f>
        <v/>
      </c>
      <c r="N31" s="97">
        <f>SUMPRODUCT(MMULT('M1'!$M31:$AZ31,'M1'!N$10:N$49))</f>
        <v/>
      </c>
      <c r="O31" s="97">
        <f>SUMPRODUCT(MMULT('M1'!$M31:$AZ31,'M1'!O$10:O$49))</f>
        <v/>
      </c>
      <c r="P31" s="97">
        <f>SUMPRODUCT(MMULT('M1'!$M31:$AZ31,'M1'!P$10:P$49))</f>
        <v/>
      </c>
      <c r="Q31" s="97">
        <f>SUMPRODUCT(MMULT('M1'!$M31:$AZ31,'M1'!Q$10:Q$49))</f>
        <v/>
      </c>
      <c r="R31" s="97">
        <f>SUMPRODUCT(MMULT('M1'!$M31:$AZ31,'M1'!R$10:R$49))</f>
        <v/>
      </c>
      <c r="S31" s="97">
        <f>SUMPRODUCT(MMULT('M1'!$M31:$AZ31,'M1'!S$10:S$49))</f>
        <v/>
      </c>
      <c r="T31" s="97">
        <f>SUMPRODUCT(MMULT('M1'!$M31:$AZ31,'M1'!T$10:T$49))</f>
        <v/>
      </c>
      <c r="U31" s="97">
        <f>SUMPRODUCT(MMULT('M1'!$M31:$AZ31,'M1'!U$10:U$49))</f>
        <v/>
      </c>
      <c r="V31" s="97">
        <f>SUMPRODUCT(MMULT('M1'!$M31:$AZ31,'M1'!V$10:V$49))</f>
        <v/>
      </c>
      <c r="W31" s="97">
        <f>SUMPRODUCT(MMULT('M1'!$M31:$AZ31,'M1'!W$10:W$49))</f>
        <v/>
      </c>
      <c r="X31" s="97">
        <f>SUMPRODUCT(MMULT('M1'!$M31:$AZ31,'M1'!X$10:X$49))</f>
        <v/>
      </c>
      <c r="Y31" s="97">
        <f>SUMPRODUCT(MMULT('M1'!$M31:$AZ31,'M1'!Y$10:Y$49))</f>
        <v/>
      </c>
      <c r="Z31" s="97">
        <f>SUMPRODUCT(MMULT('M1'!$M31:$AZ31,'M1'!Z$10:Z$49))</f>
        <v/>
      </c>
      <c r="AA31" s="97">
        <f>SUMPRODUCT(MMULT('M1'!$M31:$AZ31,'M1'!AA$10:AA$49))</f>
        <v/>
      </c>
      <c r="AB31" s="97">
        <f>SUMPRODUCT(MMULT('M1'!$M31:$AZ31,'M1'!AB$10:AB$49))</f>
        <v/>
      </c>
      <c r="AC31" s="97">
        <f>SUMPRODUCT(MMULT('M1'!$M31:$AZ31,'M1'!AC$10:AC$49))</f>
        <v/>
      </c>
      <c r="AD31" s="97">
        <f>SUMPRODUCT(MMULT('M1'!$M31:$AZ31,'M1'!AD$10:AD$49))</f>
        <v/>
      </c>
      <c r="AE31" s="97">
        <f>SUMPRODUCT(MMULT('M1'!$M31:$AZ31,'M1'!AE$10:AE$49))</f>
        <v/>
      </c>
      <c r="AF31" s="97">
        <f>SUMPRODUCT(MMULT('M1'!$M31:$AZ31,'M1'!AF$10:AF$49))</f>
        <v/>
      </c>
      <c r="AG31" s="97">
        <f>SUMPRODUCT(MMULT('M1'!$M31:$AZ31,'M1'!AG$10:AG$49))</f>
        <v/>
      </c>
      <c r="AH31" s="97">
        <f>SUMPRODUCT(MMULT('M1'!$M31:$AZ31,'M1'!AH$10:AH$49))</f>
        <v/>
      </c>
      <c r="AI31" s="97">
        <f>SUMPRODUCT(MMULT('M1'!$M31:$AZ31,'M1'!AI$10:AI$49))</f>
        <v/>
      </c>
      <c r="AJ31" s="97">
        <f>SUMPRODUCT(MMULT('M1'!$M31:$AZ31,'M1'!AJ$10:AJ$49))</f>
        <v/>
      </c>
      <c r="AK31" s="97">
        <f>SUMPRODUCT(MMULT('M1'!$M31:$AZ31,'M1'!AK$10:AK$49))</f>
        <v/>
      </c>
      <c r="AL31" s="97">
        <f>SUMPRODUCT(MMULT('M1'!$M31:$AZ31,'M1'!AL$10:AL$49))</f>
        <v/>
      </c>
      <c r="AM31" s="97">
        <f>SUMPRODUCT(MMULT('M1'!$M31:$AZ31,'M1'!AM$10:AM$49))</f>
        <v/>
      </c>
      <c r="AN31" s="97">
        <f>SUMPRODUCT(MMULT('M1'!$M31:$AZ31,'M1'!AN$10:AN$49))</f>
        <v/>
      </c>
      <c r="AO31" s="97">
        <f>SUMPRODUCT(MMULT('M1'!$M31:$AZ31,'M1'!AO$10:AO$49))</f>
        <v/>
      </c>
      <c r="AP31" s="97">
        <f>SUMPRODUCT(MMULT('M1'!$M31:$AZ31,'M1'!AP$10:AP$49))</f>
        <v/>
      </c>
      <c r="AQ31" s="97">
        <f>SUMPRODUCT(MMULT('M1'!$M31:$AZ31,'M1'!AQ$10:AQ$49))</f>
        <v/>
      </c>
      <c r="AR31" s="97">
        <f>SUMPRODUCT(MMULT('M1'!$M31:$AZ31,'M1'!AR$10:AR$49))</f>
        <v/>
      </c>
      <c r="AS31" s="97">
        <f>SUMPRODUCT(MMULT('M1'!$M31:$AZ31,'M1'!AS$10:AS$49))</f>
        <v/>
      </c>
      <c r="AT31" s="97">
        <f>SUMPRODUCT(MMULT('M1'!$M31:$AZ31,'M1'!AT$10:AT$49))</f>
        <v/>
      </c>
      <c r="AU31" s="97">
        <f>SUMPRODUCT(MMULT('M1'!$M31:$AZ31,'M1'!AU$10:AU$49))</f>
        <v/>
      </c>
      <c r="AV31" s="97">
        <f>SUMPRODUCT(MMULT('M1'!$M31:$AZ31,'M1'!AV$10:AV$49))</f>
        <v/>
      </c>
      <c r="AW31" s="97">
        <f>SUMPRODUCT(MMULT('M1'!$M31:$AZ31,'M1'!AW$10:AW$49))</f>
        <v/>
      </c>
      <c r="AX31" s="97">
        <f>SUMPRODUCT(MMULT('M1'!$M31:$AZ31,'M1'!AX$10:AX$49))</f>
        <v/>
      </c>
      <c r="AY31" s="97">
        <f>SUMPRODUCT(MMULT('M1'!$M31:$AZ31,'M1'!AY$10:AY$49))</f>
        <v/>
      </c>
      <c r="AZ31" s="97">
        <f>SUMPRODUCT(MMULT('M1'!$M31:$AZ31,'M1'!AZ$10:AZ$49))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SUMPRODUCT(MMULT('M1'!$M32:$AZ32,'M1'!M$10:M$49))</f>
        <v/>
      </c>
      <c r="N32" s="97">
        <f>SUMPRODUCT(MMULT('M1'!$M32:$AZ32,'M1'!N$10:N$49))</f>
        <v/>
      </c>
      <c r="O32" s="97">
        <f>SUMPRODUCT(MMULT('M1'!$M32:$AZ32,'M1'!O$10:O$49))</f>
        <v/>
      </c>
      <c r="P32" s="97">
        <f>SUMPRODUCT(MMULT('M1'!$M32:$AZ32,'M1'!P$10:P$49))</f>
        <v/>
      </c>
      <c r="Q32" s="97">
        <f>SUMPRODUCT(MMULT('M1'!$M32:$AZ32,'M1'!Q$10:Q$49))</f>
        <v/>
      </c>
      <c r="R32" s="97">
        <f>SUMPRODUCT(MMULT('M1'!$M32:$AZ32,'M1'!R$10:R$49))</f>
        <v/>
      </c>
      <c r="S32" s="97">
        <f>SUMPRODUCT(MMULT('M1'!$M32:$AZ32,'M1'!S$10:S$49))</f>
        <v/>
      </c>
      <c r="T32" s="97">
        <f>SUMPRODUCT(MMULT('M1'!$M32:$AZ32,'M1'!T$10:T$49))</f>
        <v/>
      </c>
      <c r="U32" s="97">
        <f>SUMPRODUCT(MMULT('M1'!$M32:$AZ32,'M1'!U$10:U$49))</f>
        <v/>
      </c>
      <c r="V32" s="97">
        <f>SUMPRODUCT(MMULT('M1'!$M32:$AZ32,'M1'!V$10:V$49))</f>
        <v/>
      </c>
      <c r="W32" s="97">
        <f>SUMPRODUCT(MMULT('M1'!$M32:$AZ32,'M1'!W$10:W$49))</f>
        <v/>
      </c>
      <c r="X32" s="97">
        <f>SUMPRODUCT(MMULT('M1'!$M32:$AZ32,'M1'!X$10:X$49))</f>
        <v/>
      </c>
      <c r="Y32" s="97">
        <f>SUMPRODUCT(MMULT('M1'!$M32:$AZ32,'M1'!Y$10:Y$49))</f>
        <v/>
      </c>
      <c r="Z32" s="97">
        <f>SUMPRODUCT(MMULT('M1'!$M32:$AZ32,'M1'!Z$10:Z$49))</f>
        <v/>
      </c>
      <c r="AA32" s="97">
        <f>SUMPRODUCT(MMULT('M1'!$M32:$AZ32,'M1'!AA$10:AA$49))</f>
        <v/>
      </c>
      <c r="AB32" s="97">
        <f>SUMPRODUCT(MMULT('M1'!$M32:$AZ32,'M1'!AB$10:AB$49))</f>
        <v/>
      </c>
      <c r="AC32" s="97">
        <f>SUMPRODUCT(MMULT('M1'!$M32:$AZ32,'M1'!AC$10:AC$49))</f>
        <v/>
      </c>
      <c r="AD32" s="97">
        <f>SUMPRODUCT(MMULT('M1'!$M32:$AZ32,'M1'!AD$10:AD$49))</f>
        <v/>
      </c>
      <c r="AE32" s="97">
        <f>SUMPRODUCT(MMULT('M1'!$M32:$AZ32,'M1'!AE$10:AE$49))</f>
        <v/>
      </c>
      <c r="AF32" s="97">
        <f>SUMPRODUCT(MMULT('M1'!$M32:$AZ32,'M1'!AF$10:AF$49))</f>
        <v/>
      </c>
      <c r="AG32" s="97">
        <f>SUMPRODUCT(MMULT('M1'!$M32:$AZ32,'M1'!AG$10:AG$49))</f>
        <v/>
      </c>
      <c r="AH32" s="97">
        <f>SUMPRODUCT(MMULT('M1'!$M32:$AZ32,'M1'!AH$10:AH$49))</f>
        <v/>
      </c>
      <c r="AI32" s="97">
        <f>SUMPRODUCT(MMULT('M1'!$M32:$AZ32,'M1'!AI$10:AI$49))</f>
        <v/>
      </c>
      <c r="AJ32" s="97">
        <f>SUMPRODUCT(MMULT('M1'!$M32:$AZ32,'M1'!AJ$10:AJ$49))</f>
        <v/>
      </c>
      <c r="AK32" s="97">
        <f>SUMPRODUCT(MMULT('M1'!$M32:$AZ32,'M1'!AK$10:AK$49))</f>
        <v/>
      </c>
      <c r="AL32" s="97">
        <f>SUMPRODUCT(MMULT('M1'!$M32:$AZ32,'M1'!AL$10:AL$49))</f>
        <v/>
      </c>
      <c r="AM32" s="97">
        <f>SUMPRODUCT(MMULT('M1'!$M32:$AZ32,'M1'!AM$10:AM$49))</f>
        <v/>
      </c>
      <c r="AN32" s="97">
        <f>SUMPRODUCT(MMULT('M1'!$M32:$AZ32,'M1'!AN$10:AN$49))</f>
        <v/>
      </c>
      <c r="AO32" s="97">
        <f>SUMPRODUCT(MMULT('M1'!$M32:$AZ32,'M1'!AO$10:AO$49))</f>
        <v/>
      </c>
      <c r="AP32" s="97">
        <f>SUMPRODUCT(MMULT('M1'!$M32:$AZ32,'M1'!AP$10:AP$49))</f>
        <v/>
      </c>
      <c r="AQ32" s="97">
        <f>SUMPRODUCT(MMULT('M1'!$M32:$AZ32,'M1'!AQ$10:AQ$49))</f>
        <v/>
      </c>
      <c r="AR32" s="97">
        <f>SUMPRODUCT(MMULT('M1'!$M32:$AZ32,'M1'!AR$10:AR$49))</f>
        <v/>
      </c>
      <c r="AS32" s="97">
        <f>SUMPRODUCT(MMULT('M1'!$M32:$AZ32,'M1'!AS$10:AS$49))</f>
        <v/>
      </c>
      <c r="AT32" s="97">
        <f>SUMPRODUCT(MMULT('M1'!$M32:$AZ32,'M1'!AT$10:AT$49))</f>
        <v/>
      </c>
      <c r="AU32" s="97">
        <f>SUMPRODUCT(MMULT('M1'!$M32:$AZ32,'M1'!AU$10:AU$49))</f>
        <v/>
      </c>
      <c r="AV32" s="97">
        <f>SUMPRODUCT(MMULT('M1'!$M32:$AZ32,'M1'!AV$10:AV$49))</f>
        <v/>
      </c>
      <c r="AW32" s="97">
        <f>SUMPRODUCT(MMULT('M1'!$M32:$AZ32,'M1'!AW$10:AW$49))</f>
        <v/>
      </c>
      <c r="AX32" s="97">
        <f>SUMPRODUCT(MMULT('M1'!$M32:$AZ32,'M1'!AX$10:AX$49))</f>
        <v/>
      </c>
      <c r="AY32" s="97">
        <f>SUMPRODUCT(MMULT('M1'!$M32:$AZ32,'M1'!AY$10:AY$49))</f>
        <v/>
      </c>
      <c r="AZ32" s="97">
        <f>SUMPRODUCT(MMULT('M1'!$M32:$AZ32,'M1'!AZ$10:AZ$49))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SUMPRODUCT(MMULT('M1'!$M33:$AZ33,'M1'!M$10:M$49))</f>
        <v/>
      </c>
      <c r="N33" s="97">
        <f>SUMPRODUCT(MMULT('M1'!$M33:$AZ33,'M1'!N$10:N$49))</f>
        <v/>
      </c>
      <c r="O33" s="97">
        <f>SUMPRODUCT(MMULT('M1'!$M33:$AZ33,'M1'!O$10:O$49))</f>
        <v/>
      </c>
      <c r="P33" s="97">
        <f>SUMPRODUCT(MMULT('M1'!$M33:$AZ33,'M1'!P$10:P$49))</f>
        <v/>
      </c>
      <c r="Q33" s="97">
        <f>SUMPRODUCT(MMULT('M1'!$M33:$AZ33,'M1'!Q$10:Q$49))</f>
        <v/>
      </c>
      <c r="R33" s="97">
        <f>SUMPRODUCT(MMULT('M1'!$M33:$AZ33,'M1'!R$10:R$49))</f>
        <v/>
      </c>
      <c r="S33" s="97">
        <f>SUMPRODUCT(MMULT('M1'!$M33:$AZ33,'M1'!S$10:S$49))</f>
        <v/>
      </c>
      <c r="T33" s="97">
        <f>SUMPRODUCT(MMULT('M1'!$M33:$AZ33,'M1'!T$10:T$49))</f>
        <v/>
      </c>
      <c r="U33" s="97">
        <f>SUMPRODUCT(MMULT('M1'!$M33:$AZ33,'M1'!U$10:U$49))</f>
        <v/>
      </c>
      <c r="V33" s="97">
        <f>SUMPRODUCT(MMULT('M1'!$M33:$AZ33,'M1'!V$10:V$49))</f>
        <v/>
      </c>
      <c r="W33" s="97">
        <f>SUMPRODUCT(MMULT('M1'!$M33:$AZ33,'M1'!W$10:W$49))</f>
        <v/>
      </c>
      <c r="X33" s="97">
        <f>SUMPRODUCT(MMULT('M1'!$M33:$AZ33,'M1'!X$10:X$49))</f>
        <v/>
      </c>
      <c r="Y33" s="97">
        <f>SUMPRODUCT(MMULT('M1'!$M33:$AZ33,'M1'!Y$10:Y$49))</f>
        <v/>
      </c>
      <c r="Z33" s="97">
        <f>SUMPRODUCT(MMULT('M1'!$M33:$AZ33,'M1'!Z$10:Z$49))</f>
        <v/>
      </c>
      <c r="AA33" s="97">
        <f>SUMPRODUCT(MMULT('M1'!$M33:$AZ33,'M1'!AA$10:AA$49))</f>
        <v/>
      </c>
      <c r="AB33" s="97">
        <f>SUMPRODUCT(MMULT('M1'!$M33:$AZ33,'M1'!AB$10:AB$49))</f>
        <v/>
      </c>
      <c r="AC33" s="97">
        <f>SUMPRODUCT(MMULT('M1'!$M33:$AZ33,'M1'!AC$10:AC$49))</f>
        <v/>
      </c>
      <c r="AD33" s="97">
        <f>SUMPRODUCT(MMULT('M1'!$M33:$AZ33,'M1'!AD$10:AD$49))</f>
        <v/>
      </c>
      <c r="AE33" s="97">
        <f>SUMPRODUCT(MMULT('M1'!$M33:$AZ33,'M1'!AE$10:AE$49))</f>
        <v/>
      </c>
      <c r="AF33" s="97">
        <f>SUMPRODUCT(MMULT('M1'!$M33:$AZ33,'M1'!AF$10:AF$49))</f>
        <v/>
      </c>
      <c r="AG33" s="97">
        <f>SUMPRODUCT(MMULT('M1'!$M33:$AZ33,'M1'!AG$10:AG$49))</f>
        <v/>
      </c>
      <c r="AH33" s="97">
        <f>SUMPRODUCT(MMULT('M1'!$M33:$AZ33,'M1'!AH$10:AH$49))</f>
        <v/>
      </c>
      <c r="AI33" s="97">
        <f>SUMPRODUCT(MMULT('M1'!$M33:$AZ33,'M1'!AI$10:AI$49))</f>
        <v/>
      </c>
      <c r="AJ33" s="97">
        <f>SUMPRODUCT(MMULT('M1'!$M33:$AZ33,'M1'!AJ$10:AJ$49))</f>
        <v/>
      </c>
      <c r="AK33" s="97">
        <f>SUMPRODUCT(MMULT('M1'!$M33:$AZ33,'M1'!AK$10:AK$49))</f>
        <v/>
      </c>
      <c r="AL33" s="97">
        <f>SUMPRODUCT(MMULT('M1'!$M33:$AZ33,'M1'!AL$10:AL$49))</f>
        <v/>
      </c>
      <c r="AM33" s="97">
        <f>SUMPRODUCT(MMULT('M1'!$M33:$AZ33,'M1'!AM$10:AM$49))</f>
        <v/>
      </c>
      <c r="AN33" s="97">
        <f>SUMPRODUCT(MMULT('M1'!$M33:$AZ33,'M1'!AN$10:AN$49))</f>
        <v/>
      </c>
      <c r="AO33" s="97">
        <f>SUMPRODUCT(MMULT('M1'!$M33:$AZ33,'M1'!AO$10:AO$49))</f>
        <v/>
      </c>
      <c r="AP33" s="97">
        <f>SUMPRODUCT(MMULT('M1'!$M33:$AZ33,'M1'!AP$10:AP$49))</f>
        <v/>
      </c>
      <c r="AQ33" s="97">
        <f>SUMPRODUCT(MMULT('M1'!$M33:$AZ33,'M1'!AQ$10:AQ$49))</f>
        <v/>
      </c>
      <c r="AR33" s="97">
        <f>SUMPRODUCT(MMULT('M1'!$M33:$AZ33,'M1'!AR$10:AR$49))</f>
        <v/>
      </c>
      <c r="AS33" s="97">
        <f>SUMPRODUCT(MMULT('M1'!$M33:$AZ33,'M1'!AS$10:AS$49))</f>
        <v/>
      </c>
      <c r="AT33" s="97">
        <f>SUMPRODUCT(MMULT('M1'!$M33:$AZ33,'M1'!AT$10:AT$49))</f>
        <v/>
      </c>
      <c r="AU33" s="97">
        <f>SUMPRODUCT(MMULT('M1'!$M33:$AZ33,'M1'!AU$10:AU$49))</f>
        <v/>
      </c>
      <c r="AV33" s="97">
        <f>SUMPRODUCT(MMULT('M1'!$M33:$AZ33,'M1'!AV$10:AV$49))</f>
        <v/>
      </c>
      <c r="AW33" s="97">
        <f>SUMPRODUCT(MMULT('M1'!$M33:$AZ33,'M1'!AW$10:AW$49))</f>
        <v/>
      </c>
      <c r="AX33" s="97">
        <f>SUMPRODUCT(MMULT('M1'!$M33:$AZ33,'M1'!AX$10:AX$49))</f>
        <v/>
      </c>
      <c r="AY33" s="97">
        <f>SUMPRODUCT(MMULT('M1'!$M33:$AZ33,'M1'!AY$10:AY$49))</f>
        <v/>
      </c>
      <c r="AZ33" s="97">
        <f>SUMPRODUCT(MMULT('M1'!$M33:$AZ33,'M1'!AZ$10:AZ$49))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SUMPRODUCT(MMULT('M1'!$M34:$AZ34,'M1'!M$10:M$49))</f>
        <v/>
      </c>
      <c r="N34" s="97">
        <f>SUMPRODUCT(MMULT('M1'!$M34:$AZ34,'M1'!N$10:N$49))</f>
        <v/>
      </c>
      <c r="O34" s="97">
        <f>SUMPRODUCT(MMULT('M1'!$M34:$AZ34,'M1'!O$10:O$49))</f>
        <v/>
      </c>
      <c r="P34" s="97">
        <f>SUMPRODUCT(MMULT('M1'!$M34:$AZ34,'M1'!P$10:P$49))</f>
        <v/>
      </c>
      <c r="Q34" s="97">
        <f>SUMPRODUCT(MMULT('M1'!$M34:$AZ34,'M1'!Q$10:Q$49))</f>
        <v/>
      </c>
      <c r="R34" s="97">
        <f>SUMPRODUCT(MMULT('M1'!$M34:$AZ34,'M1'!R$10:R$49))</f>
        <v/>
      </c>
      <c r="S34" s="97">
        <f>SUMPRODUCT(MMULT('M1'!$M34:$AZ34,'M1'!S$10:S$49))</f>
        <v/>
      </c>
      <c r="T34" s="97">
        <f>SUMPRODUCT(MMULT('M1'!$M34:$AZ34,'M1'!T$10:T$49))</f>
        <v/>
      </c>
      <c r="U34" s="97">
        <f>SUMPRODUCT(MMULT('M1'!$M34:$AZ34,'M1'!U$10:U$49))</f>
        <v/>
      </c>
      <c r="V34" s="97">
        <f>SUMPRODUCT(MMULT('M1'!$M34:$AZ34,'M1'!V$10:V$49))</f>
        <v/>
      </c>
      <c r="W34" s="97">
        <f>SUMPRODUCT(MMULT('M1'!$M34:$AZ34,'M1'!W$10:W$49))</f>
        <v/>
      </c>
      <c r="X34" s="97">
        <f>SUMPRODUCT(MMULT('M1'!$M34:$AZ34,'M1'!X$10:X$49))</f>
        <v/>
      </c>
      <c r="Y34" s="97">
        <f>SUMPRODUCT(MMULT('M1'!$M34:$AZ34,'M1'!Y$10:Y$49))</f>
        <v/>
      </c>
      <c r="Z34" s="97">
        <f>SUMPRODUCT(MMULT('M1'!$M34:$AZ34,'M1'!Z$10:Z$49))</f>
        <v/>
      </c>
      <c r="AA34" s="97">
        <f>SUMPRODUCT(MMULT('M1'!$M34:$AZ34,'M1'!AA$10:AA$49))</f>
        <v/>
      </c>
      <c r="AB34" s="97">
        <f>SUMPRODUCT(MMULT('M1'!$M34:$AZ34,'M1'!AB$10:AB$49))</f>
        <v/>
      </c>
      <c r="AC34" s="97">
        <f>SUMPRODUCT(MMULT('M1'!$M34:$AZ34,'M1'!AC$10:AC$49))</f>
        <v/>
      </c>
      <c r="AD34" s="97">
        <f>SUMPRODUCT(MMULT('M1'!$M34:$AZ34,'M1'!AD$10:AD$49))</f>
        <v/>
      </c>
      <c r="AE34" s="97">
        <f>SUMPRODUCT(MMULT('M1'!$M34:$AZ34,'M1'!AE$10:AE$49))</f>
        <v/>
      </c>
      <c r="AF34" s="97">
        <f>SUMPRODUCT(MMULT('M1'!$M34:$AZ34,'M1'!AF$10:AF$49))</f>
        <v/>
      </c>
      <c r="AG34" s="97">
        <f>SUMPRODUCT(MMULT('M1'!$M34:$AZ34,'M1'!AG$10:AG$49))</f>
        <v/>
      </c>
      <c r="AH34" s="97">
        <f>SUMPRODUCT(MMULT('M1'!$M34:$AZ34,'M1'!AH$10:AH$49))</f>
        <v/>
      </c>
      <c r="AI34" s="97">
        <f>SUMPRODUCT(MMULT('M1'!$M34:$AZ34,'M1'!AI$10:AI$49))</f>
        <v/>
      </c>
      <c r="AJ34" s="97">
        <f>SUMPRODUCT(MMULT('M1'!$M34:$AZ34,'M1'!AJ$10:AJ$49))</f>
        <v/>
      </c>
      <c r="AK34" s="97">
        <f>SUMPRODUCT(MMULT('M1'!$M34:$AZ34,'M1'!AK$10:AK$49))</f>
        <v/>
      </c>
      <c r="AL34" s="97">
        <f>SUMPRODUCT(MMULT('M1'!$M34:$AZ34,'M1'!AL$10:AL$49))</f>
        <v/>
      </c>
      <c r="AM34" s="97">
        <f>SUMPRODUCT(MMULT('M1'!$M34:$AZ34,'M1'!AM$10:AM$49))</f>
        <v/>
      </c>
      <c r="AN34" s="97">
        <f>SUMPRODUCT(MMULT('M1'!$M34:$AZ34,'M1'!AN$10:AN$49))</f>
        <v/>
      </c>
      <c r="AO34" s="97">
        <f>SUMPRODUCT(MMULT('M1'!$M34:$AZ34,'M1'!AO$10:AO$49))</f>
        <v/>
      </c>
      <c r="AP34" s="97">
        <f>SUMPRODUCT(MMULT('M1'!$M34:$AZ34,'M1'!AP$10:AP$49))</f>
        <v/>
      </c>
      <c r="AQ34" s="97">
        <f>SUMPRODUCT(MMULT('M1'!$M34:$AZ34,'M1'!AQ$10:AQ$49))</f>
        <v/>
      </c>
      <c r="AR34" s="97">
        <f>SUMPRODUCT(MMULT('M1'!$M34:$AZ34,'M1'!AR$10:AR$49))</f>
        <v/>
      </c>
      <c r="AS34" s="97">
        <f>SUMPRODUCT(MMULT('M1'!$M34:$AZ34,'M1'!AS$10:AS$49))</f>
        <v/>
      </c>
      <c r="AT34" s="97">
        <f>SUMPRODUCT(MMULT('M1'!$M34:$AZ34,'M1'!AT$10:AT$49))</f>
        <v/>
      </c>
      <c r="AU34" s="97">
        <f>SUMPRODUCT(MMULT('M1'!$M34:$AZ34,'M1'!AU$10:AU$49))</f>
        <v/>
      </c>
      <c r="AV34" s="97">
        <f>SUMPRODUCT(MMULT('M1'!$M34:$AZ34,'M1'!AV$10:AV$49))</f>
        <v/>
      </c>
      <c r="AW34" s="97">
        <f>SUMPRODUCT(MMULT('M1'!$M34:$AZ34,'M1'!AW$10:AW$49))</f>
        <v/>
      </c>
      <c r="AX34" s="97">
        <f>SUMPRODUCT(MMULT('M1'!$M34:$AZ34,'M1'!AX$10:AX$49))</f>
        <v/>
      </c>
      <c r="AY34" s="97">
        <f>SUMPRODUCT(MMULT('M1'!$M34:$AZ34,'M1'!AY$10:AY$49))</f>
        <v/>
      </c>
      <c r="AZ34" s="97">
        <f>SUMPRODUCT(MMULT('M1'!$M34:$AZ34,'M1'!AZ$10:AZ$49))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SUMPRODUCT(MMULT('M1'!$M35:$AZ35,'M1'!M$10:M$49))</f>
        <v/>
      </c>
      <c r="N35" s="97">
        <f>SUMPRODUCT(MMULT('M1'!$M35:$AZ35,'M1'!N$10:N$49))</f>
        <v/>
      </c>
      <c r="O35" s="97">
        <f>SUMPRODUCT(MMULT('M1'!$M35:$AZ35,'M1'!O$10:O$49))</f>
        <v/>
      </c>
      <c r="P35" s="97">
        <f>SUMPRODUCT(MMULT('M1'!$M35:$AZ35,'M1'!P$10:P$49))</f>
        <v/>
      </c>
      <c r="Q35" s="97">
        <f>SUMPRODUCT(MMULT('M1'!$M35:$AZ35,'M1'!Q$10:Q$49))</f>
        <v/>
      </c>
      <c r="R35" s="97">
        <f>SUMPRODUCT(MMULT('M1'!$M35:$AZ35,'M1'!R$10:R$49))</f>
        <v/>
      </c>
      <c r="S35" s="97">
        <f>SUMPRODUCT(MMULT('M1'!$M35:$AZ35,'M1'!S$10:S$49))</f>
        <v/>
      </c>
      <c r="T35" s="97">
        <f>SUMPRODUCT(MMULT('M1'!$M35:$AZ35,'M1'!T$10:T$49))</f>
        <v/>
      </c>
      <c r="U35" s="97">
        <f>SUMPRODUCT(MMULT('M1'!$M35:$AZ35,'M1'!U$10:U$49))</f>
        <v/>
      </c>
      <c r="V35" s="97">
        <f>SUMPRODUCT(MMULT('M1'!$M35:$AZ35,'M1'!V$10:V$49))</f>
        <v/>
      </c>
      <c r="W35" s="97">
        <f>SUMPRODUCT(MMULT('M1'!$M35:$AZ35,'M1'!W$10:W$49))</f>
        <v/>
      </c>
      <c r="X35" s="97">
        <f>SUMPRODUCT(MMULT('M1'!$M35:$AZ35,'M1'!X$10:X$49))</f>
        <v/>
      </c>
      <c r="Y35" s="97">
        <f>SUMPRODUCT(MMULT('M1'!$M35:$AZ35,'M1'!Y$10:Y$49))</f>
        <v/>
      </c>
      <c r="Z35" s="97">
        <f>SUMPRODUCT(MMULT('M1'!$M35:$AZ35,'M1'!Z$10:Z$49))</f>
        <v/>
      </c>
      <c r="AA35" s="97">
        <f>SUMPRODUCT(MMULT('M1'!$M35:$AZ35,'M1'!AA$10:AA$49))</f>
        <v/>
      </c>
      <c r="AB35" s="97">
        <f>SUMPRODUCT(MMULT('M1'!$M35:$AZ35,'M1'!AB$10:AB$49))</f>
        <v/>
      </c>
      <c r="AC35" s="97">
        <f>SUMPRODUCT(MMULT('M1'!$M35:$AZ35,'M1'!AC$10:AC$49))</f>
        <v/>
      </c>
      <c r="AD35" s="97">
        <f>SUMPRODUCT(MMULT('M1'!$M35:$AZ35,'M1'!AD$10:AD$49))</f>
        <v/>
      </c>
      <c r="AE35" s="97">
        <f>SUMPRODUCT(MMULT('M1'!$M35:$AZ35,'M1'!AE$10:AE$49))</f>
        <v/>
      </c>
      <c r="AF35" s="97">
        <f>SUMPRODUCT(MMULT('M1'!$M35:$AZ35,'M1'!AF$10:AF$49))</f>
        <v/>
      </c>
      <c r="AG35" s="97">
        <f>SUMPRODUCT(MMULT('M1'!$M35:$AZ35,'M1'!AG$10:AG$49))</f>
        <v/>
      </c>
      <c r="AH35" s="97">
        <f>SUMPRODUCT(MMULT('M1'!$M35:$AZ35,'M1'!AH$10:AH$49))</f>
        <v/>
      </c>
      <c r="AI35" s="97">
        <f>SUMPRODUCT(MMULT('M1'!$M35:$AZ35,'M1'!AI$10:AI$49))</f>
        <v/>
      </c>
      <c r="AJ35" s="97">
        <f>SUMPRODUCT(MMULT('M1'!$M35:$AZ35,'M1'!AJ$10:AJ$49))</f>
        <v/>
      </c>
      <c r="AK35" s="97">
        <f>SUMPRODUCT(MMULT('M1'!$M35:$AZ35,'M1'!AK$10:AK$49))</f>
        <v/>
      </c>
      <c r="AL35" s="97">
        <f>SUMPRODUCT(MMULT('M1'!$M35:$AZ35,'M1'!AL$10:AL$49))</f>
        <v/>
      </c>
      <c r="AM35" s="97">
        <f>SUMPRODUCT(MMULT('M1'!$M35:$AZ35,'M1'!AM$10:AM$49))</f>
        <v/>
      </c>
      <c r="AN35" s="97">
        <f>SUMPRODUCT(MMULT('M1'!$M35:$AZ35,'M1'!AN$10:AN$49))</f>
        <v/>
      </c>
      <c r="AO35" s="97">
        <f>SUMPRODUCT(MMULT('M1'!$M35:$AZ35,'M1'!AO$10:AO$49))</f>
        <v/>
      </c>
      <c r="AP35" s="97">
        <f>SUMPRODUCT(MMULT('M1'!$M35:$AZ35,'M1'!AP$10:AP$49))</f>
        <v/>
      </c>
      <c r="AQ35" s="97">
        <f>SUMPRODUCT(MMULT('M1'!$M35:$AZ35,'M1'!AQ$10:AQ$49))</f>
        <v/>
      </c>
      <c r="AR35" s="97">
        <f>SUMPRODUCT(MMULT('M1'!$M35:$AZ35,'M1'!AR$10:AR$49))</f>
        <v/>
      </c>
      <c r="AS35" s="97">
        <f>SUMPRODUCT(MMULT('M1'!$M35:$AZ35,'M1'!AS$10:AS$49))</f>
        <v/>
      </c>
      <c r="AT35" s="97">
        <f>SUMPRODUCT(MMULT('M1'!$M35:$AZ35,'M1'!AT$10:AT$49))</f>
        <v/>
      </c>
      <c r="AU35" s="97">
        <f>SUMPRODUCT(MMULT('M1'!$M35:$AZ35,'M1'!AU$10:AU$49))</f>
        <v/>
      </c>
      <c r="AV35" s="97">
        <f>SUMPRODUCT(MMULT('M1'!$M35:$AZ35,'M1'!AV$10:AV$49))</f>
        <v/>
      </c>
      <c r="AW35" s="97">
        <f>SUMPRODUCT(MMULT('M1'!$M35:$AZ35,'M1'!AW$10:AW$49))</f>
        <v/>
      </c>
      <c r="AX35" s="97">
        <f>SUMPRODUCT(MMULT('M1'!$M35:$AZ35,'M1'!AX$10:AX$49))</f>
        <v/>
      </c>
      <c r="AY35" s="97">
        <f>SUMPRODUCT(MMULT('M1'!$M35:$AZ35,'M1'!AY$10:AY$49))</f>
        <v/>
      </c>
      <c r="AZ35" s="97">
        <f>SUMPRODUCT(MMULT('M1'!$M35:$AZ35,'M1'!AZ$10:AZ$49))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SUMPRODUCT(MMULT('M1'!$M36:$AZ36,'M1'!M$10:M$49))</f>
        <v/>
      </c>
      <c r="N36" s="97">
        <f>SUMPRODUCT(MMULT('M1'!$M36:$AZ36,'M1'!N$10:N$49))</f>
        <v/>
      </c>
      <c r="O36" s="97">
        <f>SUMPRODUCT(MMULT('M1'!$M36:$AZ36,'M1'!O$10:O$49))</f>
        <v/>
      </c>
      <c r="P36" s="97">
        <f>SUMPRODUCT(MMULT('M1'!$M36:$AZ36,'M1'!P$10:P$49))</f>
        <v/>
      </c>
      <c r="Q36" s="97">
        <f>SUMPRODUCT(MMULT('M1'!$M36:$AZ36,'M1'!Q$10:Q$49))</f>
        <v/>
      </c>
      <c r="R36" s="97">
        <f>SUMPRODUCT(MMULT('M1'!$M36:$AZ36,'M1'!R$10:R$49))</f>
        <v/>
      </c>
      <c r="S36" s="97">
        <f>SUMPRODUCT(MMULT('M1'!$M36:$AZ36,'M1'!S$10:S$49))</f>
        <v/>
      </c>
      <c r="T36" s="97">
        <f>SUMPRODUCT(MMULT('M1'!$M36:$AZ36,'M1'!T$10:T$49))</f>
        <v/>
      </c>
      <c r="U36" s="97">
        <f>SUMPRODUCT(MMULT('M1'!$M36:$AZ36,'M1'!U$10:U$49))</f>
        <v/>
      </c>
      <c r="V36" s="97">
        <f>SUMPRODUCT(MMULT('M1'!$M36:$AZ36,'M1'!V$10:V$49))</f>
        <v/>
      </c>
      <c r="W36" s="97">
        <f>SUMPRODUCT(MMULT('M1'!$M36:$AZ36,'M1'!W$10:W$49))</f>
        <v/>
      </c>
      <c r="X36" s="97">
        <f>SUMPRODUCT(MMULT('M1'!$M36:$AZ36,'M1'!X$10:X$49))</f>
        <v/>
      </c>
      <c r="Y36" s="97">
        <f>SUMPRODUCT(MMULT('M1'!$M36:$AZ36,'M1'!Y$10:Y$49))</f>
        <v/>
      </c>
      <c r="Z36" s="97">
        <f>SUMPRODUCT(MMULT('M1'!$M36:$AZ36,'M1'!Z$10:Z$49))</f>
        <v/>
      </c>
      <c r="AA36" s="97">
        <f>SUMPRODUCT(MMULT('M1'!$M36:$AZ36,'M1'!AA$10:AA$49))</f>
        <v/>
      </c>
      <c r="AB36" s="97">
        <f>SUMPRODUCT(MMULT('M1'!$M36:$AZ36,'M1'!AB$10:AB$49))</f>
        <v/>
      </c>
      <c r="AC36" s="97">
        <f>SUMPRODUCT(MMULT('M1'!$M36:$AZ36,'M1'!AC$10:AC$49))</f>
        <v/>
      </c>
      <c r="AD36" s="97">
        <f>SUMPRODUCT(MMULT('M1'!$M36:$AZ36,'M1'!AD$10:AD$49))</f>
        <v/>
      </c>
      <c r="AE36" s="97">
        <f>SUMPRODUCT(MMULT('M1'!$M36:$AZ36,'M1'!AE$10:AE$49))</f>
        <v/>
      </c>
      <c r="AF36" s="97">
        <f>SUMPRODUCT(MMULT('M1'!$M36:$AZ36,'M1'!AF$10:AF$49))</f>
        <v/>
      </c>
      <c r="AG36" s="97">
        <f>SUMPRODUCT(MMULT('M1'!$M36:$AZ36,'M1'!AG$10:AG$49))</f>
        <v/>
      </c>
      <c r="AH36" s="97">
        <f>SUMPRODUCT(MMULT('M1'!$M36:$AZ36,'M1'!AH$10:AH$49))</f>
        <v/>
      </c>
      <c r="AI36" s="97">
        <f>SUMPRODUCT(MMULT('M1'!$M36:$AZ36,'M1'!AI$10:AI$49))</f>
        <v/>
      </c>
      <c r="AJ36" s="97">
        <f>SUMPRODUCT(MMULT('M1'!$M36:$AZ36,'M1'!AJ$10:AJ$49))</f>
        <v/>
      </c>
      <c r="AK36" s="97">
        <f>SUMPRODUCT(MMULT('M1'!$M36:$AZ36,'M1'!AK$10:AK$49))</f>
        <v/>
      </c>
      <c r="AL36" s="97">
        <f>SUMPRODUCT(MMULT('M1'!$M36:$AZ36,'M1'!AL$10:AL$49))</f>
        <v/>
      </c>
      <c r="AM36" s="97">
        <f>SUMPRODUCT(MMULT('M1'!$M36:$AZ36,'M1'!AM$10:AM$49))</f>
        <v/>
      </c>
      <c r="AN36" s="97">
        <f>SUMPRODUCT(MMULT('M1'!$M36:$AZ36,'M1'!AN$10:AN$49))</f>
        <v/>
      </c>
      <c r="AO36" s="97">
        <f>SUMPRODUCT(MMULT('M1'!$M36:$AZ36,'M1'!AO$10:AO$49))</f>
        <v/>
      </c>
      <c r="AP36" s="97">
        <f>SUMPRODUCT(MMULT('M1'!$M36:$AZ36,'M1'!AP$10:AP$49))</f>
        <v/>
      </c>
      <c r="AQ36" s="97">
        <f>SUMPRODUCT(MMULT('M1'!$M36:$AZ36,'M1'!AQ$10:AQ$49))</f>
        <v/>
      </c>
      <c r="AR36" s="97">
        <f>SUMPRODUCT(MMULT('M1'!$M36:$AZ36,'M1'!AR$10:AR$49))</f>
        <v/>
      </c>
      <c r="AS36" s="97">
        <f>SUMPRODUCT(MMULT('M1'!$M36:$AZ36,'M1'!AS$10:AS$49))</f>
        <v/>
      </c>
      <c r="AT36" s="97">
        <f>SUMPRODUCT(MMULT('M1'!$M36:$AZ36,'M1'!AT$10:AT$49))</f>
        <v/>
      </c>
      <c r="AU36" s="97">
        <f>SUMPRODUCT(MMULT('M1'!$M36:$AZ36,'M1'!AU$10:AU$49))</f>
        <v/>
      </c>
      <c r="AV36" s="97">
        <f>SUMPRODUCT(MMULT('M1'!$M36:$AZ36,'M1'!AV$10:AV$49))</f>
        <v/>
      </c>
      <c r="AW36" s="97">
        <f>SUMPRODUCT(MMULT('M1'!$M36:$AZ36,'M1'!AW$10:AW$49))</f>
        <v/>
      </c>
      <c r="AX36" s="97">
        <f>SUMPRODUCT(MMULT('M1'!$M36:$AZ36,'M1'!AX$10:AX$49))</f>
        <v/>
      </c>
      <c r="AY36" s="97">
        <f>SUMPRODUCT(MMULT('M1'!$M36:$AZ36,'M1'!AY$10:AY$49))</f>
        <v/>
      </c>
      <c r="AZ36" s="97">
        <f>SUMPRODUCT(MMULT('M1'!$M36:$AZ36,'M1'!AZ$10:AZ$49))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SUMPRODUCT(MMULT('M1'!$M37:$AZ37,'M1'!M$10:M$49))</f>
        <v/>
      </c>
      <c r="N37" s="97">
        <f>SUMPRODUCT(MMULT('M1'!$M37:$AZ37,'M1'!N$10:N$49))</f>
        <v/>
      </c>
      <c r="O37" s="97">
        <f>SUMPRODUCT(MMULT('M1'!$M37:$AZ37,'M1'!O$10:O$49))</f>
        <v/>
      </c>
      <c r="P37" s="97">
        <f>SUMPRODUCT(MMULT('M1'!$M37:$AZ37,'M1'!P$10:P$49))</f>
        <v/>
      </c>
      <c r="Q37" s="97">
        <f>SUMPRODUCT(MMULT('M1'!$M37:$AZ37,'M1'!Q$10:Q$49))</f>
        <v/>
      </c>
      <c r="R37" s="97">
        <f>SUMPRODUCT(MMULT('M1'!$M37:$AZ37,'M1'!R$10:R$49))</f>
        <v/>
      </c>
      <c r="S37" s="97">
        <f>SUMPRODUCT(MMULT('M1'!$M37:$AZ37,'M1'!S$10:S$49))</f>
        <v/>
      </c>
      <c r="T37" s="97">
        <f>SUMPRODUCT(MMULT('M1'!$M37:$AZ37,'M1'!T$10:T$49))</f>
        <v/>
      </c>
      <c r="U37" s="97">
        <f>SUMPRODUCT(MMULT('M1'!$M37:$AZ37,'M1'!U$10:U$49))</f>
        <v/>
      </c>
      <c r="V37" s="97">
        <f>SUMPRODUCT(MMULT('M1'!$M37:$AZ37,'M1'!V$10:V$49))</f>
        <v/>
      </c>
      <c r="W37" s="97">
        <f>SUMPRODUCT(MMULT('M1'!$M37:$AZ37,'M1'!W$10:W$49))</f>
        <v/>
      </c>
      <c r="X37" s="97">
        <f>SUMPRODUCT(MMULT('M1'!$M37:$AZ37,'M1'!X$10:X$49))</f>
        <v/>
      </c>
      <c r="Y37" s="97">
        <f>SUMPRODUCT(MMULT('M1'!$M37:$AZ37,'M1'!Y$10:Y$49))</f>
        <v/>
      </c>
      <c r="Z37" s="97">
        <f>SUMPRODUCT(MMULT('M1'!$M37:$AZ37,'M1'!Z$10:Z$49))</f>
        <v/>
      </c>
      <c r="AA37" s="97">
        <f>SUMPRODUCT(MMULT('M1'!$M37:$AZ37,'M1'!AA$10:AA$49))</f>
        <v/>
      </c>
      <c r="AB37" s="97">
        <f>SUMPRODUCT(MMULT('M1'!$M37:$AZ37,'M1'!AB$10:AB$49))</f>
        <v/>
      </c>
      <c r="AC37" s="97">
        <f>SUMPRODUCT(MMULT('M1'!$M37:$AZ37,'M1'!AC$10:AC$49))</f>
        <v/>
      </c>
      <c r="AD37" s="97">
        <f>SUMPRODUCT(MMULT('M1'!$M37:$AZ37,'M1'!AD$10:AD$49))</f>
        <v/>
      </c>
      <c r="AE37" s="97">
        <f>SUMPRODUCT(MMULT('M1'!$M37:$AZ37,'M1'!AE$10:AE$49))</f>
        <v/>
      </c>
      <c r="AF37" s="97">
        <f>SUMPRODUCT(MMULT('M1'!$M37:$AZ37,'M1'!AF$10:AF$49))</f>
        <v/>
      </c>
      <c r="AG37" s="97">
        <f>SUMPRODUCT(MMULT('M1'!$M37:$AZ37,'M1'!AG$10:AG$49))</f>
        <v/>
      </c>
      <c r="AH37" s="97">
        <f>SUMPRODUCT(MMULT('M1'!$M37:$AZ37,'M1'!AH$10:AH$49))</f>
        <v/>
      </c>
      <c r="AI37" s="97">
        <f>SUMPRODUCT(MMULT('M1'!$M37:$AZ37,'M1'!AI$10:AI$49))</f>
        <v/>
      </c>
      <c r="AJ37" s="97">
        <f>SUMPRODUCT(MMULT('M1'!$M37:$AZ37,'M1'!AJ$10:AJ$49))</f>
        <v/>
      </c>
      <c r="AK37" s="97">
        <f>SUMPRODUCT(MMULT('M1'!$M37:$AZ37,'M1'!AK$10:AK$49))</f>
        <v/>
      </c>
      <c r="AL37" s="97">
        <f>SUMPRODUCT(MMULT('M1'!$M37:$AZ37,'M1'!AL$10:AL$49))</f>
        <v/>
      </c>
      <c r="AM37" s="97">
        <f>SUMPRODUCT(MMULT('M1'!$M37:$AZ37,'M1'!AM$10:AM$49))</f>
        <v/>
      </c>
      <c r="AN37" s="97">
        <f>SUMPRODUCT(MMULT('M1'!$M37:$AZ37,'M1'!AN$10:AN$49))</f>
        <v/>
      </c>
      <c r="AO37" s="97">
        <f>SUMPRODUCT(MMULT('M1'!$M37:$AZ37,'M1'!AO$10:AO$49))</f>
        <v/>
      </c>
      <c r="AP37" s="97">
        <f>SUMPRODUCT(MMULT('M1'!$M37:$AZ37,'M1'!AP$10:AP$49))</f>
        <v/>
      </c>
      <c r="AQ37" s="97">
        <f>SUMPRODUCT(MMULT('M1'!$M37:$AZ37,'M1'!AQ$10:AQ$49))</f>
        <v/>
      </c>
      <c r="AR37" s="97">
        <f>SUMPRODUCT(MMULT('M1'!$M37:$AZ37,'M1'!AR$10:AR$49))</f>
        <v/>
      </c>
      <c r="AS37" s="97">
        <f>SUMPRODUCT(MMULT('M1'!$M37:$AZ37,'M1'!AS$10:AS$49))</f>
        <v/>
      </c>
      <c r="AT37" s="97">
        <f>SUMPRODUCT(MMULT('M1'!$M37:$AZ37,'M1'!AT$10:AT$49))</f>
        <v/>
      </c>
      <c r="AU37" s="97">
        <f>SUMPRODUCT(MMULT('M1'!$M37:$AZ37,'M1'!AU$10:AU$49))</f>
        <v/>
      </c>
      <c r="AV37" s="97">
        <f>SUMPRODUCT(MMULT('M1'!$M37:$AZ37,'M1'!AV$10:AV$49))</f>
        <v/>
      </c>
      <c r="AW37" s="97">
        <f>SUMPRODUCT(MMULT('M1'!$M37:$AZ37,'M1'!AW$10:AW$49))</f>
        <v/>
      </c>
      <c r="AX37" s="97">
        <f>SUMPRODUCT(MMULT('M1'!$M37:$AZ37,'M1'!AX$10:AX$49))</f>
        <v/>
      </c>
      <c r="AY37" s="97">
        <f>SUMPRODUCT(MMULT('M1'!$M37:$AZ37,'M1'!AY$10:AY$49))</f>
        <v/>
      </c>
      <c r="AZ37" s="97">
        <f>SUMPRODUCT(MMULT('M1'!$M37:$AZ37,'M1'!AZ$10:AZ$49))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SUMPRODUCT(MMULT('M1'!$M38:$AZ38,'M1'!M$10:M$49))</f>
        <v/>
      </c>
      <c r="N38" s="97">
        <f>SUMPRODUCT(MMULT('M1'!$M38:$AZ38,'M1'!N$10:N$49))</f>
        <v/>
      </c>
      <c r="O38" s="97">
        <f>SUMPRODUCT(MMULT('M1'!$M38:$AZ38,'M1'!O$10:O$49))</f>
        <v/>
      </c>
      <c r="P38" s="97">
        <f>SUMPRODUCT(MMULT('M1'!$M38:$AZ38,'M1'!P$10:P$49))</f>
        <v/>
      </c>
      <c r="Q38" s="97">
        <f>SUMPRODUCT(MMULT('M1'!$M38:$AZ38,'M1'!Q$10:Q$49))</f>
        <v/>
      </c>
      <c r="R38" s="97">
        <f>SUMPRODUCT(MMULT('M1'!$M38:$AZ38,'M1'!R$10:R$49))</f>
        <v/>
      </c>
      <c r="S38" s="97">
        <f>SUMPRODUCT(MMULT('M1'!$M38:$AZ38,'M1'!S$10:S$49))</f>
        <v/>
      </c>
      <c r="T38" s="97">
        <f>SUMPRODUCT(MMULT('M1'!$M38:$AZ38,'M1'!T$10:T$49))</f>
        <v/>
      </c>
      <c r="U38" s="97">
        <f>SUMPRODUCT(MMULT('M1'!$M38:$AZ38,'M1'!U$10:U$49))</f>
        <v/>
      </c>
      <c r="V38" s="97">
        <f>SUMPRODUCT(MMULT('M1'!$M38:$AZ38,'M1'!V$10:V$49))</f>
        <v/>
      </c>
      <c r="W38" s="97">
        <f>SUMPRODUCT(MMULT('M1'!$M38:$AZ38,'M1'!W$10:W$49))</f>
        <v/>
      </c>
      <c r="X38" s="97">
        <f>SUMPRODUCT(MMULT('M1'!$M38:$AZ38,'M1'!X$10:X$49))</f>
        <v/>
      </c>
      <c r="Y38" s="97">
        <f>SUMPRODUCT(MMULT('M1'!$M38:$AZ38,'M1'!Y$10:Y$49))</f>
        <v/>
      </c>
      <c r="Z38" s="97">
        <f>SUMPRODUCT(MMULT('M1'!$M38:$AZ38,'M1'!Z$10:Z$49))</f>
        <v/>
      </c>
      <c r="AA38" s="97">
        <f>SUMPRODUCT(MMULT('M1'!$M38:$AZ38,'M1'!AA$10:AA$49))</f>
        <v/>
      </c>
      <c r="AB38" s="97">
        <f>SUMPRODUCT(MMULT('M1'!$M38:$AZ38,'M1'!AB$10:AB$49))</f>
        <v/>
      </c>
      <c r="AC38" s="97">
        <f>SUMPRODUCT(MMULT('M1'!$M38:$AZ38,'M1'!AC$10:AC$49))</f>
        <v/>
      </c>
      <c r="AD38" s="97">
        <f>SUMPRODUCT(MMULT('M1'!$M38:$AZ38,'M1'!AD$10:AD$49))</f>
        <v/>
      </c>
      <c r="AE38" s="97">
        <f>SUMPRODUCT(MMULT('M1'!$M38:$AZ38,'M1'!AE$10:AE$49))</f>
        <v/>
      </c>
      <c r="AF38" s="97">
        <f>SUMPRODUCT(MMULT('M1'!$M38:$AZ38,'M1'!AF$10:AF$49))</f>
        <v/>
      </c>
      <c r="AG38" s="97">
        <f>SUMPRODUCT(MMULT('M1'!$M38:$AZ38,'M1'!AG$10:AG$49))</f>
        <v/>
      </c>
      <c r="AH38" s="97">
        <f>SUMPRODUCT(MMULT('M1'!$M38:$AZ38,'M1'!AH$10:AH$49))</f>
        <v/>
      </c>
      <c r="AI38" s="97">
        <f>SUMPRODUCT(MMULT('M1'!$M38:$AZ38,'M1'!AI$10:AI$49))</f>
        <v/>
      </c>
      <c r="AJ38" s="97">
        <f>SUMPRODUCT(MMULT('M1'!$M38:$AZ38,'M1'!AJ$10:AJ$49))</f>
        <v/>
      </c>
      <c r="AK38" s="97">
        <f>SUMPRODUCT(MMULT('M1'!$M38:$AZ38,'M1'!AK$10:AK$49))</f>
        <v/>
      </c>
      <c r="AL38" s="97">
        <f>SUMPRODUCT(MMULT('M1'!$M38:$AZ38,'M1'!AL$10:AL$49))</f>
        <v/>
      </c>
      <c r="AM38" s="97">
        <f>SUMPRODUCT(MMULT('M1'!$M38:$AZ38,'M1'!AM$10:AM$49))</f>
        <v/>
      </c>
      <c r="AN38" s="97">
        <f>SUMPRODUCT(MMULT('M1'!$M38:$AZ38,'M1'!AN$10:AN$49))</f>
        <v/>
      </c>
      <c r="AO38" s="97">
        <f>SUMPRODUCT(MMULT('M1'!$M38:$AZ38,'M1'!AO$10:AO$49))</f>
        <v/>
      </c>
      <c r="AP38" s="97">
        <f>SUMPRODUCT(MMULT('M1'!$M38:$AZ38,'M1'!AP$10:AP$49))</f>
        <v/>
      </c>
      <c r="AQ38" s="97">
        <f>SUMPRODUCT(MMULT('M1'!$M38:$AZ38,'M1'!AQ$10:AQ$49))</f>
        <v/>
      </c>
      <c r="AR38" s="97">
        <f>SUMPRODUCT(MMULT('M1'!$M38:$AZ38,'M1'!AR$10:AR$49))</f>
        <v/>
      </c>
      <c r="AS38" s="97">
        <f>SUMPRODUCT(MMULT('M1'!$M38:$AZ38,'M1'!AS$10:AS$49))</f>
        <v/>
      </c>
      <c r="AT38" s="97">
        <f>SUMPRODUCT(MMULT('M1'!$M38:$AZ38,'M1'!AT$10:AT$49))</f>
        <v/>
      </c>
      <c r="AU38" s="97">
        <f>SUMPRODUCT(MMULT('M1'!$M38:$AZ38,'M1'!AU$10:AU$49))</f>
        <v/>
      </c>
      <c r="AV38" s="97">
        <f>SUMPRODUCT(MMULT('M1'!$M38:$AZ38,'M1'!AV$10:AV$49))</f>
        <v/>
      </c>
      <c r="AW38" s="97">
        <f>SUMPRODUCT(MMULT('M1'!$M38:$AZ38,'M1'!AW$10:AW$49))</f>
        <v/>
      </c>
      <c r="AX38" s="97">
        <f>SUMPRODUCT(MMULT('M1'!$M38:$AZ38,'M1'!AX$10:AX$49))</f>
        <v/>
      </c>
      <c r="AY38" s="97">
        <f>SUMPRODUCT(MMULT('M1'!$M38:$AZ38,'M1'!AY$10:AY$49))</f>
        <v/>
      </c>
      <c r="AZ38" s="97">
        <f>SUMPRODUCT(MMULT('M1'!$M38:$AZ38,'M1'!AZ$10:AZ$49))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SUMPRODUCT(MMULT('M1'!$M39:$AZ39,'M1'!M$10:M$49))</f>
        <v/>
      </c>
      <c r="N39" s="97">
        <f>SUMPRODUCT(MMULT('M1'!$M39:$AZ39,'M1'!N$10:N$49))</f>
        <v/>
      </c>
      <c r="O39" s="97">
        <f>SUMPRODUCT(MMULT('M1'!$M39:$AZ39,'M1'!O$10:O$49))</f>
        <v/>
      </c>
      <c r="P39" s="97">
        <f>SUMPRODUCT(MMULT('M1'!$M39:$AZ39,'M1'!P$10:P$49))</f>
        <v/>
      </c>
      <c r="Q39" s="97">
        <f>SUMPRODUCT(MMULT('M1'!$M39:$AZ39,'M1'!Q$10:Q$49))</f>
        <v/>
      </c>
      <c r="R39" s="97">
        <f>SUMPRODUCT(MMULT('M1'!$M39:$AZ39,'M1'!R$10:R$49))</f>
        <v/>
      </c>
      <c r="S39" s="97">
        <f>SUMPRODUCT(MMULT('M1'!$M39:$AZ39,'M1'!S$10:S$49))</f>
        <v/>
      </c>
      <c r="T39" s="97">
        <f>SUMPRODUCT(MMULT('M1'!$M39:$AZ39,'M1'!T$10:T$49))</f>
        <v/>
      </c>
      <c r="U39" s="97">
        <f>SUMPRODUCT(MMULT('M1'!$M39:$AZ39,'M1'!U$10:U$49))</f>
        <v/>
      </c>
      <c r="V39" s="97">
        <f>SUMPRODUCT(MMULT('M1'!$M39:$AZ39,'M1'!V$10:V$49))</f>
        <v/>
      </c>
      <c r="W39" s="97">
        <f>SUMPRODUCT(MMULT('M1'!$M39:$AZ39,'M1'!W$10:W$49))</f>
        <v/>
      </c>
      <c r="X39" s="97">
        <f>SUMPRODUCT(MMULT('M1'!$M39:$AZ39,'M1'!X$10:X$49))</f>
        <v/>
      </c>
      <c r="Y39" s="97">
        <f>SUMPRODUCT(MMULT('M1'!$M39:$AZ39,'M1'!Y$10:Y$49))</f>
        <v/>
      </c>
      <c r="Z39" s="97">
        <f>SUMPRODUCT(MMULT('M1'!$M39:$AZ39,'M1'!Z$10:Z$49))</f>
        <v/>
      </c>
      <c r="AA39" s="97">
        <f>SUMPRODUCT(MMULT('M1'!$M39:$AZ39,'M1'!AA$10:AA$49))</f>
        <v/>
      </c>
      <c r="AB39" s="97">
        <f>SUMPRODUCT(MMULT('M1'!$M39:$AZ39,'M1'!AB$10:AB$49))</f>
        <v/>
      </c>
      <c r="AC39" s="97">
        <f>SUMPRODUCT(MMULT('M1'!$M39:$AZ39,'M1'!AC$10:AC$49))</f>
        <v/>
      </c>
      <c r="AD39" s="97">
        <f>SUMPRODUCT(MMULT('M1'!$M39:$AZ39,'M1'!AD$10:AD$49))</f>
        <v/>
      </c>
      <c r="AE39" s="97">
        <f>SUMPRODUCT(MMULT('M1'!$M39:$AZ39,'M1'!AE$10:AE$49))</f>
        <v/>
      </c>
      <c r="AF39" s="97">
        <f>SUMPRODUCT(MMULT('M1'!$M39:$AZ39,'M1'!AF$10:AF$49))</f>
        <v/>
      </c>
      <c r="AG39" s="97">
        <f>SUMPRODUCT(MMULT('M1'!$M39:$AZ39,'M1'!AG$10:AG$49))</f>
        <v/>
      </c>
      <c r="AH39" s="97">
        <f>SUMPRODUCT(MMULT('M1'!$M39:$AZ39,'M1'!AH$10:AH$49))</f>
        <v/>
      </c>
      <c r="AI39" s="97">
        <f>SUMPRODUCT(MMULT('M1'!$M39:$AZ39,'M1'!AI$10:AI$49))</f>
        <v/>
      </c>
      <c r="AJ39" s="97">
        <f>SUMPRODUCT(MMULT('M1'!$M39:$AZ39,'M1'!AJ$10:AJ$49))</f>
        <v/>
      </c>
      <c r="AK39" s="97">
        <f>SUMPRODUCT(MMULT('M1'!$M39:$AZ39,'M1'!AK$10:AK$49))</f>
        <v/>
      </c>
      <c r="AL39" s="97">
        <f>SUMPRODUCT(MMULT('M1'!$M39:$AZ39,'M1'!AL$10:AL$49))</f>
        <v/>
      </c>
      <c r="AM39" s="97">
        <f>SUMPRODUCT(MMULT('M1'!$M39:$AZ39,'M1'!AM$10:AM$49))</f>
        <v/>
      </c>
      <c r="AN39" s="97">
        <f>SUMPRODUCT(MMULT('M1'!$M39:$AZ39,'M1'!AN$10:AN$49))</f>
        <v/>
      </c>
      <c r="AO39" s="97">
        <f>SUMPRODUCT(MMULT('M1'!$M39:$AZ39,'M1'!AO$10:AO$49))</f>
        <v/>
      </c>
      <c r="AP39" s="97">
        <f>SUMPRODUCT(MMULT('M1'!$M39:$AZ39,'M1'!AP$10:AP$49))</f>
        <v/>
      </c>
      <c r="AQ39" s="97">
        <f>SUMPRODUCT(MMULT('M1'!$M39:$AZ39,'M1'!AQ$10:AQ$49))</f>
        <v/>
      </c>
      <c r="AR39" s="97">
        <f>SUMPRODUCT(MMULT('M1'!$M39:$AZ39,'M1'!AR$10:AR$49))</f>
        <v/>
      </c>
      <c r="AS39" s="97">
        <f>SUMPRODUCT(MMULT('M1'!$M39:$AZ39,'M1'!AS$10:AS$49))</f>
        <v/>
      </c>
      <c r="AT39" s="97">
        <f>SUMPRODUCT(MMULT('M1'!$M39:$AZ39,'M1'!AT$10:AT$49))</f>
        <v/>
      </c>
      <c r="AU39" s="97">
        <f>SUMPRODUCT(MMULT('M1'!$M39:$AZ39,'M1'!AU$10:AU$49))</f>
        <v/>
      </c>
      <c r="AV39" s="97">
        <f>SUMPRODUCT(MMULT('M1'!$M39:$AZ39,'M1'!AV$10:AV$49))</f>
        <v/>
      </c>
      <c r="AW39" s="97">
        <f>SUMPRODUCT(MMULT('M1'!$M39:$AZ39,'M1'!AW$10:AW$49))</f>
        <v/>
      </c>
      <c r="AX39" s="97">
        <f>SUMPRODUCT(MMULT('M1'!$M39:$AZ39,'M1'!AX$10:AX$49))</f>
        <v/>
      </c>
      <c r="AY39" s="97">
        <f>SUMPRODUCT(MMULT('M1'!$M39:$AZ39,'M1'!AY$10:AY$49))</f>
        <v/>
      </c>
      <c r="AZ39" s="97">
        <f>SUMPRODUCT(MMULT('M1'!$M39:$AZ39,'M1'!AZ$10:AZ$49))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SUMPRODUCT(MMULT('M1'!$M40:$AZ40,'M1'!M$10:M$49))</f>
        <v/>
      </c>
      <c r="N40" s="97">
        <f>SUMPRODUCT(MMULT('M1'!$M40:$AZ40,'M1'!N$10:N$49))</f>
        <v/>
      </c>
      <c r="O40" s="97">
        <f>SUMPRODUCT(MMULT('M1'!$M40:$AZ40,'M1'!O$10:O$49))</f>
        <v/>
      </c>
      <c r="P40" s="97">
        <f>SUMPRODUCT(MMULT('M1'!$M40:$AZ40,'M1'!P$10:P$49))</f>
        <v/>
      </c>
      <c r="Q40" s="97">
        <f>SUMPRODUCT(MMULT('M1'!$M40:$AZ40,'M1'!Q$10:Q$49))</f>
        <v/>
      </c>
      <c r="R40" s="97">
        <f>SUMPRODUCT(MMULT('M1'!$M40:$AZ40,'M1'!R$10:R$49))</f>
        <v/>
      </c>
      <c r="S40" s="97">
        <f>SUMPRODUCT(MMULT('M1'!$M40:$AZ40,'M1'!S$10:S$49))</f>
        <v/>
      </c>
      <c r="T40" s="97">
        <f>SUMPRODUCT(MMULT('M1'!$M40:$AZ40,'M1'!T$10:T$49))</f>
        <v/>
      </c>
      <c r="U40" s="97">
        <f>SUMPRODUCT(MMULT('M1'!$M40:$AZ40,'M1'!U$10:U$49))</f>
        <v/>
      </c>
      <c r="V40" s="97">
        <f>SUMPRODUCT(MMULT('M1'!$M40:$AZ40,'M1'!V$10:V$49))</f>
        <v/>
      </c>
      <c r="W40" s="97">
        <f>SUMPRODUCT(MMULT('M1'!$M40:$AZ40,'M1'!W$10:W$49))</f>
        <v/>
      </c>
      <c r="X40" s="97">
        <f>SUMPRODUCT(MMULT('M1'!$M40:$AZ40,'M1'!X$10:X$49))</f>
        <v/>
      </c>
      <c r="Y40" s="97">
        <f>SUMPRODUCT(MMULT('M1'!$M40:$AZ40,'M1'!Y$10:Y$49))</f>
        <v/>
      </c>
      <c r="Z40" s="97">
        <f>SUMPRODUCT(MMULT('M1'!$M40:$AZ40,'M1'!Z$10:Z$49))</f>
        <v/>
      </c>
      <c r="AA40" s="97">
        <f>SUMPRODUCT(MMULT('M1'!$M40:$AZ40,'M1'!AA$10:AA$49))</f>
        <v/>
      </c>
      <c r="AB40" s="97">
        <f>SUMPRODUCT(MMULT('M1'!$M40:$AZ40,'M1'!AB$10:AB$49))</f>
        <v/>
      </c>
      <c r="AC40" s="97">
        <f>SUMPRODUCT(MMULT('M1'!$M40:$AZ40,'M1'!AC$10:AC$49))</f>
        <v/>
      </c>
      <c r="AD40" s="97">
        <f>SUMPRODUCT(MMULT('M1'!$M40:$AZ40,'M1'!AD$10:AD$49))</f>
        <v/>
      </c>
      <c r="AE40" s="97">
        <f>SUMPRODUCT(MMULT('M1'!$M40:$AZ40,'M1'!AE$10:AE$49))</f>
        <v/>
      </c>
      <c r="AF40" s="97">
        <f>SUMPRODUCT(MMULT('M1'!$M40:$AZ40,'M1'!AF$10:AF$49))</f>
        <v/>
      </c>
      <c r="AG40" s="97">
        <f>SUMPRODUCT(MMULT('M1'!$M40:$AZ40,'M1'!AG$10:AG$49))</f>
        <v/>
      </c>
      <c r="AH40" s="97">
        <f>SUMPRODUCT(MMULT('M1'!$M40:$AZ40,'M1'!AH$10:AH$49))</f>
        <v/>
      </c>
      <c r="AI40" s="97">
        <f>SUMPRODUCT(MMULT('M1'!$M40:$AZ40,'M1'!AI$10:AI$49))</f>
        <v/>
      </c>
      <c r="AJ40" s="97">
        <f>SUMPRODUCT(MMULT('M1'!$M40:$AZ40,'M1'!AJ$10:AJ$49))</f>
        <v/>
      </c>
      <c r="AK40" s="97">
        <f>SUMPRODUCT(MMULT('M1'!$M40:$AZ40,'M1'!AK$10:AK$49))</f>
        <v/>
      </c>
      <c r="AL40" s="97">
        <f>SUMPRODUCT(MMULT('M1'!$M40:$AZ40,'M1'!AL$10:AL$49))</f>
        <v/>
      </c>
      <c r="AM40" s="97">
        <f>SUMPRODUCT(MMULT('M1'!$M40:$AZ40,'M1'!AM$10:AM$49))</f>
        <v/>
      </c>
      <c r="AN40" s="97">
        <f>SUMPRODUCT(MMULT('M1'!$M40:$AZ40,'M1'!AN$10:AN$49))</f>
        <v/>
      </c>
      <c r="AO40" s="97">
        <f>SUMPRODUCT(MMULT('M1'!$M40:$AZ40,'M1'!AO$10:AO$49))</f>
        <v/>
      </c>
      <c r="AP40" s="97">
        <f>SUMPRODUCT(MMULT('M1'!$M40:$AZ40,'M1'!AP$10:AP$49))</f>
        <v/>
      </c>
      <c r="AQ40" s="97">
        <f>SUMPRODUCT(MMULT('M1'!$M40:$AZ40,'M1'!AQ$10:AQ$49))</f>
        <v/>
      </c>
      <c r="AR40" s="97">
        <f>SUMPRODUCT(MMULT('M1'!$M40:$AZ40,'M1'!AR$10:AR$49))</f>
        <v/>
      </c>
      <c r="AS40" s="97">
        <f>SUMPRODUCT(MMULT('M1'!$M40:$AZ40,'M1'!AS$10:AS$49))</f>
        <v/>
      </c>
      <c r="AT40" s="97">
        <f>SUMPRODUCT(MMULT('M1'!$M40:$AZ40,'M1'!AT$10:AT$49))</f>
        <v/>
      </c>
      <c r="AU40" s="97">
        <f>SUMPRODUCT(MMULT('M1'!$M40:$AZ40,'M1'!AU$10:AU$49))</f>
        <v/>
      </c>
      <c r="AV40" s="97">
        <f>SUMPRODUCT(MMULT('M1'!$M40:$AZ40,'M1'!AV$10:AV$49))</f>
        <v/>
      </c>
      <c r="AW40" s="97">
        <f>SUMPRODUCT(MMULT('M1'!$M40:$AZ40,'M1'!AW$10:AW$49))</f>
        <v/>
      </c>
      <c r="AX40" s="97">
        <f>SUMPRODUCT(MMULT('M1'!$M40:$AZ40,'M1'!AX$10:AX$49))</f>
        <v/>
      </c>
      <c r="AY40" s="97">
        <f>SUMPRODUCT(MMULT('M1'!$M40:$AZ40,'M1'!AY$10:AY$49))</f>
        <v/>
      </c>
      <c r="AZ40" s="97">
        <f>SUMPRODUCT(MMULT('M1'!$M40:$AZ40,'M1'!AZ$10:AZ$49))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SUMPRODUCT(MMULT('M1'!$M41:$AZ41,'M1'!M$10:M$49))</f>
        <v/>
      </c>
      <c r="N41" s="97">
        <f>SUMPRODUCT(MMULT('M1'!$M41:$AZ41,'M1'!N$10:N$49))</f>
        <v/>
      </c>
      <c r="O41" s="97">
        <f>SUMPRODUCT(MMULT('M1'!$M41:$AZ41,'M1'!O$10:O$49))</f>
        <v/>
      </c>
      <c r="P41" s="97">
        <f>SUMPRODUCT(MMULT('M1'!$M41:$AZ41,'M1'!P$10:P$49))</f>
        <v/>
      </c>
      <c r="Q41" s="97">
        <f>SUMPRODUCT(MMULT('M1'!$M41:$AZ41,'M1'!Q$10:Q$49))</f>
        <v/>
      </c>
      <c r="R41" s="97">
        <f>SUMPRODUCT(MMULT('M1'!$M41:$AZ41,'M1'!R$10:R$49))</f>
        <v/>
      </c>
      <c r="S41" s="97">
        <f>SUMPRODUCT(MMULT('M1'!$M41:$AZ41,'M1'!S$10:S$49))</f>
        <v/>
      </c>
      <c r="T41" s="97">
        <f>SUMPRODUCT(MMULT('M1'!$M41:$AZ41,'M1'!T$10:T$49))</f>
        <v/>
      </c>
      <c r="U41" s="97">
        <f>SUMPRODUCT(MMULT('M1'!$M41:$AZ41,'M1'!U$10:U$49))</f>
        <v/>
      </c>
      <c r="V41" s="97">
        <f>SUMPRODUCT(MMULT('M1'!$M41:$AZ41,'M1'!V$10:V$49))</f>
        <v/>
      </c>
      <c r="W41" s="97">
        <f>SUMPRODUCT(MMULT('M1'!$M41:$AZ41,'M1'!W$10:W$49))</f>
        <v/>
      </c>
      <c r="X41" s="97">
        <f>SUMPRODUCT(MMULT('M1'!$M41:$AZ41,'M1'!X$10:X$49))</f>
        <v/>
      </c>
      <c r="Y41" s="97">
        <f>SUMPRODUCT(MMULT('M1'!$M41:$AZ41,'M1'!Y$10:Y$49))</f>
        <v/>
      </c>
      <c r="Z41" s="97">
        <f>SUMPRODUCT(MMULT('M1'!$M41:$AZ41,'M1'!Z$10:Z$49))</f>
        <v/>
      </c>
      <c r="AA41" s="97">
        <f>SUMPRODUCT(MMULT('M1'!$M41:$AZ41,'M1'!AA$10:AA$49))</f>
        <v/>
      </c>
      <c r="AB41" s="97">
        <f>SUMPRODUCT(MMULT('M1'!$M41:$AZ41,'M1'!AB$10:AB$49))</f>
        <v/>
      </c>
      <c r="AC41" s="97">
        <f>SUMPRODUCT(MMULT('M1'!$M41:$AZ41,'M1'!AC$10:AC$49))</f>
        <v/>
      </c>
      <c r="AD41" s="97">
        <f>SUMPRODUCT(MMULT('M1'!$M41:$AZ41,'M1'!AD$10:AD$49))</f>
        <v/>
      </c>
      <c r="AE41" s="97">
        <f>SUMPRODUCT(MMULT('M1'!$M41:$AZ41,'M1'!AE$10:AE$49))</f>
        <v/>
      </c>
      <c r="AF41" s="97">
        <f>SUMPRODUCT(MMULT('M1'!$M41:$AZ41,'M1'!AF$10:AF$49))</f>
        <v/>
      </c>
      <c r="AG41" s="97">
        <f>SUMPRODUCT(MMULT('M1'!$M41:$AZ41,'M1'!AG$10:AG$49))</f>
        <v/>
      </c>
      <c r="AH41" s="97">
        <f>SUMPRODUCT(MMULT('M1'!$M41:$AZ41,'M1'!AH$10:AH$49))</f>
        <v/>
      </c>
      <c r="AI41" s="97">
        <f>SUMPRODUCT(MMULT('M1'!$M41:$AZ41,'M1'!AI$10:AI$49))</f>
        <v/>
      </c>
      <c r="AJ41" s="97">
        <f>SUMPRODUCT(MMULT('M1'!$M41:$AZ41,'M1'!AJ$10:AJ$49))</f>
        <v/>
      </c>
      <c r="AK41" s="97">
        <f>SUMPRODUCT(MMULT('M1'!$M41:$AZ41,'M1'!AK$10:AK$49))</f>
        <v/>
      </c>
      <c r="AL41" s="97">
        <f>SUMPRODUCT(MMULT('M1'!$M41:$AZ41,'M1'!AL$10:AL$49))</f>
        <v/>
      </c>
      <c r="AM41" s="97">
        <f>SUMPRODUCT(MMULT('M1'!$M41:$AZ41,'M1'!AM$10:AM$49))</f>
        <v/>
      </c>
      <c r="AN41" s="97">
        <f>SUMPRODUCT(MMULT('M1'!$M41:$AZ41,'M1'!AN$10:AN$49))</f>
        <v/>
      </c>
      <c r="AO41" s="97">
        <f>SUMPRODUCT(MMULT('M1'!$M41:$AZ41,'M1'!AO$10:AO$49))</f>
        <v/>
      </c>
      <c r="AP41" s="97">
        <f>SUMPRODUCT(MMULT('M1'!$M41:$AZ41,'M1'!AP$10:AP$49))</f>
        <v/>
      </c>
      <c r="AQ41" s="97">
        <f>SUMPRODUCT(MMULT('M1'!$M41:$AZ41,'M1'!AQ$10:AQ$49))</f>
        <v/>
      </c>
      <c r="AR41" s="97">
        <f>SUMPRODUCT(MMULT('M1'!$M41:$AZ41,'M1'!AR$10:AR$49))</f>
        <v/>
      </c>
      <c r="AS41" s="97">
        <f>SUMPRODUCT(MMULT('M1'!$M41:$AZ41,'M1'!AS$10:AS$49))</f>
        <v/>
      </c>
      <c r="AT41" s="97">
        <f>SUMPRODUCT(MMULT('M1'!$M41:$AZ41,'M1'!AT$10:AT$49))</f>
        <v/>
      </c>
      <c r="AU41" s="97">
        <f>SUMPRODUCT(MMULT('M1'!$M41:$AZ41,'M1'!AU$10:AU$49))</f>
        <v/>
      </c>
      <c r="AV41" s="97">
        <f>SUMPRODUCT(MMULT('M1'!$M41:$AZ41,'M1'!AV$10:AV$49))</f>
        <v/>
      </c>
      <c r="AW41" s="97">
        <f>SUMPRODUCT(MMULT('M1'!$M41:$AZ41,'M1'!AW$10:AW$49))</f>
        <v/>
      </c>
      <c r="AX41" s="97">
        <f>SUMPRODUCT(MMULT('M1'!$M41:$AZ41,'M1'!AX$10:AX$49))</f>
        <v/>
      </c>
      <c r="AY41" s="97">
        <f>SUMPRODUCT(MMULT('M1'!$M41:$AZ41,'M1'!AY$10:AY$49))</f>
        <v/>
      </c>
      <c r="AZ41" s="97">
        <f>SUMPRODUCT(MMULT('M1'!$M41:$AZ41,'M1'!AZ$10:AZ$49))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SUMPRODUCT(MMULT('M1'!$M42:$AZ42,'M1'!M$10:M$49))</f>
        <v/>
      </c>
      <c r="N42" s="97">
        <f>SUMPRODUCT(MMULT('M1'!$M42:$AZ42,'M1'!N$10:N$49))</f>
        <v/>
      </c>
      <c r="O42" s="97">
        <f>SUMPRODUCT(MMULT('M1'!$M42:$AZ42,'M1'!O$10:O$49))</f>
        <v/>
      </c>
      <c r="P42" s="97">
        <f>SUMPRODUCT(MMULT('M1'!$M42:$AZ42,'M1'!P$10:P$49))</f>
        <v/>
      </c>
      <c r="Q42" s="97">
        <f>SUMPRODUCT(MMULT('M1'!$M42:$AZ42,'M1'!Q$10:Q$49))</f>
        <v/>
      </c>
      <c r="R42" s="97">
        <f>SUMPRODUCT(MMULT('M1'!$M42:$AZ42,'M1'!R$10:R$49))</f>
        <v/>
      </c>
      <c r="S42" s="97">
        <f>SUMPRODUCT(MMULT('M1'!$M42:$AZ42,'M1'!S$10:S$49))</f>
        <v/>
      </c>
      <c r="T42" s="97">
        <f>SUMPRODUCT(MMULT('M1'!$M42:$AZ42,'M1'!T$10:T$49))</f>
        <v/>
      </c>
      <c r="U42" s="97">
        <f>SUMPRODUCT(MMULT('M1'!$M42:$AZ42,'M1'!U$10:U$49))</f>
        <v/>
      </c>
      <c r="V42" s="97">
        <f>SUMPRODUCT(MMULT('M1'!$M42:$AZ42,'M1'!V$10:V$49))</f>
        <v/>
      </c>
      <c r="W42" s="97">
        <f>SUMPRODUCT(MMULT('M1'!$M42:$AZ42,'M1'!W$10:W$49))</f>
        <v/>
      </c>
      <c r="X42" s="97">
        <f>SUMPRODUCT(MMULT('M1'!$M42:$AZ42,'M1'!X$10:X$49))</f>
        <v/>
      </c>
      <c r="Y42" s="97">
        <f>SUMPRODUCT(MMULT('M1'!$M42:$AZ42,'M1'!Y$10:Y$49))</f>
        <v/>
      </c>
      <c r="Z42" s="97">
        <f>SUMPRODUCT(MMULT('M1'!$M42:$AZ42,'M1'!Z$10:Z$49))</f>
        <v/>
      </c>
      <c r="AA42" s="97">
        <f>SUMPRODUCT(MMULT('M1'!$M42:$AZ42,'M1'!AA$10:AA$49))</f>
        <v/>
      </c>
      <c r="AB42" s="97">
        <f>SUMPRODUCT(MMULT('M1'!$M42:$AZ42,'M1'!AB$10:AB$49))</f>
        <v/>
      </c>
      <c r="AC42" s="97">
        <f>SUMPRODUCT(MMULT('M1'!$M42:$AZ42,'M1'!AC$10:AC$49))</f>
        <v/>
      </c>
      <c r="AD42" s="97">
        <f>SUMPRODUCT(MMULT('M1'!$M42:$AZ42,'M1'!AD$10:AD$49))</f>
        <v/>
      </c>
      <c r="AE42" s="97">
        <f>SUMPRODUCT(MMULT('M1'!$M42:$AZ42,'M1'!AE$10:AE$49))</f>
        <v/>
      </c>
      <c r="AF42" s="97">
        <f>SUMPRODUCT(MMULT('M1'!$M42:$AZ42,'M1'!AF$10:AF$49))</f>
        <v/>
      </c>
      <c r="AG42" s="97">
        <f>SUMPRODUCT(MMULT('M1'!$M42:$AZ42,'M1'!AG$10:AG$49))</f>
        <v/>
      </c>
      <c r="AH42" s="97">
        <f>SUMPRODUCT(MMULT('M1'!$M42:$AZ42,'M1'!AH$10:AH$49))</f>
        <v/>
      </c>
      <c r="AI42" s="97">
        <f>SUMPRODUCT(MMULT('M1'!$M42:$AZ42,'M1'!AI$10:AI$49))</f>
        <v/>
      </c>
      <c r="AJ42" s="97">
        <f>SUMPRODUCT(MMULT('M1'!$M42:$AZ42,'M1'!AJ$10:AJ$49))</f>
        <v/>
      </c>
      <c r="AK42" s="97">
        <f>SUMPRODUCT(MMULT('M1'!$M42:$AZ42,'M1'!AK$10:AK$49))</f>
        <v/>
      </c>
      <c r="AL42" s="97">
        <f>SUMPRODUCT(MMULT('M1'!$M42:$AZ42,'M1'!AL$10:AL$49))</f>
        <v/>
      </c>
      <c r="AM42" s="97">
        <f>SUMPRODUCT(MMULT('M1'!$M42:$AZ42,'M1'!AM$10:AM$49))</f>
        <v/>
      </c>
      <c r="AN42" s="97">
        <f>SUMPRODUCT(MMULT('M1'!$M42:$AZ42,'M1'!AN$10:AN$49))</f>
        <v/>
      </c>
      <c r="AO42" s="97">
        <f>SUMPRODUCT(MMULT('M1'!$M42:$AZ42,'M1'!AO$10:AO$49))</f>
        <v/>
      </c>
      <c r="AP42" s="97">
        <f>SUMPRODUCT(MMULT('M1'!$M42:$AZ42,'M1'!AP$10:AP$49))</f>
        <v/>
      </c>
      <c r="AQ42" s="97">
        <f>SUMPRODUCT(MMULT('M1'!$M42:$AZ42,'M1'!AQ$10:AQ$49))</f>
        <v/>
      </c>
      <c r="AR42" s="97">
        <f>SUMPRODUCT(MMULT('M1'!$M42:$AZ42,'M1'!AR$10:AR$49))</f>
        <v/>
      </c>
      <c r="AS42" s="97">
        <f>SUMPRODUCT(MMULT('M1'!$M42:$AZ42,'M1'!AS$10:AS$49))</f>
        <v/>
      </c>
      <c r="AT42" s="97">
        <f>SUMPRODUCT(MMULT('M1'!$M42:$AZ42,'M1'!AT$10:AT$49))</f>
        <v/>
      </c>
      <c r="AU42" s="97">
        <f>SUMPRODUCT(MMULT('M1'!$M42:$AZ42,'M1'!AU$10:AU$49))</f>
        <v/>
      </c>
      <c r="AV42" s="97">
        <f>SUMPRODUCT(MMULT('M1'!$M42:$AZ42,'M1'!AV$10:AV$49))</f>
        <v/>
      </c>
      <c r="AW42" s="97">
        <f>SUMPRODUCT(MMULT('M1'!$M42:$AZ42,'M1'!AW$10:AW$49))</f>
        <v/>
      </c>
      <c r="AX42" s="97">
        <f>SUMPRODUCT(MMULT('M1'!$M42:$AZ42,'M1'!AX$10:AX$49))</f>
        <v/>
      </c>
      <c r="AY42" s="97">
        <f>SUMPRODUCT(MMULT('M1'!$M42:$AZ42,'M1'!AY$10:AY$49))</f>
        <v/>
      </c>
      <c r="AZ42" s="97">
        <f>SUMPRODUCT(MMULT('M1'!$M42:$AZ42,'M1'!AZ$10:AZ$49))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SUMPRODUCT(MMULT('M1'!$M43:$AZ43,'M1'!M$10:M$49))</f>
        <v/>
      </c>
      <c r="N43" s="97">
        <f>SUMPRODUCT(MMULT('M1'!$M43:$AZ43,'M1'!N$10:N$49))</f>
        <v/>
      </c>
      <c r="O43" s="97">
        <f>SUMPRODUCT(MMULT('M1'!$M43:$AZ43,'M1'!O$10:O$49))</f>
        <v/>
      </c>
      <c r="P43" s="97">
        <f>SUMPRODUCT(MMULT('M1'!$M43:$AZ43,'M1'!P$10:P$49))</f>
        <v/>
      </c>
      <c r="Q43" s="97">
        <f>SUMPRODUCT(MMULT('M1'!$M43:$AZ43,'M1'!Q$10:Q$49))</f>
        <v/>
      </c>
      <c r="R43" s="97">
        <f>SUMPRODUCT(MMULT('M1'!$M43:$AZ43,'M1'!R$10:R$49))</f>
        <v/>
      </c>
      <c r="S43" s="97">
        <f>SUMPRODUCT(MMULT('M1'!$M43:$AZ43,'M1'!S$10:S$49))</f>
        <v/>
      </c>
      <c r="T43" s="97">
        <f>SUMPRODUCT(MMULT('M1'!$M43:$AZ43,'M1'!T$10:T$49))</f>
        <v/>
      </c>
      <c r="U43" s="97">
        <f>SUMPRODUCT(MMULT('M1'!$M43:$AZ43,'M1'!U$10:U$49))</f>
        <v/>
      </c>
      <c r="V43" s="97">
        <f>SUMPRODUCT(MMULT('M1'!$M43:$AZ43,'M1'!V$10:V$49))</f>
        <v/>
      </c>
      <c r="W43" s="97">
        <f>SUMPRODUCT(MMULT('M1'!$M43:$AZ43,'M1'!W$10:W$49))</f>
        <v/>
      </c>
      <c r="X43" s="97">
        <f>SUMPRODUCT(MMULT('M1'!$M43:$AZ43,'M1'!X$10:X$49))</f>
        <v/>
      </c>
      <c r="Y43" s="97">
        <f>SUMPRODUCT(MMULT('M1'!$M43:$AZ43,'M1'!Y$10:Y$49))</f>
        <v/>
      </c>
      <c r="Z43" s="97">
        <f>SUMPRODUCT(MMULT('M1'!$M43:$AZ43,'M1'!Z$10:Z$49))</f>
        <v/>
      </c>
      <c r="AA43" s="97">
        <f>SUMPRODUCT(MMULT('M1'!$M43:$AZ43,'M1'!AA$10:AA$49))</f>
        <v/>
      </c>
      <c r="AB43" s="97">
        <f>SUMPRODUCT(MMULT('M1'!$M43:$AZ43,'M1'!AB$10:AB$49))</f>
        <v/>
      </c>
      <c r="AC43" s="97">
        <f>SUMPRODUCT(MMULT('M1'!$M43:$AZ43,'M1'!AC$10:AC$49))</f>
        <v/>
      </c>
      <c r="AD43" s="97">
        <f>SUMPRODUCT(MMULT('M1'!$M43:$AZ43,'M1'!AD$10:AD$49))</f>
        <v/>
      </c>
      <c r="AE43" s="97">
        <f>SUMPRODUCT(MMULT('M1'!$M43:$AZ43,'M1'!AE$10:AE$49))</f>
        <v/>
      </c>
      <c r="AF43" s="97">
        <f>SUMPRODUCT(MMULT('M1'!$M43:$AZ43,'M1'!AF$10:AF$49))</f>
        <v/>
      </c>
      <c r="AG43" s="97">
        <f>SUMPRODUCT(MMULT('M1'!$M43:$AZ43,'M1'!AG$10:AG$49))</f>
        <v/>
      </c>
      <c r="AH43" s="97">
        <f>SUMPRODUCT(MMULT('M1'!$M43:$AZ43,'M1'!AH$10:AH$49))</f>
        <v/>
      </c>
      <c r="AI43" s="97">
        <f>SUMPRODUCT(MMULT('M1'!$M43:$AZ43,'M1'!AI$10:AI$49))</f>
        <v/>
      </c>
      <c r="AJ43" s="97">
        <f>SUMPRODUCT(MMULT('M1'!$M43:$AZ43,'M1'!AJ$10:AJ$49))</f>
        <v/>
      </c>
      <c r="AK43" s="97">
        <f>SUMPRODUCT(MMULT('M1'!$M43:$AZ43,'M1'!AK$10:AK$49))</f>
        <v/>
      </c>
      <c r="AL43" s="97">
        <f>SUMPRODUCT(MMULT('M1'!$M43:$AZ43,'M1'!AL$10:AL$49))</f>
        <v/>
      </c>
      <c r="AM43" s="97">
        <f>SUMPRODUCT(MMULT('M1'!$M43:$AZ43,'M1'!AM$10:AM$49))</f>
        <v/>
      </c>
      <c r="AN43" s="97">
        <f>SUMPRODUCT(MMULT('M1'!$M43:$AZ43,'M1'!AN$10:AN$49))</f>
        <v/>
      </c>
      <c r="AO43" s="97">
        <f>SUMPRODUCT(MMULT('M1'!$M43:$AZ43,'M1'!AO$10:AO$49))</f>
        <v/>
      </c>
      <c r="AP43" s="97">
        <f>SUMPRODUCT(MMULT('M1'!$M43:$AZ43,'M1'!AP$10:AP$49))</f>
        <v/>
      </c>
      <c r="AQ43" s="97">
        <f>SUMPRODUCT(MMULT('M1'!$M43:$AZ43,'M1'!AQ$10:AQ$49))</f>
        <v/>
      </c>
      <c r="AR43" s="97">
        <f>SUMPRODUCT(MMULT('M1'!$M43:$AZ43,'M1'!AR$10:AR$49))</f>
        <v/>
      </c>
      <c r="AS43" s="97">
        <f>SUMPRODUCT(MMULT('M1'!$M43:$AZ43,'M1'!AS$10:AS$49))</f>
        <v/>
      </c>
      <c r="AT43" s="97">
        <f>SUMPRODUCT(MMULT('M1'!$M43:$AZ43,'M1'!AT$10:AT$49))</f>
        <v/>
      </c>
      <c r="AU43" s="97">
        <f>SUMPRODUCT(MMULT('M1'!$M43:$AZ43,'M1'!AU$10:AU$49))</f>
        <v/>
      </c>
      <c r="AV43" s="97">
        <f>SUMPRODUCT(MMULT('M1'!$M43:$AZ43,'M1'!AV$10:AV$49))</f>
        <v/>
      </c>
      <c r="AW43" s="97">
        <f>SUMPRODUCT(MMULT('M1'!$M43:$AZ43,'M1'!AW$10:AW$49))</f>
        <v/>
      </c>
      <c r="AX43" s="97">
        <f>SUMPRODUCT(MMULT('M1'!$M43:$AZ43,'M1'!AX$10:AX$49))</f>
        <v/>
      </c>
      <c r="AY43" s="97">
        <f>SUMPRODUCT(MMULT('M1'!$M43:$AZ43,'M1'!AY$10:AY$49))</f>
        <v/>
      </c>
      <c r="AZ43" s="97">
        <f>SUMPRODUCT(MMULT('M1'!$M43:$AZ43,'M1'!AZ$10:AZ$49))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SUMPRODUCT(MMULT('M1'!$M44:$AZ44,'M1'!M$10:M$49))</f>
        <v/>
      </c>
      <c r="N44" s="97">
        <f>SUMPRODUCT(MMULT('M1'!$M44:$AZ44,'M1'!N$10:N$49))</f>
        <v/>
      </c>
      <c r="O44" s="97">
        <f>SUMPRODUCT(MMULT('M1'!$M44:$AZ44,'M1'!O$10:O$49))</f>
        <v/>
      </c>
      <c r="P44" s="97">
        <f>SUMPRODUCT(MMULT('M1'!$M44:$AZ44,'M1'!P$10:P$49))</f>
        <v/>
      </c>
      <c r="Q44" s="97">
        <f>SUMPRODUCT(MMULT('M1'!$M44:$AZ44,'M1'!Q$10:Q$49))</f>
        <v/>
      </c>
      <c r="R44" s="97">
        <f>SUMPRODUCT(MMULT('M1'!$M44:$AZ44,'M1'!R$10:R$49))</f>
        <v/>
      </c>
      <c r="S44" s="97">
        <f>SUMPRODUCT(MMULT('M1'!$M44:$AZ44,'M1'!S$10:S$49))</f>
        <v/>
      </c>
      <c r="T44" s="97">
        <f>SUMPRODUCT(MMULT('M1'!$M44:$AZ44,'M1'!T$10:T$49))</f>
        <v/>
      </c>
      <c r="U44" s="97">
        <f>SUMPRODUCT(MMULT('M1'!$M44:$AZ44,'M1'!U$10:U$49))</f>
        <v/>
      </c>
      <c r="V44" s="97">
        <f>SUMPRODUCT(MMULT('M1'!$M44:$AZ44,'M1'!V$10:V$49))</f>
        <v/>
      </c>
      <c r="W44" s="97">
        <f>SUMPRODUCT(MMULT('M1'!$M44:$AZ44,'M1'!W$10:W$49))</f>
        <v/>
      </c>
      <c r="X44" s="97">
        <f>SUMPRODUCT(MMULT('M1'!$M44:$AZ44,'M1'!X$10:X$49))</f>
        <v/>
      </c>
      <c r="Y44" s="97">
        <f>SUMPRODUCT(MMULT('M1'!$M44:$AZ44,'M1'!Y$10:Y$49))</f>
        <v/>
      </c>
      <c r="Z44" s="97">
        <f>SUMPRODUCT(MMULT('M1'!$M44:$AZ44,'M1'!Z$10:Z$49))</f>
        <v/>
      </c>
      <c r="AA44" s="97">
        <f>SUMPRODUCT(MMULT('M1'!$M44:$AZ44,'M1'!AA$10:AA$49))</f>
        <v/>
      </c>
      <c r="AB44" s="97">
        <f>SUMPRODUCT(MMULT('M1'!$M44:$AZ44,'M1'!AB$10:AB$49))</f>
        <v/>
      </c>
      <c r="AC44" s="97">
        <f>SUMPRODUCT(MMULT('M1'!$M44:$AZ44,'M1'!AC$10:AC$49))</f>
        <v/>
      </c>
      <c r="AD44" s="97">
        <f>SUMPRODUCT(MMULT('M1'!$M44:$AZ44,'M1'!AD$10:AD$49))</f>
        <v/>
      </c>
      <c r="AE44" s="97">
        <f>SUMPRODUCT(MMULT('M1'!$M44:$AZ44,'M1'!AE$10:AE$49))</f>
        <v/>
      </c>
      <c r="AF44" s="97">
        <f>SUMPRODUCT(MMULT('M1'!$M44:$AZ44,'M1'!AF$10:AF$49))</f>
        <v/>
      </c>
      <c r="AG44" s="97">
        <f>SUMPRODUCT(MMULT('M1'!$M44:$AZ44,'M1'!AG$10:AG$49))</f>
        <v/>
      </c>
      <c r="AH44" s="97">
        <f>SUMPRODUCT(MMULT('M1'!$M44:$AZ44,'M1'!AH$10:AH$49))</f>
        <v/>
      </c>
      <c r="AI44" s="97">
        <f>SUMPRODUCT(MMULT('M1'!$M44:$AZ44,'M1'!AI$10:AI$49))</f>
        <v/>
      </c>
      <c r="AJ44" s="97">
        <f>SUMPRODUCT(MMULT('M1'!$M44:$AZ44,'M1'!AJ$10:AJ$49))</f>
        <v/>
      </c>
      <c r="AK44" s="97">
        <f>SUMPRODUCT(MMULT('M1'!$M44:$AZ44,'M1'!AK$10:AK$49))</f>
        <v/>
      </c>
      <c r="AL44" s="97">
        <f>SUMPRODUCT(MMULT('M1'!$M44:$AZ44,'M1'!AL$10:AL$49))</f>
        <v/>
      </c>
      <c r="AM44" s="97">
        <f>SUMPRODUCT(MMULT('M1'!$M44:$AZ44,'M1'!AM$10:AM$49))</f>
        <v/>
      </c>
      <c r="AN44" s="97">
        <f>SUMPRODUCT(MMULT('M1'!$M44:$AZ44,'M1'!AN$10:AN$49))</f>
        <v/>
      </c>
      <c r="AO44" s="97">
        <f>SUMPRODUCT(MMULT('M1'!$M44:$AZ44,'M1'!AO$10:AO$49))</f>
        <v/>
      </c>
      <c r="AP44" s="97">
        <f>SUMPRODUCT(MMULT('M1'!$M44:$AZ44,'M1'!AP$10:AP$49))</f>
        <v/>
      </c>
      <c r="AQ44" s="97">
        <f>SUMPRODUCT(MMULT('M1'!$M44:$AZ44,'M1'!AQ$10:AQ$49))</f>
        <v/>
      </c>
      <c r="AR44" s="97">
        <f>SUMPRODUCT(MMULT('M1'!$M44:$AZ44,'M1'!AR$10:AR$49))</f>
        <v/>
      </c>
      <c r="AS44" s="97">
        <f>SUMPRODUCT(MMULT('M1'!$M44:$AZ44,'M1'!AS$10:AS$49))</f>
        <v/>
      </c>
      <c r="AT44" s="97">
        <f>SUMPRODUCT(MMULT('M1'!$M44:$AZ44,'M1'!AT$10:AT$49))</f>
        <v/>
      </c>
      <c r="AU44" s="97">
        <f>SUMPRODUCT(MMULT('M1'!$M44:$AZ44,'M1'!AU$10:AU$49))</f>
        <v/>
      </c>
      <c r="AV44" s="97">
        <f>SUMPRODUCT(MMULT('M1'!$M44:$AZ44,'M1'!AV$10:AV$49))</f>
        <v/>
      </c>
      <c r="AW44" s="97">
        <f>SUMPRODUCT(MMULT('M1'!$M44:$AZ44,'M1'!AW$10:AW$49))</f>
        <v/>
      </c>
      <c r="AX44" s="97">
        <f>SUMPRODUCT(MMULT('M1'!$M44:$AZ44,'M1'!AX$10:AX$49))</f>
        <v/>
      </c>
      <c r="AY44" s="97">
        <f>SUMPRODUCT(MMULT('M1'!$M44:$AZ44,'M1'!AY$10:AY$49))</f>
        <v/>
      </c>
      <c r="AZ44" s="97">
        <f>SUMPRODUCT(MMULT('M1'!$M44:$AZ44,'M1'!AZ$10:AZ$49))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SUMPRODUCT(MMULT('M1'!$M45:$AZ45,'M1'!M$10:M$49))</f>
        <v/>
      </c>
      <c r="N45" s="97">
        <f>SUMPRODUCT(MMULT('M1'!$M45:$AZ45,'M1'!N$10:N$49))</f>
        <v/>
      </c>
      <c r="O45" s="97">
        <f>SUMPRODUCT(MMULT('M1'!$M45:$AZ45,'M1'!O$10:O$49))</f>
        <v/>
      </c>
      <c r="P45" s="97">
        <f>SUMPRODUCT(MMULT('M1'!$M45:$AZ45,'M1'!P$10:P$49))</f>
        <v/>
      </c>
      <c r="Q45" s="97">
        <f>SUMPRODUCT(MMULT('M1'!$M45:$AZ45,'M1'!Q$10:Q$49))</f>
        <v/>
      </c>
      <c r="R45" s="97">
        <f>SUMPRODUCT(MMULT('M1'!$M45:$AZ45,'M1'!R$10:R$49))</f>
        <v/>
      </c>
      <c r="S45" s="97">
        <f>SUMPRODUCT(MMULT('M1'!$M45:$AZ45,'M1'!S$10:S$49))</f>
        <v/>
      </c>
      <c r="T45" s="97">
        <f>SUMPRODUCT(MMULT('M1'!$M45:$AZ45,'M1'!T$10:T$49))</f>
        <v/>
      </c>
      <c r="U45" s="97">
        <f>SUMPRODUCT(MMULT('M1'!$M45:$AZ45,'M1'!U$10:U$49))</f>
        <v/>
      </c>
      <c r="V45" s="97">
        <f>SUMPRODUCT(MMULT('M1'!$M45:$AZ45,'M1'!V$10:V$49))</f>
        <v/>
      </c>
      <c r="W45" s="97">
        <f>SUMPRODUCT(MMULT('M1'!$M45:$AZ45,'M1'!W$10:W$49))</f>
        <v/>
      </c>
      <c r="X45" s="97">
        <f>SUMPRODUCT(MMULT('M1'!$M45:$AZ45,'M1'!X$10:X$49))</f>
        <v/>
      </c>
      <c r="Y45" s="97">
        <f>SUMPRODUCT(MMULT('M1'!$M45:$AZ45,'M1'!Y$10:Y$49))</f>
        <v/>
      </c>
      <c r="Z45" s="97">
        <f>SUMPRODUCT(MMULT('M1'!$M45:$AZ45,'M1'!Z$10:Z$49))</f>
        <v/>
      </c>
      <c r="AA45" s="97">
        <f>SUMPRODUCT(MMULT('M1'!$M45:$AZ45,'M1'!AA$10:AA$49))</f>
        <v/>
      </c>
      <c r="AB45" s="97">
        <f>SUMPRODUCT(MMULT('M1'!$M45:$AZ45,'M1'!AB$10:AB$49))</f>
        <v/>
      </c>
      <c r="AC45" s="97">
        <f>SUMPRODUCT(MMULT('M1'!$M45:$AZ45,'M1'!AC$10:AC$49))</f>
        <v/>
      </c>
      <c r="AD45" s="97">
        <f>SUMPRODUCT(MMULT('M1'!$M45:$AZ45,'M1'!AD$10:AD$49))</f>
        <v/>
      </c>
      <c r="AE45" s="97">
        <f>SUMPRODUCT(MMULT('M1'!$M45:$AZ45,'M1'!AE$10:AE$49))</f>
        <v/>
      </c>
      <c r="AF45" s="97">
        <f>SUMPRODUCT(MMULT('M1'!$M45:$AZ45,'M1'!AF$10:AF$49))</f>
        <v/>
      </c>
      <c r="AG45" s="97">
        <f>SUMPRODUCT(MMULT('M1'!$M45:$AZ45,'M1'!AG$10:AG$49))</f>
        <v/>
      </c>
      <c r="AH45" s="97">
        <f>SUMPRODUCT(MMULT('M1'!$M45:$AZ45,'M1'!AH$10:AH$49))</f>
        <v/>
      </c>
      <c r="AI45" s="97">
        <f>SUMPRODUCT(MMULT('M1'!$M45:$AZ45,'M1'!AI$10:AI$49))</f>
        <v/>
      </c>
      <c r="AJ45" s="97">
        <f>SUMPRODUCT(MMULT('M1'!$M45:$AZ45,'M1'!AJ$10:AJ$49))</f>
        <v/>
      </c>
      <c r="AK45" s="97">
        <f>SUMPRODUCT(MMULT('M1'!$M45:$AZ45,'M1'!AK$10:AK$49))</f>
        <v/>
      </c>
      <c r="AL45" s="97">
        <f>SUMPRODUCT(MMULT('M1'!$M45:$AZ45,'M1'!AL$10:AL$49))</f>
        <v/>
      </c>
      <c r="AM45" s="97">
        <f>SUMPRODUCT(MMULT('M1'!$M45:$AZ45,'M1'!AM$10:AM$49))</f>
        <v/>
      </c>
      <c r="AN45" s="97">
        <f>SUMPRODUCT(MMULT('M1'!$M45:$AZ45,'M1'!AN$10:AN$49))</f>
        <v/>
      </c>
      <c r="AO45" s="97">
        <f>SUMPRODUCT(MMULT('M1'!$M45:$AZ45,'M1'!AO$10:AO$49))</f>
        <v/>
      </c>
      <c r="AP45" s="97">
        <f>SUMPRODUCT(MMULT('M1'!$M45:$AZ45,'M1'!AP$10:AP$49))</f>
        <v/>
      </c>
      <c r="AQ45" s="97">
        <f>SUMPRODUCT(MMULT('M1'!$M45:$AZ45,'M1'!AQ$10:AQ$49))</f>
        <v/>
      </c>
      <c r="AR45" s="97">
        <f>SUMPRODUCT(MMULT('M1'!$M45:$AZ45,'M1'!AR$10:AR$49))</f>
        <v/>
      </c>
      <c r="AS45" s="97">
        <f>SUMPRODUCT(MMULT('M1'!$M45:$AZ45,'M1'!AS$10:AS$49))</f>
        <v/>
      </c>
      <c r="AT45" s="97">
        <f>SUMPRODUCT(MMULT('M1'!$M45:$AZ45,'M1'!AT$10:AT$49))</f>
        <v/>
      </c>
      <c r="AU45" s="97">
        <f>SUMPRODUCT(MMULT('M1'!$M45:$AZ45,'M1'!AU$10:AU$49))</f>
        <v/>
      </c>
      <c r="AV45" s="97">
        <f>SUMPRODUCT(MMULT('M1'!$M45:$AZ45,'M1'!AV$10:AV$49))</f>
        <v/>
      </c>
      <c r="AW45" s="97">
        <f>SUMPRODUCT(MMULT('M1'!$M45:$AZ45,'M1'!AW$10:AW$49))</f>
        <v/>
      </c>
      <c r="AX45" s="97">
        <f>SUMPRODUCT(MMULT('M1'!$M45:$AZ45,'M1'!AX$10:AX$49))</f>
        <v/>
      </c>
      <c r="AY45" s="97">
        <f>SUMPRODUCT(MMULT('M1'!$M45:$AZ45,'M1'!AY$10:AY$49))</f>
        <v/>
      </c>
      <c r="AZ45" s="97">
        <f>SUMPRODUCT(MMULT('M1'!$M45:$AZ45,'M1'!AZ$10:AZ$49))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SUMPRODUCT(MMULT('M1'!$M46:$AZ46,'M1'!M$10:M$49))</f>
        <v/>
      </c>
      <c r="N46" s="97">
        <f>SUMPRODUCT(MMULT('M1'!$M46:$AZ46,'M1'!N$10:N$49))</f>
        <v/>
      </c>
      <c r="O46" s="97">
        <f>SUMPRODUCT(MMULT('M1'!$M46:$AZ46,'M1'!O$10:O$49))</f>
        <v/>
      </c>
      <c r="P46" s="97">
        <f>SUMPRODUCT(MMULT('M1'!$M46:$AZ46,'M1'!P$10:P$49))</f>
        <v/>
      </c>
      <c r="Q46" s="97">
        <f>SUMPRODUCT(MMULT('M1'!$M46:$AZ46,'M1'!Q$10:Q$49))</f>
        <v/>
      </c>
      <c r="R46" s="97">
        <f>SUMPRODUCT(MMULT('M1'!$M46:$AZ46,'M1'!R$10:R$49))</f>
        <v/>
      </c>
      <c r="S46" s="97">
        <f>SUMPRODUCT(MMULT('M1'!$M46:$AZ46,'M1'!S$10:S$49))</f>
        <v/>
      </c>
      <c r="T46" s="97">
        <f>SUMPRODUCT(MMULT('M1'!$M46:$AZ46,'M1'!T$10:T$49))</f>
        <v/>
      </c>
      <c r="U46" s="97">
        <f>SUMPRODUCT(MMULT('M1'!$M46:$AZ46,'M1'!U$10:U$49))</f>
        <v/>
      </c>
      <c r="V46" s="97">
        <f>SUMPRODUCT(MMULT('M1'!$M46:$AZ46,'M1'!V$10:V$49))</f>
        <v/>
      </c>
      <c r="W46" s="97">
        <f>SUMPRODUCT(MMULT('M1'!$M46:$AZ46,'M1'!W$10:W$49))</f>
        <v/>
      </c>
      <c r="X46" s="97">
        <f>SUMPRODUCT(MMULT('M1'!$M46:$AZ46,'M1'!X$10:X$49))</f>
        <v/>
      </c>
      <c r="Y46" s="97">
        <f>SUMPRODUCT(MMULT('M1'!$M46:$AZ46,'M1'!Y$10:Y$49))</f>
        <v/>
      </c>
      <c r="Z46" s="97">
        <f>SUMPRODUCT(MMULT('M1'!$M46:$AZ46,'M1'!Z$10:Z$49))</f>
        <v/>
      </c>
      <c r="AA46" s="97">
        <f>SUMPRODUCT(MMULT('M1'!$M46:$AZ46,'M1'!AA$10:AA$49))</f>
        <v/>
      </c>
      <c r="AB46" s="97">
        <f>SUMPRODUCT(MMULT('M1'!$M46:$AZ46,'M1'!AB$10:AB$49))</f>
        <v/>
      </c>
      <c r="AC46" s="97">
        <f>SUMPRODUCT(MMULT('M1'!$M46:$AZ46,'M1'!AC$10:AC$49))</f>
        <v/>
      </c>
      <c r="AD46" s="97">
        <f>SUMPRODUCT(MMULT('M1'!$M46:$AZ46,'M1'!AD$10:AD$49))</f>
        <v/>
      </c>
      <c r="AE46" s="97">
        <f>SUMPRODUCT(MMULT('M1'!$M46:$AZ46,'M1'!AE$10:AE$49))</f>
        <v/>
      </c>
      <c r="AF46" s="97">
        <f>SUMPRODUCT(MMULT('M1'!$M46:$AZ46,'M1'!AF$10:AF$49))</f>
        <v/>
      </c>
      <c r="AG46" s="97">
        <f>SUMPRODUCT(MMULT('M1'!$M46:$AZ46,'M1'!AG$10:AG$49))</f>
        <v/>
      </c>
      <c r="AH46" s="97">
        <f>SUMPRODUCT(MMULT('M1'!$M46:$AZ46,'M1'!AH$10:AH$49))</f>
        <v/>
      </c>
      <c r="AI46" s="97">
        <f>SUMPRODUCT(MMULT('M1'!$M46:$AZ46,'M1'!AI$10:AI$49))</f>
        <v/>
      </c>
      <c r="AJ46" s="97">
        <f>SUMPRODUCT(MMULT('M1'!$M46:$AZ46,'M1'!AJ$10:AJ$49))</f>
        <v/>
      </c>
      <c r="AK46" s="97">
        <f>SUMPRODUCT(MMULT('M1'!$M46:$AZ46,'M1'!AK$10:AK$49))</f>
        <v/>
      </c>
      <c r="AL46" s="97">
        <f>SUMPRODUCT(MMULT('M1'!$M46:$AZ46,'M1'!AL$10:AL$49))</f>
        <v/>
      </c>
      <c r="AM46" s="97">
        <f>SUMPRODUCT(MMULT('M1'!$M46:$AZ46,'M1'!AM$10:AM$49))</f>
        <v/>
      </c>
      <c r="AN46" s="97">
        <f>SUMPRODUCT(MMULT('M1'!$M46:$AZ46,'M1'!AN$10:AN$49))</f>
        <v/>
      </c>
      <c r="AO46" s="97">
        <f>SUMPRODUCT(MMULT('M1'!$M46:$AZ46,'M1'!AO$10:AO$49))</f>
        <v/>
      </c>
      <c r="AP46" s="97">
        <f>SUMPRODUCT(MMULT('M1'!$M46:$AZ46,'M1'!AP$10:AP$49))</f>
        <v/>
      </c>
      <c r="AQ46" s="97">
        <f>SUMPRODUCT(MMULT('M1'!$M46:$AZ46,'M1'!AQ$10:AQ$49))</f>
        <v/>
      </c>
      <c r="AR46" s="97">
        <f>SUMPRODUCT(MMULT('M1'!$M46:$AZ46,'M1'!AR$10:AR$49))</f>
        <v/>
      </c>
      <c r="AS46" s="97">
        <f>SUMPRODUCT(MMULT('M1'!$M46:$AZ46,'M1'!AS$10:AS$49))</f>
        <v/>
      </c>
      <c r="AT46" s="97">
        <f>SUMPRODUCT(MMULT('M1'!$M46:$AZ46,'M1'!AT$10:AT$49))</f>
        <v/>
      </c>
      <c r="AU46" s="97">
        <f>SUMPRODUCT(MMULT('M1'!$M46:$AZ46,'M1'!AU$10:AU$49))</f>
        <v/>
      </c>
      <c r="AV46" s="97">
        <f>SUMPRODUCT(MMULT('M1'!$M46:$AZ46,'M1'!AV$10:AV$49))</f>
        <v/>
      </c>
      <c r="AW46" s="97">
        <f>SUMPRODUCT(MMULT('M1'!$M46:$AZ46,'M1'!AW$10:AW$49))</f>
        <v/>
      </c>
      <c r="AX46" s="97">
        <f>SUMPRODUCT(MMULT('M1'!$M46:$AZ46,'M1'!AX$10:AX$49))</f>
        <v/>
      </c>
      <c r="AY46" s="97">
        <f>SUMPRODUCT(MMULT('M1'!$M46:$AZ46,'M1'!AY$10:AY$49))</f>
        <v/>
      </c>
      <c r="AZ46" s="97">
        <f>SUMPRODUCT(MMULT('M1'!$M46:$AZ46,'M1'!AZ$10:AZ$49))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SUMPRODUCT(MMULT('M1'!$M47:$AZ47,'M1'!M$10:M$49))</f>
        <v/>
      </c>
      <c r="N47" s="97">
        <f>SUMPRODUCT(MMULT('M1'!$M47:$AZ47,'M1'!N$10:N$49))</f>
        <v/>
      </c>
      <c r="O47" s="97">
        <f>SUMPRODUCT(MMULT('M1'!$M47:$AZ47,'M1'!O$10:O$49))</f>
        <v/>
      </c>
      <c r="P47" s="97">
        <f>SUMPRODUCT(MMULT('M1'!$M47:$AZ47,'M1'!P$10:P$49))</f>
        <v/>
      </c>
      <c r="Q47" s="97">
        <f>SUMPRODUCT(MMULT('M1'!$M47:$AZ47,'M1'!Q$10:Q$49))</f>
        <v/>
      </c>
      <c r="R47" s="97">
        <f>SUMPRODUCT(MMULT('M1'!$M47:$AZ47,'M1'!R$10:R$49))</f>
        <v/>
      </c>
      <c r="S47" s="97">
        <f>SUMPRODUCT(MMULT('M1'!$M47:$AZ47,'M1'!S$10:S$49))</f>
        <v/>
      </c>
      <c r="T47" s="97">
        <f>SUMPRODUCT(MMULT('M1'!$M47:$AZ47,'M1'!T$10:T$49))</f>
        <v/>
      </c>
      <c r="U47" s="97">
        <f>SUMPRODUCT(MMULT('M1'!$M47:$AZ47,'M1'!U$10:U$49))</f>
        <v/>
      </c>
      <c r="V47" s="97">
        <f>SUMPRODUCT(MMULT('M1'!$M47:$AZ47,'M1'!V$10:V$49))</f>
        <v/>
      </c>
      <c r="W47" s="97">
        <f>SUMPRODUCT(MMULT('M1'!$M47:$AZ47,'M1'!W$10:W$49))</f>
        <v/>
      </c>
      <c r="X47" s="97">
        <f>SUMPRODUCT(MMULT('M1'!$M47:$AZ47,'M1'!X$10:X$49))</f>
        <v/>
      </c>
      <c r="Y47" s="97">
        <f>SUMPRODUCT(MMULT('M1'!$M47:$AZ47,'M1'!Y$10:Y$49))</f>
        <v/>
      </c>
      <c r="Z47" s="97">
        <f>SUMPRODUCT(MMULT('M1'!$M47:$AZ47,'M1'!Z$10:Z$49))</f>
        <v/>
      </c>
      <c r="AA47" s="97">
        <f>SUMPRODUCT(MMULT('M1'!$M47:$AZ47,'M1'!AA$10:AA$49))</f>
        <v/>
      </c>
      <c r="AB47" s="97">
        <f>SUMPRODUCT(MMULT('M1'!$M47:$AZ47,'M1'!AB$10:AB$49))</f>
        <v/>
      </c>
      <c r="AC47" s="97">
        <f>SUMPRODUCT(MMULT('M1'!$M47:$AZ47,'M1'!AC$10:AC$49))</f>
        <v/>
      </c>
      <c r="AD47" s="97">
        <f>SUMPRODUCT(MMULT('M1'!$M47:$AZ47,'M1'!AD$10:AD$49))</f>
        <v/>
      </c>
      <c r="AE47" s="97">
        <f>SUMPRODUCT(MMULT('M1'!$M47:$AZ47,'M1'!AE$10:AE$49))</f>
        <v/>
      </c>
      <c r="AF47" s="97">
        <f>SUMPRODUCT(MMULT('M1'!$M47:$AZ47,'M1'!AF$10:AF$49))</f>
        <v/>
      </c>
      <c r="AG47" s="97">
        <f>SUMPRODUCT(MMULT('M1'!$M47:$AZ47,'M1'!AG$10:AG$49))</f>
        <v/>
      </c>
      <c r="AH47" s="97">
        <f>SUMPRODUCT(MMULT('M1'!$M47:$AZ47,'M1'!AH$10:AH$49))</f>
        <v/>
      </c>
      <c r="AI47" s="97">
        <f>SUMPRODUCT(MMULT('M1'!$M47:$AZ47,'M1'!AI$10:AI$49))</f>
        <v/>
      </c>
      <c r="AJ47" s="97">
        <f>SUMPRODUCT(MMULT('M1'!$M47:$AZ47,'M1'!AJ$10:AJ$49))</f>
        <v/>
      </c>
      <c r="AK47" s="97">
        <f>SUMPRODUCT(MMULT('M1'!$M47:$AZ47,'M1'!AK$10:AK$49))</f>
        <v/>
      </c>
      <c r="AL47" s="97">
        <f>SUMPRODUCT(MMULT('M1'!$M47:$AZ47,'M1'!AL$10:AL$49))</f>
        <v/>
      </c>
      <c r="AM47" s="97">
        <f>SUMPRODUCT(MMULT('M1'!$M47:$AZ47,'M1'!AM$10:AM$49))</f>
        <v/>
      </c>
      <c r="AN47" s="97">
        <f>SUMPRODUCT(MMULT('M1'!$M47:$AZ47,'M1'!AN$10:AN$49))</f>
        <v/>
      </c>
      <c r="AO47" s="97">
        <f>SUMPRODUCT(MMULT('M1'!$M47:$AZ47,'M1'!AO$10:AO$49))</f>
        <v/>
      </c>
      <c r="AP47" s="97">
        <f>SUMPRODUCT(MMULT('M1'!$M47:$AZ47,'M1'!AP$10:AP$49))</f>
        <v/>
      </c>
      <c r="AQ47" s="97">
        <f>SUMPRODUCT(MMULT('M1'!$M47:$AZ47,'M1'!AQ$10:AQ$49))</f>
        <v/>
      </c>
      <c r="AR47" s="97">
        <f>SUMPRODUCT(MMULT('M1'!$M47:$AZ47,'M1'!AR$10:AR$49))</f>
        <v/>
      </c>
      <c r="AS47" s="97">
        <f>SUMPRODUCT(MMULT('M1'!$M47:$AZ47,'M1'!AS$10:AS$49))</f>
        <v/>
      </c>
      <c r="AT47" s="97">
        <f>SUMPRODUCT(MMULT('M1'!$M47:$AZ47,'M1'!AT$10:AT$49))</f>
        <v/>
      </c>
      <c r="AU47" s="97">
        <f>SUMPRODUCT(MMULT('M1'!$M47:$AZ47,'M1'!AU$10:AU$49))</f>
        <v/>
      </c>
      <c r="AV47" s="97">
        <f>SUMPRODUCT(MMULT('M1'!$M47:$AZ47,'M1'!AV$10:AV$49))</f>
        <v/>
      </c>
      <c r="AW47" s="97">
        <f>SUMPRODUCT(MMULT('M1'!$M47:$AZ47,'M1'!AW$10:AW$49))</f>
        <v/>
      </c>
      <c r="AX47" s="97">
        <f>SUMPRODUCT(MMULT('M1'!$M47:$AZ47,'M1'!AX$10:AX$49))</f>
        <v/>
      </c>
      <c r="AY47" s="97">
        <f>SUMPRODUCT(MMULT('M1'!$M47:$AZ47,'M1'!AY$10:AY$49))</f>
        <v/>
      </c>
      <c r="AZ47" s="97">
        <f>SUMPRODUCT(MMULT('M1'!$M47:$AZ47,'M1'!AZ$10:AZ$49))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SUMPRODUCT(MMULT('M1'!$M48:$AZ48,'M1'!M$10:M$49))</f>
        <v/>
      </c>
      <c r="N48" s="97">
        <f>SUMPRODUCT(MMULT('M1'!$M48:$AZ48,'M1'!N$10:N$49))</f>
        <v/>
      </c>
      <c r="O48" s="97">
        <f>SUMPRODUCT(MMULT('M1'!$M48:$AZ48,'M1'!O$10:O$49))</f>
        <v/>
      </c>
      <c r="P48" s="97">
        <f>SUMPRODUCT(MMULT('M1'!$M48:$AZ48,'M1'!P$10:P$49))</f>
        <v/>
      </c>
      <c r="Q48" s="97">
        <f>SUMPRODUCT(MMULT('M1'!$M48:$AZ48,'M1'!Q$10:Q$49))</f>
        <v/>
      </c>
      <c r="R48" s="97">
        <f>SUMPRODUCT(MMULT('M1'!$M48:$AZ48,'M1'!R$10:R$49))</f>
        <v/>
      </c>
      <c r="S48" s="97">
        <f>SUMPRODUCT(MMULT('M1'!$M48:$AZ48,'M1'!S$10:S$49))</f>
        <v/>
      </c>
      <c r="T48" s="97">
        <f>SUMPRODUCT(MMULT('M1'!$M48:$AZ48,'M1'!T$10:T$49))</f>
        <v/>
      </c>
      <c r="U48" s="97">
        <f>SUMPRODUCT(MMULT('M1'!$M48:$AZ48,'M1'!U$10:U$49))</f>
        <v/>
      </c>
      <c r="V48" s="97">
        <f>SUMPRODUCT(MMULT('M1'!$M48:$AZ48,'M1'!V$10:V$49))</f>
        <v/>
      </c>
      <c r="W48" s="97">
        <f>SUMPRODUCT(MMULT('M1'!$M48:$AZ48,'M1'!W$10:W$49))</f>
        <v/>
      </c>
      <c r="X48" s="97">
        <f>SUMPRODUCT(MMULT('M1'!$M48:$AZ48,'M1'!X$10:X$49))</f>
        <v/>
      </c>
      <c r="Y48" s="97">
        <f>SUMPRODUCT(MMULT('M1'!$M48:$AZ48,'M1'!Y$10:Y$49))</f>
        <v/>
      </c>
      <c r="Z48" s="97">
        <f>SUMPRODUCT(MMULT('M1'!$M48:$AZ48,'M1'!Z$10:Z$49))</f>
        <v/>
      </c>
      <c r="AA48" s="97">
        <f>SUMPRODUCT(MMULT('M1'!$M48:$AZ48,'M1'!AA$10:AA$49))</f>
        <v/>
      </c>
      <c r="AB48" s="97">
        <f>SUMPRODUCT(MMULT('M1'!$M48:$AZ48,'M1'!AB$10:AB$49))</f>
        <v/>
      </c>
      <c r="AC48" s="97">
        <f>SUMPRODUCT(MMULT('M1'!$M48:$AZ48,'M1'!AC$10:AC$49))</f>
        <v/>
      </c>
      <c r="AD48" s="97">
        <f>SUMPRODUCT(MMULT('M1'!$M48:$AZ48,'M1'!AD$10:AD$49))</f>
        <v/>
      </c>
      <c r="AE48" s="97">
        <f>SUMPRODUCT(MMULT('M1'!$M48:$AZ48,'M1'!AE$10:AE$49))</f>
        <v/>
      </c>
      <c r="AF48" s="97">
        <f>SUMPRODUCT(MMULT('M1'!$M48:$AZ48,'M1'!AF$10:AF$49))</f>
        <v/>
      </c>
      <c r="AG48" s="97">
        <f>SUMPRODUCT(MMULT('M1'!$M48:$AZ48,'M1'!AG$10:AG$49))</f>
        <v/>
      </c>
      <c r="AH48" s="97">
        <f>SUMPRODUCT(MMULT('M1'!$M48:$AZ48,'M1'!AH$10:AH$49))</f>
        <v/>
      </c>
      <c r="AI48" s="97">
        <f>SUMPRODUCT(MMULT('M1'!$M48:$AZ48,'M1'!AI$10:AI$49))</f>
        <v/>
      </c>
      <c r="AJ48" s="97">
        <f>SUMPRODUCT(MMULT('M1'!$M48:$AZ48,'M1'!AJ$10:AJ$49))</f>
        <v/>
      </c>
      <c r="AK48" s="97">
        <f>SUMPRODUCT(MMULT('M1'!$M48:$AZ48,'M1'!AK$10:AK$49))</f>
        <v/>
      </c>
      <c r="AL48" s="97">
        <f>SUMPRODUCT(MMULT('M1'!$M48:$AZ48,'M1'!AL$10:AL$49))</f>
        <v/>
      </c>
      <c r="AM48" s="97">
        <f>SUMPRODUCT(MMULT('M1'!$M48:$AZ48,'M1'!AM$10:AM$49))</f>
        <v/>
      </c>
      <c r="AN48" s="97">
        <f>SUMPRODUCT(MMULT('M1'!$M48:$AZ48,'M1'!AN$10:AN$49))</f>
        <v/>
      </c>
      <c r="AO48" s="97">
        <f>SUMPRODUCT(MMULT('M1'!$M48:$AZ48,'M1'!AO$10:AO$49))</f>
        <v/>
      </c>
      <c r="AP48" s="97">
        <f>SUMPRODUCT(MMULT('M1'!$M48:$AZ48,'M1'!AP$10:AP$49))</f>
        <v/>
      </c>
      <c r="AQ48" s="97">
        <f>SUMPRODUCT(MMULT('M1'!$M48:$AZ48,'M1'!AQ$10:AQ$49))</f>
        <v/>
      </c>
      <c r="AR48" s="97">
        <f>SUMPRODUCT(MMULT('M1'!$M48:$AZ48,'M1'!AR$10:AR$49))</f>
        <v/>
      </c>
      <c r="AS48" s="97">
        <f>SUMPRODUCT(MMULT('M1'!$M48:$AZ48,'M1'!AS$10:AS$49))</f>
        <v/>
      </c>
      <c r="AT48" s="97">
        <f>SUMPRODUCT(MMULT('M1'!$M48:$AZ48,'M1'!AT$10:AT$49))</f>
        <v/>
      </c>
      <c r="AU48" s="97">
        <f>SUMPRODUCT(MMULT('M1'!$M48:$AZ48,'M1'!AU$10:AU$49))</f>
        <v/>
      </c>
      <c r="AV48" s="97">
        <f>SUMPRODUCT(MMULT('M1'!$M48:$AZ48,'M1'!AV$10:AV$49))</f>
        <v/>
      </c>
      <c r="AW48" s="97">
        <f>SUMPRODUCT(MMULT('M1'!$M48:$AZ48,'M1'!AW$10:AW$49))</f>
        <v/>
      </c>
      <c r="AX48" s="97">
        <f>SUMPRODUCT(MMULT('M1'!$M48:$AZ48,'M1'!AX$10:AX$49))</f>
        <v/>
      </c>
      <c r="AY48" s="97">
        <f>SUMPRODUCT(MMULT('M1'!$M48:$AZ48,'M1'!AY$10:AY$49))</f>
        <v/>
      </c>
      <c r="AZ48" s="97">
        <f>SUMPRODUCT(MMULT('M1'!$M48:$AZ48,'M1'!AZ$10:AZ$49))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SUMPRODUCT(MMULT('M1'!$M49:$AZ49,'M1'!M$10:M$49))</f>
        <v/>
      </c>
      <c r="N49" s="97">
        <f>SUMPRODUCT(MMULT('M1'!$M49:$AZ49,'M1'!N$10:N$49))</f>
        <v/>
      </c>
      <c r="O49" s="97">
        <f>SUMPRODUCT(MMULT('M1'!$M49:$AZ49,'M1'!O$10:O$49))</f>
        <v/>
      </c>
      <c r="P49" s="97">
        <f>SUMPRODUCT(MMULT('M1'!$M49:$AZ49,'M1'!P$10:P$49))</f>
        <v/>
      </c>
      <c r="Q49" s="97">
        <f>SUMPRODUCT(MMULT('M1'!$M49:$AZ49,'M1'!Q$10:Q$49))</f>
        <v/>
      </c>
      <c r="R49" s="97">
        <f>SUMPRODUCT(MMULT('M1'!$M49:$AZ49,'M1'!R$10:R$49))</f>
        <v/>
      </c>
      <c r="S49" s="97">
        <f>SUMPRODUCT(MMULT('M1'!$M49:$AZ49,'M1'!S$10:S$49))</f>
        <v/>
      </c>
      <c r="T49" s="97">
        <f>SUMPRODUCT(MMULT('M1'!$M49:$AZ49,'M1'!T$10:T$49))</f>
        <v/>
      </c>
      <c r="U49" s="97">
        <f>SUMPRODUCT(MMULT('M1'!$M49:$AZ49,'M1'!U$10:U$49))</f>
        <v/>
      </c>
      <c r="V49" s="97">
        <f>SUMPRODUCT(MMULT('M1'!$M49:$AZ49,'M1'!V$10:V$49))</f>
        <v/>
      </c>
      <c r="W49" s="97">
        <f>SUMPRODUCT(MMULT('M1'!$M49:$AZ49,'M1'!W$10:W$49))</f>
        <v/>
      </c>
      <c r="X49" s="97">
        <f>SUMPRODUCT(MMULT('M1'!$M49:$AZ49,'M1'!X$10:X$49))</f>
        <v/>
      </c>
      <c r="Y49" s="97">
        <f>SUMPRODUCT(MMULT('M1'!$M49:$AZ49,'M1'!Y$10:Y$49))</f>
        <v/>
      </c>
      <c r="Z49" s="97">
        <f>SUMPRODUCT(MMULT('M1'!$M49:$AZ49,'M1'!Z$10:Z$49))</f>
        <v/>
      </c>
      <c r="AA49" s="97">
        <f>SUMPRODUCT(MMULT('M1'!$M49:$AZ49,'M1'!AA$10:AA$49))</f>
        <v/>
      </c>
      <c r="AB49" s="97">
        <f>SUMPRODUCT(MMULT('M1'!$M49:$AZ49,'M1'!AB$10:AB$49))</f>
        <v/>
      </c>
      <c r="AC49" s="97">
        <f>SUMPRODUCT(MMULT('M1'!$M49:$AZ49,'M1'!AC$10:AC$49))</f>
        <v/>
      </c>
      <c r="AD49" s="97">
        <f>SUMPRODUCT(MMULT('M1'!$M49:$AZ49,'M1'!AD$10:AD$49))</f>
        <v/>
      </c>
      <c r="AE49" s="97">
        <f>SUMPRODUCT(MMULT('M1'!$M49:$AZ49,'M1'!AE$10:AE$49))</f>
        <v/>
      </c>
      <c r="AF49" s="97">
        <f>SUMPRODUCT(MMULT('M1'!$M49:$AZ49,'M1'!AF$10:AF$49))</f>
        <v/>
      </c>
      <c r="AG49" s="97">
        <f>SUMPRODUCT(MMULT('M1'!$M49:$AZ49,'M1'!AG$10:AG$49))</f>
        <v/>
      </c>
      <c r="AH49" s="97">
        <f>SUMPRODUCT(MMULT('M1'!$M49:$AZ49,'M1'!AH$10:AH$49))</f>
        <v/>
      </c>
      <c r="AI49" s="97">
        <f>SUMPRODUCT(MMULT('M1'!$M49:$AZ49,'M1'!AI$10:AI$49))</f>
        <v/>
      </c>
      <c r="AJ49" s="97">
        <f>SUMPRODUCT(MMULT('M1'!$M49:$AZ49,'M1'!AJ$10:AJ$49))</f>
        <v/>
      </c>
      <c r="AK49" s="97">
        <f>SUMPRODUCT(MMULT('M1'!$M49:$AZ49,'M1'!AK$10:AK$49))</f>
        <v/>
      </c>
      <c r="AL49" s="97">
        <f>SUMPRODUCT(MMULT('M1'!$M49:$AZ49,'M1'!AL$10:AL$49))</f>
        <v/>
      </c>
      <c r="AM49" s="97">
        <f>SUMPRODUCT(MMULT('M1'!$M49:$AZ49,'M1'!AM$10:AM$49))</f>
        <v/>
      </c>
      <c r="AN49" s="97">
        <f>SUMPRODUCT(MMULT('M1'!$M49:$AZ49,'M1'!AN$10:AN$49))</f>
        <v/>
      </c>
      <c r="AO49" s="97">
        <f>SUMPRODUCT(MMULT('M1'!$M49:$AZ49,'M1'!AO$10:AO$49))</f>
        <v/>
      </c>
      <c r="AP49" s="97">
        <f>SUMPRODUCT(MMULT('M1'!$M49:$AZ49,'M1'!AP$10:AP$49))</f>
        <v/>
      </c>
      <c r="AQ49" s="97">
        <f>SUMPRODUCT(MMULT('M1'!$M49:$AZ49,'M1'!AQ$10:AQ$49))</f>
        <v/>
      </c>
      <c r="AR49" s="97">
        <f>SUMPRODUCT(MMULT('M1'!$M49:$AZ49,'M1'!AR$10:AR$49))</f>
        <v/>
      </c>
      <c r="AS49" s="97">
        <f>SUMPRODUCT(MMULT('M1'!$M49:$AZ49,'M1'!AS$10:AS$49))</f>
        <v/>
      </c>
      <c r="AT49" s="97">
        <f>SUMPRODUCT(MMULT('M1'!$M49:$AZ49,'M1'!AT$10:AT$49))</f>
        <v/>
      </c>
      <c r="AU49" s="97">
        <f>SUMPRODUCT(MMULT('M1'!$M49:$AZ49,'M1'!AU$10:AU$49))</f>
        <v/>
      </c>
      <c r="AV49" s="97">
        <f>SUMPRODUCT(MMULT('M1'!$M49:$AZ49,'M1'!AV$10:AV$49))</f>
        <v/>
      </c>
      <c r="AW49" s="97">
        <f>SUMPRODUCT(MMULT('M1'!$M49:$AZ49,'M1'!AW$10:AW$49))</f>
        <v/>
      </c>
      <c r="AX49" s="97">
        <f>SUMPRODUCT(MMULT('M1'!$M49:$AZ49,'M1'!AX$10:AX$49))</f>
        <v/>
      </c>
      <c r="AY49" s="97">
        <f>SUMPRODUCT(MMULT('M1'!$M49:$AZ49,'M1'!AY$10:AY$49))</f>
        <v/>
      </c>
      <c r="AZ49" s="97">
        <f>SUMPRODUCT(MMULT('M1'!$M49:$AZ49,'M1'!AZ$10:AZ$49))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5.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C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0.5" customWidth="1" style="62" min="13" max="52"/>
  </cols>
  <sheetData>
    <row r="1" ht="30" customHeight="1" s="62">
      <c r="A1" s="65" t="inlineStr">
        <is>
          <t>M3  |  Recorridos de exactamente 3 vínculos</t>
        </is>
      </c>
    </row>
    <row r="2" ht="46" customHeight="1" s="62">
      <c r="A2" s="63" t="inlineStr">
        <is>
          <t>Cada celda suma productos de una fila de M2 por una columna de M (≡ M1). Los valores son pesos de recorridos, no personas ni porcentajes. Regla: M3 = M2 × M. No eleve cada celda al exponente 3; no multiplique M2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SUMPRODUCT(MMULT('M2'!$M10:$AZ10,'M1'!M$10:M$49))</f>
        <v/>
      </c>
      <c r="N10" s="97">
        <f>SUMPRODUCT(MMULT('M2'!$M10:$AZ10,'M1'!N$10:N$49))</f>
        <v/>
      </c>
      <c r="O10" s="97">
        <f>SUMPRODUCT(MMULT('M2'!$M10:$AZ10,'M1'!O$10:O$49))</f>
        <v/>
      </c>
      <c r="P10" s="97">
        <f>SUMPRODUCT(MMULT('M2'!$M10:$AZ10,'M1'!P$10:P$49))</f>
        <v/>
      </c>
      <c r="Q10" s="97">
        <f>SUMPRODUCT(MMULT('M2'!$M10:$AZ10,'M1'!Q$10:Q$49))</f>
        <v/>
      </c>
      <c r="R10" s="97">
        <f>SUMPRODUCT(MMULT('M2'!$M10:$AZ10,'M1'!R$10:R$49))</f>
        <v/>
      </c>
      <c r="S10" s="97">
        <f>SUMPRODUCT(MMULT('M2'!$M10:$AZ10,'M1'!S$10:S$49))</f>
        <v/>
      </c>
      <c r="T10" s="97">
        <f>SUMPRODUCT(MMULT('M2'!$M10:$AZ10,'M1'!T$10:T$49))</f>
        <v/>
      </c>
      <c r="U10" s="97">
        <f>SUMPRODUCT(MMULT('M2'!$M10:$AZ10,'M1'!U$10:U$49))</f>
        <v/>
      </c>
      <c r="V10" s="97">
        <f>SUMPRODUCT(MMULT('M2'!$M10:$AZ10,'M1'!V$10:V$49))</f>
        <v/>
      </c>
      <c r="W10" s="97">
        <f>SUMPRODUCT(MMULT('M2'!$M10:$AZ10,'M1'!W$10:W$49))</f>
        <v/>
      </c>
      <c r="X10" s="97">
        <f>SUMPRODUCT(MMULT('M2'!$M10:$AZ10,'M1'!X$10:X$49))</f>
        <v/>
      </c>
      <c r="Y10" s="97">
        <f>SUMPRODUCT(MMULT('M2'!$M10:$AZ10,'M1'!Y$10:Y$49))</f>
        <v/>
      </c>
      <c r="Z10" s="97">
        <f>SUMPRODUCT(MMULT('M2'!$M10:$AZ10,'M1'!Z$10:Z$49))</f>
        <v/>
      </c>
      <c r="AA10" s="97">
        <f>SUMPRODUCT(MMULT('M2'!$M10:$AZ10,'M1'!AA$10:AA$49))</f>
        <v/>
      </c>
      <c r="AB10" s="97">
        <f>SUMPRODUCT(MMULT('M2'!$M10:$AZ10,'M1'!AB$10:AB$49))</f>
        <v/>
      </c>
      <c r="AC10" s="97">
        <f>SUMPRODUCT(MMULT('M2'!$M10:$AZ10,'M1'!AC$10:AC$49))</f>
        <v/>
      </c>
      <c r="AD10" s="97">
        <f>SUMPRODUCT(MMULT('M2'!$M10:$AZ10,'M1'!AD$10:AD$49))</f>
        <v/>
      </c>
      <c r="AE10" s="97">
        <f>SUMPRODUCT(MMULT('M2'!$M10:$AZ10,'M1'!AE$10:AE$49))</f>
        <v/>
      </c>
      <c r="AF10" s="97">
        <f>SUMPRODUCT(MMULT('M2'!$M10:$AZ10,'M1'!AF$10:AF$49))</f>
        <v/>
      </c>
      <c r="AG10" s="97">
        <f>SUMPRODUCT(MMULT('M2'!$M10:$AZ10,'M1'!AG$10:AG$49))</f>
        <v/>
      </c>
      <c r="AH10" s="97">
        <f>SUMPRODUCT(MMULT('M2'!$M10:$AZ10,'M1'!AH$10:AH$49))</f>
        <v/>
      </c>
      <c r="AI10" s="97">
        <f>SUMPRODUCT(MMULT('M2'!$M10:$AZ10,'M1'!AI$10:AI$49))</f>
        <v/>
      </c>
      <c r="AJ10" s="97">
        <f>SUMPRODUCT(MMULT('M2'!$M10:$AZ10,'M1'!AJ$10:AJ$49))</f>
        <v/>
      </c>
      <c r="AK10" s="97">
        <f>SUMPRODUCT(MMULT('M2'!$M10:$AZ10,'M1'!AK$10:AK$49))</f>
        <v/>
      </c>
      <c r="AL10" s="97">
        <f>SUMPRODUCT(MMULT('M2'!$M10:$AZ10,'M1'!AL$10:AL$49))</f>
        <v/>
      </c>
      <c r="AM10" s="97">
        <f>SUMPRODUCT(MMULT('M2'!$M10:$AZ10,'M1'!AM$10:AM$49))</f>
        <v/>
      </c>
      <c r="AN10" s="97">
        <f>SUMPRODUCT(MMULT('M2'!$M10:$AZ10,'M1'!AN$10:AN$49))</f>
        <v/>
      </c>
      <c r="AO10" s="97">
        <f>SUMPRODUCT(MMULT('M2'!$M10:$AZ10,'M1'!AO$10:AO$49))</f>
        <v/>
      </c>
      <c r="AP10" s="97">
        <f>SUMPRODUCT(MMULT('M2'!$M10:$AZ10,'M1'!AP$10:AP$49))</f>
        <v/>
      </c>
      <c r="AQ10" s="97">
        <f>SUMPRODUCT(MMULT('M2'!$M10:$AZ10,'M1'!AQ$10:AQ$49))</f>
        <v/>
      </c>
      <c r="AR10" s="97">
        <f>SUMPRODUCT(MMULT('M2'!$M10:$AZ10,'M1'!AR$10:AR$49))</f>
        <v/>
      </c>
      <c r="AS10" s="97">
        <f>SUMPRODUCT(MMULT('M2'!$M10:$AZ10,'M1'!AS$10:AS$49))</f>
        <v/>
      </c>
      <c r="AT10" s="97">
        <f>SUMPRODUCT(MMULT('M2'!$M10:$AZ10,'M1'!AT$10:AT$49))</f>
        <v/>
      </c>
      <c r="AU10" s="97">
        <f>SUMPRODUCT(MMULT('M2'!$M10:$AZ10,'M1'!AU$10:AU$49))</f>
        <v/>
      </c>
      <c r="AV10" s="97">
        <f>SUMPRODUCT(MMULT('M2'!$M10:$AZ10,'M1'!AV$10:AV$49))</f>
        <v/>
      </c>
      <c r="AW10" s="97">
        <f>SUMPRODUCT(MMULT('M2'!$M10:$AZ10,'M1'!AW$10:AW$49))</f>
        <v/>
      </c>
      <c r="AX10" s="97">
        <f>SUMPRODUCT(MMULT('M2'!$M10:$AZ10,'M1'!AX$10:AX$49))</f>
        <v/>
      </c>
      <c r="AY10" s="97">
        <f>SUMPRODUCT(MMULT('M2'!$M10:$AZ10,'M1'!AY$10:AY$49))</f>
        <v/>
      </c>
      <c r="AZ10" s="97">
        <f>SUMPRODUCT(MMULT('M2'!$M10:$AZ10,'M1'!AZ$10:AZ$49))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SUMPRODUCT(MMULT('M2'!$M11:$AZ11,'M1'!M$10:M$49))</f>
        <v/>
      </c>
      <c r="N11" s="97">
        <f>SUMPRODUCT(MMULT('M2'!$M11:$AZ11,'M1'!N$10:N$49))</f>
        <v/>
      </c>
      <c r="O11" s="97">
        <f>SUMPRODUCT(MMULT('M2'!$M11:$AZ11,'M1'!O$10:O$49))</f>
        <v/>
      </c>
      <c r="P11" s="97">
        <f>SUMPRODUCT(MMULT('M2'!$M11:$AZ11,'M1'!P$10:P$49))</f>
        <v/>
      </c>
      <c r="Q11" s="97">
        <f>SUMPRODUCT(MMULT('M2'!$M11:$AZ11,'M1'!Q$10:Q$49))</f>
        <v/>
      </c>
      <c r="R11" s="97">
        <f>SUMPRODUCT(MMULT('M2'!$M11:$AZ11,'M1'!R$10:R$49))</f>
        <v/>
      </c>
      <c r="S11" s="97">
        <f>SUMPRODUCT(MMULT('M2'!$M11:$AZ11,'M1'!S$10:S$49))</f>
        <v/>
      </c>
      <c r="T11" s="97">
        <f>SUMPRODUCT(MMULT('M2'!$M11:$AZ11,'M1'!T$10:T$49))</f>
        <v/>
      </c>
      <c r="U11" s="97">
        <f>SUMPRODUCT(MMULT('M2'!$M11:$AZ11,'M1'!U$10:U$49))</f>
        <v/>
      </c>
      <c r="V11" s="97">
        <f>SUMPRODUCT(MMULT('M2'!$M11:$AZ11,'M1'!V$10:V$49))</f>
        <v/>
      </c>
      <c r="W11" s="97">
        <f>SUMPRODUCT(MMULT('M2'!$M11:$AZ11,'M1'!W$10:W$49))</f>
        <v/>
      </c>
      <c r="X11" s="97">
        <f>SUMPRODUCT(MMULT('M2'!$M11:$AZ11,'M1'!X$10:X$49))</f>
        <v/>
      </c>
      <c r="Y11" s="97">
        <f>SUMPRODUCT(MMULT('M2'!$M11:$AZ11,'M1'!Y$10:Y$49))</f>
        <v/>
      </c>
      <c r="Z11" s="97">
        <f>SUMPRODUCT(MMULT('M2'!$M11:$AZ11,'M1'!Z$10:Z$49))</f>
        <v/>
      </c>
      <c r="AA11" s="97">
        <f>SUMPRODUCT(MMULT('M2'!$M11:$AZ11,'M1'!AA$10:AA$49))</f>
        <v/>
      </c>
      <c r="AB11" s="97">
        <f>SUMPRODUCT(MMULT('M2'!$M11:$AZ11,'M1'!AB$10:AB$49))</f>
        <v/>
      </c>
      <c r="AC11" s="97">
        <f>SUMPRODUCT(MMULT('M2'!$M11:$AZ11,'M1'!AC$10:AC$49))</f>
        <v/>
      </c>
      <c r="AD11" s="97">
        <f>SUMPRODUCT(MMULT('M2'!$M11:$AZ11,'M1'!AD$10:AD$49))</f>
        <v/>
      </c>
      <c r="AE11" s="97">
        <f>SUMPRODUCT(MMULT('M2'!$M11:$AZ11,'M1'!AE$10:AE$49))</f>
        <v/>
      </c>
      <c r="AF11" s="97">
        <f>SUMPRODUCT(MMULT('M2'!$M11:$AZ11,'M1'!AF$10:AF$49))</f>
        <v/>
      </c>
      <c r="AG11" s="97">
        <f>SUMPRODUCT(MMULT('M2'!$M11:$AZ11,'M1'!AG$10:AG$49))</f>
        <v/>
      </c>
      <c r="AH11" s="97">
        <f>SUMPRODUCT(MMULT('M2'!$M11:$AZ11,'M1'!AH$10:AH$49))</f>
        <v/>
      </c>
      <c r="AI11" s="97">
        <f>SUMPRODUCT(MMULT('M2'!$M11:$AZ11,'M1'!AI$10:AI$49))</f>
        <v/>
      </c>
      <c r="AJ11" s="97">
        <f>SUMPRODUCT(MMULT('M2'!$M11:$AZ11,'M1'!AJ$10:AJ$49))</f>
        <v/>
      </c>
      <c r="AK11" s="97">
        <f>SUMPRODUCT(MMULT('M2'!$M11:$AZ11,'M1'!AK$10:AK$49))</f>
        <v/>
      </c>
      <c r="AL11" s="97">
        <f>SUMPRODUCT(MMULT('M2'!$M11:$AZ11,'M1'!AL$10:AL$49))</f>
        <v/>
      </c>
      <c r="AM11" s="97">
        <f>SUMPRODUCT(MMULT('M2'!$M11:$AZ11,'M1'!AM$10:AM$49))</f>
        <v/>
      </c>
      <c r="AN11" s="97">
        <f>SUMPRODUCT(MMULT('M2'!$M11:$AZ11,'M1'!AN$10:AN$49))</f>
        <v/>
      </c>
      <c r="AO11" s="97">
        <f>SUMPRODUCT(MMULT('M2'!$M11:$AZ11,'M1'!AO$10:AO$49))</f>
        <v/>
      </c>
      <c r="AP11" s="97">
        <f>SUMPRODUCT(MMULT('M2'!$M11:$AZ11,'M1'!AP$10:AP$49))</f>
        <v/>
      </c>
      <c r="AQ11" s="97">
        <f>SUMPRODUCT(MMULT('M2'!$M11:$AZ11,'M1'!AQ$10:AQ$49))</f>
        <v/>
      </c>
      <c r="AR11" s="97">
        <f>SUMPRODUCT(MMULT('M2'!$M11:$AZ11,'M1'!AR$10:AR$49))</f>
        <v/>
      </c>
      <c r="AS11" s="97">
        <f>SUMPRODUCT(MMULT('M2'!$M11:$AZ11,'M1'!AS$10:AS$49))</f>
        <v/>
      </c>
      <c r="AT11" s="97">
        <f>SUMPRODUCT(MMULT('M2'!$M11:$AZ11,'M1'!AT$10:AT$49))</f>
        <v/>
      </c>
      <c r="AU11" s="97">
        <f>SUMPRODUCT(MMULT('M2'!$M11:$AZ11,'M1'!AU$10:AU$49))</f>
        <v/>
      </c>
      <c r="AV11" s="97">
        <f>SUMPRODUCT(MMULT('M2'!$M11:$AZ11,'M1'!AV$10:AV$49))</f>
        <v/>
      </c>
      <c r="AW11" s="97">
        <f>SUMPRODUCT(MMULT('M2'!$M11:$AZ11,'M1'!AW$10:AW$49))</f>
        <v/>
      </c>
      <c r="AX11" s="97">
        <f>SUMPRODUCT(MMULT('M2'!$M11:$AZ11,'M1'!AX$10:AX$49))</f>
        <v/>
      </c>
      <c r="AY11" s="97">
        <f>SUMPRODUCT(MMULT('M2'!$M11:$AZ11,'M1'!AY$10:AY$49))</f>
        <v/>
      </c>
      <c r="AZ11" s="97">
        <f>SUMPRODUCT(MMULT('M2'!$M11:$AZ11,'M1'!AZ$10:AZ$49))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SUMPRODUCT(MMULT('M2'!$M12:$AZ12,'M1'!M$10:M$49))</f>
        <v/>
      </c>
      <c r="N12" s="97">
        <f>SUMPRODUCT(MMULT('M2'!$M12:$AZ12,'M1'!N$10:N$49))</f>
        <v/>
      </c>
      <c r="O12" s="97">
        <f>SUMPRODUCT(MMULT('M2'!$M12:$AZ12,'M1'!O$10:O$49))</f>
        <v/>
      </c>
      <c r="P12" s="97">
        <f>SUMPRODUCT(MMULT('M2'!$M12:$AZ12,'M1'!P$10:P$49))</f>
        <v/>
      </c>
      <c r="Q12" s="97">
        <f>SUMPRODUCT(MMULT('M2'!$M12:$AZ12,'M1'!Q$10:Q$49))</f>
        <v/>
      </c>
      <c r="R12" s="97">
        <f>SUMPRODUCT(MMULT('M2'!$M12:$AZ12,'M1'!R$10:R$49))</f>
        <v/>
      </c>
      <c r="S12" s="97">
        <f>SUMPRODUCT(MMULT('M2'!$M12:$AZ12,'M1'!S$10:S$49))</f>
        <v/>
      </c>
      <c r="T12" s="97">
        <f>SUMPRODUCT(MMULT('M2'!$M12:$AZ12,'M1'!T$10:T$49))</f>
        <v/>
      </c>
      <c r="U12" s="97">
        <f>SUMPRODUCT(MMULT('M2'!$M12:$AZ12,'M1'!U$10:U$49))</f>
        <v/>
      </c>
      <c r="V12" s="97">
        <f>SUMPRODUCT(MMULT('M2'!$M12:$AZ12,'M1'!V$10:V$49))</f>
        <v/>
      </c>
      <c r="W12" s="97">
        <f>SUMPRODUCT(MMULT('M2'!$M12:$AZ12,'M1'!W$10:W$49))</f>
        <v/>
      </c>
      <c r="X12" s="97">
        <f>SUMPRODUCT(MMULT('M2'!$M12:$AZ12,'M1'!X$10:X$49))</f>
        <v/>
      </c>
      <c r="Y12" s="97">
        <f>SUMPRODUCT(MMULT('M2'!$M12:$AZ12,'M1'!Y$10:Y$49))</f>
        <v/>
      </c>
      <c r="Z12" s="97">
        <f>SUMPRODUCT(MMULT('M2'!$M12:$AZ12,'M1'!Z$10:Z$49))</f>
        <v/>
      </c>
      <c r="AA12" s="97">
        <f>SUMPRODUCT(MMULT('M2'!$M12:$AZ12,'M1'!AA$10:AA$49))</f>
        <v/>
      </c>
      <c r="AB12" s="97">
        <f>SUMPRODUCT(MMULT('M2'!$M12:$AZ12,'M1'!AB$10:AB$49))</f>
        <v/>
      </c>
      <c r="AC12" s="97">
        <f>SUMPRODUCT(MMULT('M2'!$M12:$AZ12,'M1'!AC$10:AC$49))</f>
        <v/>
      </c>
      <c r="AD12" s="97">
        <f>SUMPRODUCT(MMULT('M2'!$M12:$AZ12,'M1'!AD$10:AD$49))</f>
        <v/>
      </c>
      <c r="AE12" s="97">
        <f>SUMPRODUCT(MMULT('M2'!$M12:$AZ12,'M1'!AE$10:AE$49))</f>
        <v/>
      </c>
      <c r="AF12" s="97">
        <f>SUMPRODUCT(MMULT('M2'!$M12:$AZ12,'M1'!AF$10:AF$49))</f>
        <v/>
      </c>
      <c r="AG12" s="97">
        <f>SUMPRODUCT(MMULT('M2'!$M12:$AZ12,'M1'!AG$10:AG$49))</f>
        <v/>
      </c>
      <c r="AH12" s="97">
        <f>SUMPRODUCT(MMULT('M2'!$M12:$AZ12,'M1'!AH$10:AH$49))</f>
        <v/>
      </c>
      <c r="AI12" s="97">
        <f>SUMPRODUCT(MMULT('M2'!$M12:$AZ12,'M1'!AI$10:AI$49))</f>
        <v/>
      </c>
      <c r="AJ12" s="97">
        <f>SUMPRODUCT(MMULT('M2'!$M12:$AZ12,'M1'!AJ$10:AJ$49))</f>
        <v/>
      </c>
      <c r="AK12" s="97">
        <f>SUMPRODUCT(MMULT('M2'!$M12:$AZ12,'M1'!AK$10:AK$49))</f>
        <v/>
      </c>
      <c r="AL12" s="97">
        <f>SUMPRODUCT(MMULT('M2'!$M12:$AZ12,'M1'!AL$10:AL$49))</f>
        <v/>
      </c>
      <c r="AM12" s="97">
        <f>SUMPRODUCT(MMULT('M2'!$M12:$AZ12,'M1'!AM$10:AM$49))</f>
        <v/>
      </c>
      <c r="AN12" s="97">
        <f>SUMPRODUCT(MMULT('M2'!$M12:$AZ12,'M1'!AN$10:AN$49))</f>
        <v/>
      </c>
      <c r="AO12" s="97">
        <f>SUMPRODUCT(MMULT('M2'!$M12:$AZ12,'M1'!AO$10:AO$49))</f>
        <v/>
      </c>
      <c r="AP12" s="97">
        <f>SUMPRODUCT(MMULT('M2'!$M12:$AZ12,'M1'!AP$10:AP$49))</f>
        <v/>
      </c>
      <c r="AQ12" s="97">
        <f>SUMPRODUCT(MMULT('M2'!$M12:$AZ12,'M1'!AQ$10:AQ$49))</f>
        <v/>
      </c>
      <c r="AR12" s="97">
        <f>SUMPRODUCT(MMULT('M2'!$M12:$AZ12,'M1'!AR$10:AR$49))</f>
        <v/>
      </c>
      <c r="AS12" s="97">
        <f>SUMPRODUCT(MMULT('M2'!$M12:$AZ12,'M1'!AS$10:AS$49))</f>
        <v/>
      </c>
      <c r="AT12" s="97">
        <f>SUMPRODUCT(MMULT('M2'!$M12:$AZ12,'M1'!AT$10:AT$49))</f>
        <v/>
      </c>
      <c r="AU12" s="97">
        <f>SUMPRODUCT(MMULT('M2'!$M12:$AZ12,'M1'!AU$10:AU$49))</f>
        <v/>
      </c>
      <c r="AV12" s="97">
        <f>SUMPRODUCT(MMULT('M2'!$M12:$AZ12,'M1'!AV$10:AV$49))</f>
        <v/>
      </c>
      <c r="AW12" s="97">
        <f>SUMPRODUCT(MMULT('M2'!$M12:$AZ12,'M1'!AW$10:AW$49))</f>
        <v/>
      </c>
      <c r="AX12" s="97">
        <f>SUMPRODUCT(MMULT('M2'!$M12:$AZ12,'M1'!AX$10:AX$49))</f>
        <v/>
      </c>
      <c r="AY12" s="97">
        <f>SUMPRODUCT(MMULT('M2'!$M12:$AZ12,'M1'!AY$10:AY$49))</f>
        <v/>
      </c>
      <c r="AZ12" s="97">
        <f>SUMPRODUCT(MMULT('M2'!$M12:$AZ12,'M1'!AZ$10:AZ$49))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SUMPRODUCT(MMULT('M2'!$M13:$AZ13,'M1'!M$10:M$49))</f>
        <v/>
      </c>
      <c r="N13" s="97">
        <f>SUMPRODUCT(MMULT('M2'!$M13:$AZ13,'M1'!N$10:N$49))</f>
        <v/>
      </c>
      <c r="O13" s="97">
        <f>SUMPRODUCT(MMULT('M2'!$M13:$AZ13,'M1'!O$10:O$49))</f>
        <v/>
      </c>
      <c r="P13" s="97">
        <f>SUMPRODUCT(MMULT('M2'!$M13:$AZ13,'M1'!P$10:P$49))</f>
        <v/>
      </c>
      <c r="Q13" s="97">
        <f>SUMPRODUCT(MMULT('M2'!$M13:$AZ13,'M1'!Q$10:Q$49))</f>
        <v/>
      </c>
      <c r="R13" s="97">
        <f>SUMPRODUCT(MMULT('M2'!$M13:$AZ13,'M1'!R$10:R$49))</f>
        <v/>
      </c>
      <c r="S13" s="97">
        <f>SUMPRODUCT(MMULT('M2'!$M13:$AZ13,'M1'!S$10:S$49))</f>
        <v/>
      </c>
      <c r="T13" s="97">
        <f>SUMPRODUCT(MMULT('M2'!$M13:$AZ13,'M1'!T$10:T$49))</f>
        <v/>
      </c>
      <c r="U13" s="97">
        <f>SUMPRODUCT(MMULT('M2'!$M13:$AZ13,'M1'!U$10:U$49))</f>
        <v/>
      </c>
      <c r="V13" s="97">
        <f>SUMPRODUCT(MMULT('M2'!$M13:$AZ13,'M1'!V$10:V$49))</f>
        <v/>
      </c>
      <c r="W13" s="97">
        <f>SUMPRODUCT(MMULT('M2'!$M13:$AZ13,'M1'!W$10:W$49))</f>
        <v/>
      </c>
      <c r="X13" s="97">
        <f>SUMPRODUCT(MMULT('M2'!$M13:$AZ13,'M1'!X$10:X$49))</f>
        <v/>
      </c>
      <c r="Y13" s="97">
        <f>SUMPRODUCT(MMULT('M2'!$M13:$AZ13,'M1'!Y$10:Y$49))</f>
        <v/>
      </c>
      <c r="Z13" s="97">
        <f>SUMPRODUCT(MMULT('M2'!$M13:$AZ13,'M1'!Z$10:Z$49))</f>
        <v/>
      </c>
      <c r="AA13" s="97">
        <f>SUMPRODUCT(MMULT('M2'!$M13:$AZ13,'M1'!AA$10:AA$49))</f>
        <v/>
      </c>
      <c r="AB13" s="97">
        <f>SUMPRODUCT(MMULT('M2'!$M13:$AZ13,'M1'!AB$10:AB$49))</f>
        <v/>
      </c>
      <c r="AC13" s="97">
        <f>SUMPRODUCT(MMULT('M2'!$M13:$AZ13,'M1'!AC$10:AC$49))</f>
        <v/>
      </c>
      <c r="AD13" s="97">
        <f>SUMPRODUCT(MMULT('M2'!$M13:$AZ13,'M1'!AD$10:AD$49))</f>
        <v/>
      </c>
      <c r="AE13" s="97">
        <f>SUMPRODUCT(MMULT('M2'!$M13:$AZ13,'M1'!AE$10:AE$49))</f>
        <v/>
      </c>
      <c r="AF13" s="97">
        <f>SUMPRODUCT(MMULT('M2'!$M13:$AZ13,'M1'!AF$10:AF$49))</f>
        <v/>
      </c>
      <c r="AG13" s="97">
        <f>SUMPRODUCT(MMULT('M2'!$M13:$AZ13,'M1'!AG$10:AG$49))</f>
        <v/>
      </c>
      <c r="AH13" s="97">
        <f>SUMPRODUCT(MMULT('M2'!$M13:$AZ13,'M1'!AH$10:AH$49))</f>
        <v/>
      </c>
      <c r="AI13" s="97">
        <f>SUMPRODUCT(MMULT('M2'!$M13:$AZ13,'M1'!AI$10:AI$49))</f>
        <v/>
      </c>
      <c r="AJ13" s="97">
        <f>SUMPRODUCT(MMULT('M2'!$M13:$AZ13,'M1'!AJ$10:AJ$49))</f>
        <v/>
      </c>
      <c r="AK13" s="97">
        <f>SUMPRODUCT(MMULT('M2'!$M13:$AZ13,'M1'!AK$10:AK$49))</f>
        <v/>
      </c>
      <c r="AL13" s="97">
        <f>SUMPRODUCT(MMULT('M2'!$M13:$AZ13,'M1'!AL$10:AL$49))</f>
        <v/>
      </c>
      <c r="AM13" s="97">
        <f>SUMPRODUCT(MMULT('M2'!$M13:$AZ13,'M1'!AM$10:AM$49))</f>
        <v/>
      </c>
      <c r="AN13" s="97">
        <f>SUMPRODUCT(MMULT('M2'!$M13:$AZ13,'M1'!AN$10:AN$49))</f>
        <v/>
      </c>
      <c r="AO13" s="97">
        <f>SUMPRODUCT(MMULT('M2'!$M13:$AZ13,'M1'!AO$10:AO$49))</f>
        <v/>
      </c>
      <c r="AP13" s="97">
        <f>SUMPRODUCT(MMULT('M2'!$M13:$AZ13,'M1'!AP$10:AP$49))</f>
        <v/>
      </c>
      <c r="AQ13" s="97">
        <f>SUMPRODUCT(MMULT('M2'!$M13:$AZ13,'M1'!AQ$10:AQ$49))</f>
        <v/>
      </c>
      <c r="AR13" s="97">
        <f>SUMPRODUCT(MMULT('M2'!$M13:$AZ13,'M1'!AR$10:AR$49))</f>
        <v/>
      </c>
      <c r="AS13" s="97">
        <f>SUMPRODUCT(MMULT('M2'!$M13:$AZ13,'M1'!AS$10:AS$49))</f>
        <v/>
      </c>
      <c r="AT13" s="97">
        <f>SUMPRODUCT(MMULT('M2'!$M13:$AZ13,'M1'!AT$10:AT$49))</f>
        <v/>
      </c>
      <c r="AU13" s="97">
        <f>SUMPRODUCT(MMULT('M2'!$M13:$AZ13,'M1'!AU$10:AU$49))</f>
        <v/>
      </c>
      <c r="AV13" s="97">
        <f>SUMPRODUCT(MMULT('M2'!$M13:$AZ13,'M1'!AV$10:AV$49))</f>
        <v/>
      </c>
      <c r="AW13" s="97">
        <f>SUMPRODUCT(MMULT('M2'!$M13:$AZ13,'M1'!AW$10:AW$49))</f>
        <v/>
      </c>
      <c r="AX13" s="97">
        <f>SUMPRODUCT(MMULT('M2'!$M13:$AZ13,'M1'!AX$10:AX$49))</f>
        <v/>
      </c>
      <c r="AY13" s="97">
        <f>SUMPRODUCT(MMULT('M2'!$M13:$AZ13,'M1'!AY$10:AY$49))</f>
        <v/>
      </c>
      <c r="AZ13" s="97">
        <f>SUMPRODUCT(MMULT('M2'!$M13:$AZ13,'M1'!AZ$10:AZ$49))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SUMPRODUCT(MMULT('M2'!$M14:$AZ14,'M1'!M$10:M$49))</f>
        <v/>
      </c>
      <c r="N14" s="97">
        <f>SUMPRODUCT(MMULT('M2'!$M14:$AZ14,'M1'!N$10:N$49))</f>
        <v/>
      </c>
      <c r="O14" s="97">
        <f>SUMPRODUCT(MMULT('M2'!$M14:$AZ14,'M1'!O$10:O$49))</f>
        <v/>
      </c>
      <c r="P14" s="97">
        <f>SUMPRODUCT(MMULT('M2'!$M14:$AZ14,'M1'!P$10:P$49))</f>
        <v/>
      </c>
      <c r="Q14" s="97">
        <f>SUMPRODUCT(MMULT('M2'!$M14:$AZ14,'M1'!Q$10:Q$49))</f>
        <v/>
      </c>
      <c r="R14" s="97">
        <f>SUMPRODUCT(MMULT('M2'!$M14:$AZ14,'M1'!R$10:R$49))</f>
        <v/>
      </c>
      <c r="S14" s="97">
        <f>SUMPRODUCT(MMULT('M2'!$M14:$AZ14,'M1'!S$10:S$49))</f>
        <v/>
      </c>
      <c r="T14" s="97">
        <f>SUMPRODUCT(MMULT('M2'!$M14:$AZ14,'M1'!T$10:T$49))</f>
        <v/>
      </c>
      <c r="U14" s="97">
        <f>SUMPRODUCT(MMULT('M2'!$M14:$AZ14,'M1'!U$10:U$49))</f>
        <v/>
      </c>
      <c r="V14" s="97">
        <f>SUMPRODUCT(MMULT('M2'!$M14:$AZ14,'M1'!V$10:V$49))</f>
        <v/>
      </c>
      <c r="W14" s="97">
        <f>SUMPRODUCT(MMULT('M2'!$M14:$AZ14,'M1'!W$10:W$49))</f>
        <v/>
      </c>
      <c r="X14" s="97">
        <f>SUMPRODUCT(MMULT('M2'!$M14:$AZ14,'M1'!X$10:X$49))</f>
        <v/>
      </c>
      <c r="Y14" s="97">
        <f>SUMPRODUCT(MMULT('M2'!$M14:$AZ14,'M1'!Y$10:Y$49))</f>
        <v/>
      </c>
      <c r="Z14" s="97">
        <f>SUMPRODUCT(MMULT('M2'!$M14:$AZ14,'M1'!Z$10:Z$49))</f>
        <v/>
      </c>
      <c r="AA14" s="97">
        <f>SUMPRODUCT(MMULT('M2'!$M14:$AZ14,'M1'!AA$10:AA$49))</f>
        <v/>
      </c>
      <c r="AB14" s="97">
        <f>SUMPRODUCT(MMULT('M2'!$M14:$AZ14,'M1'!AB$10:AB$49))</f>
        <v/>
      </c>
      <c r="AC14" s="97">
        <f>SUMPRODUCT(MMULT('M2'!$M14:$AZ14,'M1'!AC$10:AC$49))</f>
        <v/>
      </c>
      <c r="AD14" s="97">
        <f>SUMPRODUCT(MMULT('M2'!$M14:$AZ14,'M1'!AD$10:AD$49))</f>
        <v/>
      </c>
      <c r="AE14" s="97">
        <f>SUMPRODUCT(MMULT('M2'!$M14:$AZ14,'M1'!AE$10:AE$49))</f>
        <v/>
      </c>
      <c r="AF14" s="97">
        <f>SUMPRODUCT(MMULT('M2'!$M14:$AZ14,'M1'!AF$10:AF$49))</f>
        <v/>
      </c>
      <c r="AG14" s="97">
        <f>SUMPRODUCT(MMULT('M2'!$M14:$AZ14,'M1'!AG$10:AG$49))</f>
        <v/>
      </c>
      <c r="AH14" s="97">
        <f>SUMPRODUCT(MMULT('M2'!$M14:$AZ14,'M1'!AH$10:AH$49))</f>
        <v/>
      </c>
      <c r="AI14" s="97">
        <f>SUMPRODUCT(MMULT('M2'!$M14:$AZ14,'M1'!AI$10:AI$49))</f>
        <v/>
      </c>
      <c r="AJ14" s="97">
        <f>SUMPRODUCT(MMULT('M2'!$M14:$AZ14,'M1'!AJ$10:AJ$49))</f>
        <v/>
      </c>
      <c r="AK14" s="97">
        <f>SUMPRODUCT(MMULT('M2'!$M14:$AZ14,'M1'!AK$10:AK$49))</f>
        <v/>
      </c>
      <c r="AL14" s="97">
        <f>SUMPRODUCT(MMULT('M2'!$M14:$AZ14,'M1'!AL$10:AL$49))</f>
        <v/>
      </c>
      <c r="AM14" s="97">
        <f>SUMPRODUCT(MMULT('M2'!$M14:$AZ14,'M1'!AM$10:AM$49))</f>
        <v/>
      </c>
      <c r="AN14" s="97">
        <f>SUMPRODUCT(MMULT('M2'!$M14:$AZ14,'M1'!AN$10:AN$49))</f>
        <v/>
      </c>
      <c r="AO14" s="97">
        <f>SUMPRODUCT(MMULT('M2'!$M14:$AZ14,'M1'!AO$10:AO$49))</f>
        <v/>
      </c>
      <c r="AP14" s="97">
        <f>SUMPRODUCT(MMULT('M2'!$M14:$AZ14,'M1'!AP$10:AP$49))</f>
        <v/>
      </c>
      <c r="AQ14" s="97">
        <f>SUMPRODUCT(MMULT('M2'!$M14:$AZ14,'M1'!AQ$10:AQ$49))</f>
        <v/>
      </c>
      <c r="AR14" s="97">
        <f>SUMPRODUCT(MMULT('M2'!$M14:$AZ14,'M1'!AR$10:AR$49))</f>
        <v/>
      </c>
      <c r="AS14" s="97">
        <f>SUMPRODUCT(MMULT('M2'!$M14:$AZ14,'M1'!AS$10:AS$49))</f>
        <v/>
      </c>
      <c r="AT14" s="97">
        <f>SUMPRODUCT(MMULT('M2'!$M14:$AZ14,'M1'!AT$10:AT$49))</f>
        <v/>
      </c>
      <c r="AU14" s="97">
        <f>SUMPRODUCT(MMULT('M2'!$M14:$AZ14,'M1'!AU$10:AU$49))</f>
        <v/>
      </c>
      <c r="AV14" s="97">
        <f>SUMPRODUCT(MMULT('M2'!$M14:$AZ14,'M1'!AV$10:AV$49))</f>
        <v/>
      </c>
      <c r="AW14" s="97">
        <f>SUMPRODUCT(MMULT('M2'!$M14:$AZ14,'M1'!AW$10:AW$49))</f>
        <v/>
      </c>
      <c r="AX14" s="97">
        <f>SUMPRODUCT(MMULT('M2'!$M14:$AZ14,'M1'!AX$10:AX$49))</f>
        <v/>
      </c>
      <c r="AY14" s="97">
        <f>SUMPRODUCT(MMULT('M2'!$M14:$AZ14,'M1'!AY$10:AY$49))</f>
        <v/>
      </c>
      <c r="AZ14" s="97">
        <f>SUMPRODUCT(MMULT('M2'!$M14:$AZ14,'M1'!AZ$10:AZ$49))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SUMPRODUCT(MMULT('M2'!$M15:$AZ15,'M1'!M$10:M$49))</f>
        <v/>
      </c>
      <c r="N15" s="97">
        <f>SUMPRODUCT(MMULT('M2'!$M15:$AZ15,'M1'!N$10:N$49))</f>
        <v/>
      </c>
      <c r="O15" s="97">
        <f>SUMPRODUCT(MMULT('M2'!$M15:$AZ15,'M1'!O$10:O$49))</f>
        <v/>
      </c>
      <c r="P15" s="97">
        <f>SUMPRODUCT(MMULT('M2'!$M15:$AZ15,'M1'!P$10:P$49))</f>
        <v/>
      </c>
      <c r="Q15" s="97">
        <f>SUMPRODUCT(MMULT('M2'!$M15:$AZ15,'M1'!Q$10:Q$49))</f>
        <v/>
      </c>
      <c r="R15" s="97">
        <f>SUMPRODUCT(MMULT('M2'!$M15:$AZ15,'M1'!R$10:R$49))</f>
        <v/>
      </c>
      <c r="S15" s="97">
        <f>SUMPRODUCT(MMULT('M2'!$M15:$AZ15,'M1'!S$10:S$49))</f>
        <v/>
      </c>
      <c r="T15" s="97">
        <f>SUMPRODUCT(MMULT('M2'!$M15:$AZ15,'M1'!T$10:T$49))</f>
        <v/>
      </c>
      <c r="U15" s="97">
        <f>SUMPRODUCT(MMULT('M2'!$M15:$AZ15,'M1'!U$10:U$49))</f>
        <v/>
      </c>
      <c r="V15" s="97">
        <f>SUMPRODUCT(MMULT('M2'!$M15:$AZ15,'M1'!V$10:V$49))</f>
        <v/>
      </c>
      <c r="W15" s="97">
        <f>SUMPRODUCT(MMULT('M2'!$M15:$AZ15,'M1'!W$10:W$49))</f>
        <v/>
      </c>
      <c r="X15" s="97">
        <f>SUMPRODUCT(MMULT('M2'!$M15:$AZ15,'M1'!X$10:X$49))</f>
        <v/>
      </c>
      <c r="Y15" s="97">
        <f>SUMPRODUCT(MMULT('M2'!$M15:$AZ15,'M1'!Y$10:Y$49))</f>
        <v/>
      </c>
      <c r="Z15" s="97">
        <f>SUMPRODUCT(MMULT('M2'!$M15:$AZ15,'M1'!Z$10:Z$49))</f>
        <v/>
      </c>
      <c r="AA15" s="97">
        <f>SUMPRODUCT(MMULT('M2'!$M15:$AZ15,'M1'!AA$10:AA$49))</f>
        <v/>
      </c>
      <c r="AB15" s="97">
        <f>SUMPRODUCT(MMULT('M2'!$M15:$AZ15,'M1'!AB$10:AB$49))</f>
        <v/>
      </c>
      <c r="AC15" s="97">
        <f>SUMPRODUCT(MMULT('M2'!$M15:$AZ15,'M1'!AC$10:AC$49))</f>
        <v/>
      </c>
      <c r="AD15" s="97">
        <f>SUMPRODUCT(MMULT('M2'!$M15:$AZ15,'M1'!AD$10:AD$49))</f>
        <v/>
      </c>
      <c r="AE15" s="97">
        <f>SUMPRODUCT(MMULT('M2'!$M15:$AZ15,'M1'!AE$10:AE$49))</f>
        <v/>
      </c>
      <c r="AF15" s="97">
        <f>SUMPRODUCT(MMULT('M2'!$M15:$AZ15,'M1'!AF$10:AF$49))</f>
        <v/>
      </c>
      <c r="AG15" s="97">
        <f>SUMPRODUCT(MMULT('M2'!$M15:$AZ15,'M1'!AG$10:AG$49))</f>
        <v/>
      </c>
      <c r="AH15" s="97">
        <f>SUMPRODUCT(MMULT('M2'!$M15:$AZ15,'M1'!AH$10:AH$49))</f>
        <v/>
      </c>
      <c r="AI15" s="97">
        <f>SUMPRODUCT(MMULT('M2'!$M15:$AZ15,'M1'!AI$10:AI$49))</f>
        <v/>
      </c>
      <c r="AJ15" s="97">
        <f>SUMPRODUCT(MMULT('M2'!$M15:$AZ15,'M1'!AJ$10:AJ$49))</f>
        <v/>
      </c>
      <c r="AK15" s="97">
        <f>SUMPRODUCT(MMULT('M2'!$M15:$AZ15,'M1'!AK$10:AK$49))</f>
        <v/>
      </c>
      <c r="AL15" s="97">
        <f>SUMPRODUCT(MMULT('M2'!$M15:$AZ15,'M1'!AL$10:AL$49))</f>
        <v/>
      </c>
      <c r="AM15" s="97">
        <f>SUMPRODUCT(MMULT('M2'!$M15:$AZ15,'M1'!AM$10:AM$49))</f>
        <v/>
      </c>
      <c r="AN15" s="97">
        <f>SUMPRODUCT(MMULT('M2'!$M15:$AZ15,'M1'!AN$10:AN$49))</f>
        <v/>
      </c>
      <c r="AO15" s="97">
        <f>SUMPRODUCT(MMULT('M2'!$M15:$AZ15,'M1'!AO$10:AO$49))</f>
        <v/>
      </c>
      <c r="AP15" s="97">
        <f>SUMPRODUCT(MMULT('M2'!$M15:$AZ15,'M1'!AP$10:AP$49))</f>
        <v/>
      </c>
      <c r="AQ15" s="97">
        <f>SUMPRODUCT(MMULT('M2'!$M15:$AZ15,'M1'!AQ$10:AQ$49))</f>
        <v/>
      </c>
      <c r="AR15" s="97">
        <f>SUMPRODUCT(MMULT('M2'!$M15:$AZ15,'M1'!AR$10:AR$49))</f>
        <v/>
      </c>
      <c r="AS15" s="97">
        <f>SUMPRODUCT(MMULT('M2'!$M15:$AZ15,'M1'!AS$10:AS$49))</f>
        <v/>
      </c>
      <c r="AT15" s="97">
        <f>SUMPRODUCT(MMULT('M2'!$M15:$AZ15,'M1'!AT$10:AT$49))</f>
        <v/>
      </c>
      <c r="AU15" s="97">
        <f>SUMPRODUCT(MMULT('M2'!$M15:$AZ15,'M1'!AU$10:AU$49))</f>
        <v/>
      </c>
      <c r="AV15" s="97">
        <f>SUMPRODUCT(MMULT('M2'!$M15:$AZ15,'M1'!AV$10:AV$49))</f>
        <v/>
      </c>
      <c r="AW15" s="97">
        <f>SUMPRODUCT(MMULT('M2'!$M15:$AZ15,'M1'!AW$10:AW$49))</f>
        <v/>
      </c>
      <c r="AX15" s="97">
        <f>SUMPRODUCT(MMULT('M2'!$M15:$AZ15,'M1'!AX$10:AX$49))</f>
        <v/>
      </c>
      <c r="AY15" s="97">
        <f>SUMPRODUCT(MMULT('M2'!$M15:$AZ15,'M1'!AY$10:AY$49))</f>
        <v/>
      </c>
      <c r="AZ15" s="97">
        <f>SUMPRODUCT(MMULT('M2'!$M15:$AZ15,'M1'!AZ$10:AZ$49))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SUMPRODUCT(MMULT('M2'!$M16:$AZ16,'M1'!M$10:M$49))</f>
        <v/>
      </c>
      <c r="N16" s="97">
        <f>SUMPRODUCT(MMULT('M2'!$M16:$AZ16,'M1'!N$10:N$49))</f>
        <v/>
      </c>
      <c r="O16" s="97">
        <f>SUMPRODUCT(MMULT('M2'!$M16:$AZ16,'M1'!O$10:O$49))</f>
        <v/>
      </c>
      <c r="P16" s="97">
        <f>SUMPRODUCT(MMULT('M2'!$M16:$AZ16,'M1'!P$10:P$49))</f>
        <v/>
      </c>
      <c r="Q16" s="97">
        <f>SUMPRODUCT(MMULT('M2'!$M16:$AZ16,'M1'!Q$10:Q$49))</f>
        <v/>
      </c>
      <c r="R16" s="97">
        <f>SUMPRODUCT(MMULT('M2'!$M16:$AZ16,'M1'!R$10:R$49))</f>
        <v/>
      </c>
      <c r="S16" s="97">
        <f>SUMPRODUCT(MMULT('M2'!$M16:$AZ16,'M1'!S$10:S$49))</f>
        <v/>
      </c>
      <c r="T16" s="97">
        <f>SUMPRODUCT(MMULT('M2'!$M16:$AZ16,'M1'!T$10:T$49))</f>
        <v/>
      </c>
      <c r="U16" s="97">
        <f>SUMPRODUCT(MMULT('M2'!$M16:$AZ16,'M1'!U$10:U$49))</f>
        <v/>
      </c>
      <c r="V16" s="97">
        <f>SUMPRODUCT(MMULT('M2'!$M16:$AZ16,'M1'!V$10:V$49))</f>
        <v/>
      </c>
      <c r="W16" s="97">
        <f>SUMPRODUCT(MMULT('M2'!$M16:$AZ16,'M1'!W$10:W$49))</f>
        <v/>
      </c>
      <c r="X16" s="97">
        <f>SUMPRODUCT(MMULT('M2'!$M16:$AZ16,'M1'!X$10:X$49))</f>
        <v/>
      </c>
      <c r="Y16" s="97">
        <f>SUMPRODUCT(MMULT('M2'!$M16:$AZ16,'M1'!Y$10:Y$49))</f>
        <v/>
      </c>
      <c r="Z16" s="97">
        <f>SUMPRODUCT(MMULT('M2'!$M16:$AZ16,'M1'!Z$10:Z$49))</f>
        <v/>
      </c>
      <c r="AA16" s="97">
        <f>SUMPRODUCT(MMULT('M2'!$M16:$AZ16,'M1'!AA$10:AA$49))</f>
        <v/>
      </c>
      <c r="AB16" s="97">
        <f>SUMPRODUCT(MMULT('M2'!$M16:$AZ16,'M1'!AB$10:AB$49))</f>
        <v/>
      </c>
      <c r="AC16" s="97">
        <f>SUMPRODUCT(MMULT('M2'!$M16:$AZ16,'M1'!AC$10:AC$49))</f>
        <v/>
      </c>
      <c r="AD16" s="97">
        <f>SUMPRODUCT(MMULT('M2'!$M16:$AZ16,'M1'!AD$10:AD$49))</f>
        <v/>
      </c>
      <c r="AE16" s="97">
        <f>SUMPRODUCT(MMULT('M2'!$M16:$AZ16,'M1'!AE$10:AE$49))</f>
        <v/>
      </c>
      <c r="AF16" s="97">
        <f>SUMPRODUCT(MMULT('M2'!$M16:$AZ16,'M1'!AF$10:AF$49))</f>
        <v/>
      </c>
      <c r="AG16" s="97">
        <f>SUMPRODUCT(MMULT('M2'!$M16:$AZ16,'M1'!AG$10:AG$49))</f>
        <v/>
      </c>
      <c r="AH16" s="97">
        <f>SUMPRODUCT(MMULT('M2'!$M16:$AZ16,'M1'!AH$10:AH$49))</f>
        <v/>
      </c>
      <c r="AI16" s="97">
        <f>SUMPRODUCT(MMULT('M2'!$M16:$AZ16,'M1'!AI$10:AI$49))</f>
        <v/>
      </c>
      <c r="AJ16" s="97">
        <f>SUMPRODUCT(MMULT('M2'!$M16:$AZ16,'M1'!AJ$10:AJ$49))</f>
        <v/>
      </c>
      <c r="AK16" s="97">
        <f>SUMPRODUCT(MMULT('M2'!$M16:$AZ16,'M1'!AK$10:AK$49))</f>
        <v/>
      </c>
      <c r="AL16" s="97">
        <f>SUMPRODUCT(MMULT('M2'!$M16:$AZ16,'M1'!AL$10:AL$49))</f>
        <v/>
      </c>
      <c r="AM16" s="97">
        <f>SUMPRODUCT(MMULT('M2'!$M16:$AZ16,'M1'!AM$10:AM$49))</f>
        <v/>
      </c>
      <c r="AN16" s="97">
        <f>SUMPRODUCT(MMULT('M2'!$M16:$AZ16,'M1'!AN$10:AN$49))</f>
        <v/>
      </c>
      <c r="AO16" s="97">
        <f>SUMPRODUCT(MMULT('M2'!$M16:$AZ16,'M1'!AO$10:AO$49))</f>
        <v/>
      </c>
      <c r="AP16" s="97">
        <f>SUMPRODUCT(MMULT('M2'!$M16:$AZ16,'M1'!AP$10:AP$49))</f>
        <v/>
      </c>
      <c r="AQ16" s="97">
        <f>SUMPRODUCT(MMULT('M2'!$M16:$AZ16,'M1'!AQ$10:AQ$49))</f>
        <v/>
      </c>
      <c r="AR16" s="97">
        <f>SUMPRODUCT(MMULT('M2'!$M16:$AZ16,'M1'!AR$10:AR$49))</f>
        <v/>
      </c>
      <c r="AS16" s="97">
        <f>SUMPRODUCT(MMULT('M2'!$M16:$AZ16,'M1'!AS$10:AS$49))</f>
        <v/>
      </c>
      <c r="AT16" s="97">
        <f>SUMPRODUCT(MMULT('M2'!$M16:$AZ16,'M1'!AT$10:AT$49))</f>
        <v/>
      </c>
      <c r="AU16" s="97">
        <f>SUMPRODUCT(MMULT('M2'!$M16:$AZ16,'M1'!AU$10:AU$49))</f>
        <v/>
      </c>
      <c r="AV16" s="97">
        <f>SUMPRODUCT(MMULT('M2'!$M16:$AZ16,'M1'!AV$10:AV$49))</f>
        <v/>
      </c>
      <c r="AW16" s="97">
        <f>SUMPRODUCT(MMULT('M2'!$M16:$AZ16,'M1'!AW$10:AW$49))</f>
        <v/>
      </c>
      <c r="AX16" s="97">
        <f>SUMPRODUCT(MMULT('M2'!$M16:$AZ16,'M1'!AX$10:AX$49))</f>
        <v/>
      </c>
      <c r="AY16" s="97">
        <f>SUMPRODUCT(MMULT('M2'!$M16:$AZ16,'M1'!AY$10:AY$49))</f>
        <v/>
      </c>
      <c r="AZ16" s="97">
        <f>SUMPRODUCT(MMULT('M2'!$M16:$AZ16,'M1'!AZ$10:AZ$49))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SUMPRODUCT(MMULT('M2'!$M17:$AZ17,'M1'!M$10:M$49))</f>
        <v/>
      </c>
      <c r="N17" s="97">
        <f>SUMPRODUCT(MMULT('M2'!$M17:$AZ17,'M1'!N$10:N$49))</f>
        <v/>
      </c>
      <c r="O17" s="97">
        <f>SUMPRODUCT(MMULT('M2'!$M17:$AZ17,'M1'!O$10:O$49))</f>
        <v/>
      </c>
      <c r="P17" s="97">
        <f>SUMPRODUCT(MMULT('M2'!$M17:$AZ17,'M1'!P$10:P$49))</f>
        <v/>
      </c>
      <c r="Q17" s="97">
        <f>SUMPRODUCT(MMULT('M2'!$M17:$AZ17,'M1'!Q$10:Q$49))</f>
        <v/>
      </c>
      <c r="R17" s="97">
        <f>SUMPRODUCT(MMULT('M2'!$M17:$AZ17,'M1'!R$10:R$49))</f>
        <v/>
      </c>
      <c r="S17" s="97">
        <f>SUMPRODUCT(MMULT('M2'!$M17:$AZ17,'M1'!S$10:S$49))</f>
        <v/>
      </c>
      <c r="T17" s="97">
        <f>SUMPRODUCT(MMULT('M2'!$M17:$AZ17,'M1'!T$10:T$49))</f>
        <v/>
      </c>
      <c r="U17" s="97">
        <f>SUMPRODUCT(MMULT('M2'!$M17:$AZ17,'M1'!U$10:U$49))</f>
        <v/>
      </c>
      <c r="V17" s="97">
        <f>SUMPRODUCT(MMULT('M2'!$M17:$AZ17,'M1'!V$10:V$49))</f>
        <v/>
      </c>
      <c r="W17" s="97">
        <f>SUMPRODUCT(MMULT('M2'!$M17:$AZ17,'M1'!W$10:W$49))</f>
        <v/>
      </c>
      <c r="X17" s="97">
        <f>SUMPRODUCT(MMULT('M2'!$M17:$AZ17,'M1'!X$10:X$49))</f>
        <v/>
      </c>
      <c r="Y17" s="97">
        <f>SUMPRODUCT(MMULT('M2'!$M17:$AZ17,'M1'!Y$10:Y$49))</f>
        <v/>
      </c>
      <c r="Z17" s="97">
        <f>SUMPRODUCT(MMULT('M2'!$M17:$AZ17,'M1'!Z$10:Z$49))</f>
        <v/>
      </c>
      <c r="AA17" s="97">
        <f>SUMPRODUCT(MMULT('M2'!$M17:$AZ17,'M1'!AA$10:AA$49))</f>
        <v/>
      </c>
      <c r="AB17" s="97">
        <f>SUMPRODUCT(MMULT('M2'!$M17:$AZ17,'M1'!AB$10:AB$49))</f>
        <v/>
      </c>
      <c r="AC17" s="97">
        <f>SUMPRODUCT(MMULT('M2'!$M17:$AZ17,'M1'!AC$10:AC$49))</f>
        <v/>
      </c>
      <c r="AD17" s="97">
        <f>SUMPRODUCT(MMULT('M2'!$M17:$AZ17,'M1'!AD$10:AD$49))</f>
        <v/>
      </c>
      <c r="AE17" s="97">
        <f>SUMPRODUCT(MMULT('M2'!$M17:$AZ17,'M1'!AE$10:AE$49))</f>
        <v/>
      </c>
      <c r="AF17" s="97">
        <f>SUMPRODUCT(MMULT('M2'!$M17:$AZ17,'M1'!AF$10:AF$49))</f>
        <v/>
      </c>
      <c r="AG17" s="97">
        <f>SUMPRODUCT(MMULT('M2'!$M17:$AZ17,'M1'!AG$10:AG$49))</f>
        <v/>
      </c>
      <c r="AH17" s="97">
        <f>SUMPRODUCT(MMULT('M2'!$M17:$AZ17,'M1'!AH$10:AH$49))</f>
        <v/>
      </c>
      <c r="AI17" s="97">
        <f>SUMPRODUCT(MMULT('M2'!$M17:$AZ17,'M1'!AI$10:AI$49))</f>
        <v/>
      </c>
      <c r="AJ17" s="97">
        <f>SUMPRODUCT(MMULT('M2'!$M17:$AZ17,'M1'!AJ$10:AJ$49))</f>
        <v/>
      </c>
      <c r="AK17" s="97">
        <f>SUMPRODUCT(MMULT('M2'!$M17:$AZ17,'M1'!AK$10:AK$49))</f>
        <v/>
      </c>
      <c r="AL17" s="97">
        <f>SUMPRODUCT(MMULT('M2'!$M17:$AZ17,'M1'!AL$10:AL$49))</f>
        <v/>
      </c>
      <c r="AM17" s="97">
        <f>SUMPRODUCT(MMULT('M2'!$M17:$AZ17,'M1'!AM$10:AM$49))</f>
        <v/>
      </c>
      <c r="AN17" s="97">
        <f>SUMPRODUCT(MMULT('M2'!$M17:$AZ17,'M1'!AN$10:AN$49))</f>
        <v/>
      </c>
      <c r="AO17" s="97">
        <f>SUMPRODUCT(MMULT('M2'!$M17:$AZ17,'M1'!AO$10:AO$49))</f>
        <v/>
      </c>
      <c r="AP17" s="97">
        <f>SUMPRODUCT(MMULT('M2'!$M17:$AZ17,'M1'!AP$10:AP$49))</f>
        <v/>
      </c>
      <c r="AQ17" s="97">
        <f>SUMPRODUCT(MMULT('M2'!$M17:$AZ17,'M1'!AQ$10:AQ$49))</f>
        <v/>
      </c>
      <c r="AR17" s="97">
        <f>SUMPRODUCT(MMULT('M2'!$M17:$AZ17,'M1'!AR$10:AR$49))</f>
        <v/>
      </c>
      <c r="AS17" s="97">
        <f>SUMPRODUCT(MMULT('M2'!$M17:$AZ17,'M1'!AS$10:AS$49))</f>
        <v/>
      </c>
      <c r="AT17" s="97">
        <f>SUMPRODUCT(MMULT('M2'!$M17:$AZ17,'M1'!AT$10:AT$49))</f>
        <v/>
      </c>
      <c r="AU17" s="97">
        <f>SUMPRODUCT(MMULT('M2'!$M17:$AZ17,'M1'!AU$10:AU$49))</f>
        <v/>
      </c>
      <c r="AV17" s="97">
        <f>SUMPRODUCT(MMULT('M2'!$M17:$AZ17,'M1'!AV$10:AV$49))</f>
        <v/>
      </c>
      <c r="AW17" s="97">
        <f>SUMPRODUCT(MMULT('M2'!$M17:$AZ17,'M1'!AW$10:AW$49))</f>
        <v/>
      </c>
      <c r="AX17" s="97">
        <f>SUMPRODUCT(MMULT('M2'!$M17:$AZ17,'M1'!AX$10:AX$49))</f>
        <v/>
      </c>
      <c r="AY17" s="97">
        <f>SUMPRODUCT(MMULT('M2'!$M17:$AZ17,'M1'!AY$10:AY$49))</f>
        <v/>
      </c>
      <c r="AZ17" s="97">
        <f>SUMPRODUCT(MMULT('M2'!$M17:$AZ17,'M1'!AZ$10:AZ$49))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SUMPRODUCT(MMULT('M2'!$M18:$AZ18,'M1'!M$10:M$49))</f>
        <v/>
      </c>
      <c r="N18" s="97">
        <f>SUMPRODUCT(MMULT('M2'!$M18:$AZ18,'M1'!N$10:N$49))</f>
        <v/>
      </c>
      <c r="O18" s="97">
        <f>SUMPRODUCT(MMULT('M2'!$M18:$AZ18,'M1'!O$10:O$49))</f>
        <v/>
      </c>
      <c r="P18" s="97">
        <f>SUMPRODUCT(MMULT('M2'!$M18:$AZ18,'M1'!P$10:P$49))</f>
        <v/>
      </c>
      <c r="Q18" s="97">
        <f>SUMPRODUCT(MMULT('M2'!$M18:$AZ18,'M1'!Q$10:Q$49))</f>
        <v/>
      </c>
      <c r="R18" s="97">
        <f>SUMPRODUCT(MMULT('M2'!$M18:$AZ18,'M1'!R$10:R$49))</f>
        <v/>
      </c>
      <c r="S18" s="97">
        <f>SUMPRODUCT(MMULT('M2'!$M18:$AZ18,'M1'!S$10:S$49))</f>
        <v/>
      </c>
      <c r="T18" s="97">
        <f>SUMPRODUCT(MMULT('M2'!$M18:$AZ18,'M1'!T$10:T$49))</f>
        <v/>
      </c>
      <c r="U18" s="97">
        <f>SUMPRODUCT(MMULT('M2'!$M18:$AZ18,'M1'!U$10:U$49))</f>
        <v/>
      </c>
      <c r="V18" s="97">
        <f>SUMPRODUCT(MMULT('M2'!$M18:$AZ18,'M1'!V$10:V$49))</f>
        <v/>
      </c>
      <c r="W18" s="97">
        <f>SUMPRODUCT(MMULT('M2'!$M18:$AZ18,'M1'!W$10:W$49))</f>
        <v/>
      </c>
      <c r="X18" s="97">
        <f>SUMPRODUCT(MMULT('M2'!$M18:$AZ18,'M1'!X$10:X$49))</f>
        <v/>
      </c>
      <c r="Y18" s="97">
        <f>SUMPRODUCT(MMULT('M2'!$M18:$AZ18,'M1'!Y$10:Y$49))</f>
        <v/>
      </c>
      <c r="Z18" s="97">
        <f>SUMPRODUCT(MMULT('M2'!$M18:$AZ18,'M1'!Z$10:Z$49))</f>
        <v/>
      </c>
      <c r="AA18" s="97">
        <f>SUMPRODUCT(MMULT('M2'!$M18:$AZ18,'M1'!AA$10:AA$49))</f>
        <v/>
      </c>
      <c r="AB18" s="97">
        <f>SUMPRODUCT(MMULT('M2'!$M18:$AZ18,'M1'!AB$10:AB$49))</f>
        <v/>
      </c>
      <c r="AC18" s="97">
        <f>SUMPRODUCT(MMULT('M2'!$M18:$AZ18,'M1'!AC$10:AC$49))</f>
        <v/>
      </c>
      <c r="AD18" s="97">
        <f>SUMPRODUCT(MMULT('M2'!$M18:$AZ18,'M1'!AD$10:AD$49))</f>
        <v/>
      </c>
      <c r="AE18" s="97">
        <f>SUMPRODUCT(MMULT('M2'!$M18:$AZ18,'M1'!AE$10:AE$49))</f>
        <v/>
      </c>
      <c r="AF18" s="97">
        <f>SUMPRODUCT(MMULT('M2'!$M18:$AZ18,'M1'!AF$10:AF$49))</f>
        <v/>
      </c>
      <c r="AG18" s="97">
        <f>SUMPRODUCT(MMULT('M2'!$M18:$AZ18,'M1'!AG$10:AG$49))</f>
        <v/>
      </c>
      <c r="AH18" s="97">
        <f>SUMPRODUCT(MMULT('M2'!$M18:$AZ18,'M1'!AH$10:AH$49))</f>
        <v/>
      </c>
      <c r="AI18" s="97">
        <f>SUMPRODUCT(MMULT('M2'!$M18:$AZ18,'M1'!AI$10:AI$49))</f>
        <v/>
      </c>
      <c r="AJ18" s="97">
        <f>SUMPRODUCT(MMULT('M2'!$M18:$AZ18,'M1'!AJ$10:AJ$49))</f>
        <v/>
      </c>
      <c r="AK18" s="97">
        <f>SUMPRODUCT(MMULT('M2'!$M18:$AZ18,'M1'!AK$10:AK$49))</f>
        <v/>
      </c>
      <c r="AL18" s="97">
        <f>SUMPRODUCT(MMULT('M2'!$M18:$AZ18,'M1'!AL$10:AL$49))</f>
        <v/>
      </c>
      <c r="AM18" s="97">
        <f>SUMPRODUCT(MMULT('M2'!$M18:$AZ18,'M1'!AM$10:AM$49))</f>
        <v/>
      </c>
      <c r="AN18" s="97">
        <f>SUMPRODUCT(MMULT('M2'!$M18:$AZ18,'M1'!AN$10:AN$49))</f>
        <v/>
      </c>
      <c r="AO18" s="97">
        <f>SUMPRODUCT(MMULT('M2'!$M18:$AZ18,'M1'!AO$10:AO$49))</f>
        <v/>
      </c>
      <c r="AP18" s="97">
        <f>SUMPRODUCT(MMULT('M2'!$M18:$AZ18,'M1'!AP$10:AP$49))</f>
        <v/>
      </c>
      <c r="AQ18" s="97">
        <f>SUMPRODUCT(MMULT('M2'!$M18:$AZ18,'M1'!AQ$10:AQ$49))</f>
        <v/>
      </c>
      <c r="AR18" s="97">
        <f>SUMPRODUCT(MMULT('M2'!$M18:$AZ18,'M1'!AR$10:AR$49))</f>
        <v/>
      </c>
      <c r="AS18" s="97">
        <f>SUMPRODUCT(MMULT('M2'!$M18:$AZ18,'M1'!AS$10:AS$49))</f>
        <v/>
      </c>
      <c r="AT18" s="97">
        <f>SUMPRODUCT(MMULT('M2'!$M18:$AZ18,'M1'!AT$10:AT$49))</f>
        <v/>
      </c>
      <c r="AU18" s="97">
        <f>SUMPRODUCT(MMULT('M2'!$M18:$AZ18,'M1'!AU$10:AU$49))</f>
        <v/>
      </c>
      <c r="AV18" s="97">
        <f>SUMPRODUCT(MMULT('M2'!$M18:$AZ18,'M1'!AV$10:AV$49))</f>
        <v/>
      </c>
      <c r="AW18" s="97">
        <f>SUMPRODUCT(MMULT('M2'!$M18:$AZ18,'M1'!AW$10:AW$49))</f>
        <v/>
      </c>
      <c r="AX18" s="97">
        <f>SUMPRODUCT(MMULT('M2'!$M18:$AZ18,'M1'!AX$10:AX$49))</f>
        <v/>
      </c>
      <c r="AY18" s="97">
        <f>SUMPRODUCT(MMULT('M2'!$M18:$AZ18,'M1'!AY$10:AY$49))</f>
        <v/>
      </c>
      <c r="AZ18" s="97">
        <f>SUMPRODUCT(MMULT('M2'!$M18:$AZ18,'M1'!AZ$10:AZ$49))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SUMPRODUCT(MMULT('M2'!$M19:$AZ19,'M1'!M$10:M$49))</f>
        <v/>
      </c>
      <c r="N19" s="97">
        <f>SUMPRODUCT(MMULT('M2'!$M19:$AZ19,'M1'!N$10:N$49))</f>
        <v/>
      </c>
      <c r="O19" s="97">
        <f>SUMPRODUCT(MMULT('M2'!$M19:$AZ19,'M1'!O$10:O$49))</f>
        <v/>
      </c>
      <c r="P19" s="97">
        <f>SUMPRODUCT(MMULT('M2'!$M19:$AZ19,'M1'!P$10:P$49))</f>
        <v/>
      </c>
      <c r="Q19" s="97">
        <f>SUMPRODUCT(MMULT('M2'!$M19:$AZ19,'M1'!Q$10:Q$49))</f>
        <v/>
      </c>
      <c r="R19" s="97">
        <f>SUMPRODUCT(MMULT('M2'!$M19:$AZ19,'M1'!R$10:R$49))</f>
        <v/>
      </c>
      <c r="S19" s="97">
        <f>SUMPRODUCT(MMULT('M2'!$M19:$AZ19,'M1'!S$10:S$49))</f>
        <v/>
      </c>
      <c r="T19" s="97">
        <f>SUMPRODUCT(MMULT('M2'!$M19:$AZ19,'M1'!T$10:T$49))</f>
        <v/>
      </c>
      <c r="U19" s="97">
        <f>SUMPRODUCT(MMULT('M2'!$M19:$AZ19,'M1'!U$10:U$49))</f>
        <v/>
      </c>
      <c r="V19" s="97">
        <f>SUMPRODUCT(MMULT('M2'!$M19:$AZ19,'M1'!V$10:V$49))</f>
        <v/>
      </c>
      <c r="W19" s="97">
        <f>SUMPRODUCT(MMULT('M2'!$M19:$AZ19,'M1'!W$10:W$49))</f>
        <v/>
      </c>
      <c r="X19" s="97">
        <f>SUMPRODUCT(MMULT('M2'!$M19:$AZ19,'M1'!X$10:X$49))</f>
        <v/>
      </c>
      <c r="Y19" s="97">
        <f>SUMPRODUCT(MMULT('M2'!$M19:$AZ19,'M1'!Y$10:Y$49))</f>
        <v/>
      </c>
      <c r="Z19" s="97">
        <f>SUMPRODUCT(MMULT('M2'!$M19:$AZ19,'M1'!Z$10:Z$49))</f>
        <v/>
      </c>
      <c r="AA19" s="97">
        <f>SUMPRODUCT(MMULT('M2'!$M19:$AZ19,'M1'!AA$10:AA$49))</f>
        <v/>
      </c>
      <c r="AB19" s="97">
        <f>SUMPRODUCT(MMULT('M2'!$M19:$AZ19,'M1'!AB$10:AB$49))</f>
        <v/>
      </c>
      <c r="AC19" s="97">
        <f>SUMPRODUCT(MMULT('M2'!$M19:$AZ19,'M1'!AC$10:AC$49))</f>
        <v/>
      </c>
      <c r="AD19" s="97">
        <f>SUMPRODUCT(MMULT('M2'!$M19:$AZ19,'M1'!AD$10:AD$49))</f>
        <v/>
      </c>
      <c r="AE19" s="97">
        <f>SUMPRODUCT(MMULT('M2'!$M19:$AZ19,'M1'!AE$10:AE$49))</f>
        <v/>
      </c>
      <c r="AF19" s="97">
        <f>SUMPRODUCT(MMULT('M2'!$M19:$AZ19,'M1'!AF$10:AF$49))</f>
        <v/>
      </c>
      <c r="AG19" s="97">
        <f>SUMPRODUCT(MMULT('M2'!$M19:$AZ19,'M1'!AG$10:AG$49))</f>
        <v/>
      </c>
      <c r="AH19" s="97">
        <f>SUMPRODUCT(MMULT('M2'!$M19:$AZ19,'M1'!AH$10:AH$49))</f>
        <v/>
      </c>
      <c r="AI19" s="97">
        <f>SUMPRODUCT(MMULT('M2'!$M19:$AZ19,'M1'!AI$10:AI$49))</f>
        <v/>
      </c>
      <c r="AJ19" s="97">
        <f>SUMPRODUCT(MMULT('M2'!$M19:$AZ19,'M1'!AJ$10:AJ$49))</f>
        <v/>
      </c>
      <c r="AK19" s="97">
        <f>SUMPRODUCT(MMULT('M2'!$M19:$AZ19,'M1'!AK$10:AK$49))</f>
        <v/>
      </c>
      <c r="AL19" s="97">
        <f>SUMPRODUCT(MMULT('M2'!$M19:$AZ19,'M1'!AL$10:AL$49))</f>
        <v/>
      </c>
      <c r="AM19" s="97">
        <f>SUMPRODUCT(MMULT('M2'!$M19:$AZ19,'M1'!AM$10:AM$49))</f>
        <v/>
      </c>
      <c r="AN19" s="97">
        <f>SUMPRODUCT(MMULT('M2'!$M19:$AZ19,'M1'!AN$10:AN$49))</f>
        <v/>
      </c>
      <c r="AO19" s="97">
        <f>SUMPRODUCT(MMULT('M2'!$M19:$AZ19,'M1'!AO$10:AO$49))</f>
        <v/>
      </c>
      <c r="AP19" s="97">
        <f>SUMPRODUCT(MMULT('M2'!$M19:$AZ19,'M1'!AP$10:AP$49))</f>
        <v/>
      </c>
      <c r="AQ19" s="97">
        <f>SUMPRODUCT(MMULT('M2'!$M19:$AZ19,'M1'!AQ$10:AQ$49))</f>
        <v/>
      </c>
      <c r="AR19" s="97">
        <f>SUMPRODUCT(MMULT('M2'!$M19:$AZ19,'M1'!AR$10:AR$49))</f>
        <v/>
      </c>
      <c r="AS19" s="97">
        <f>SUMPRODUCT(MMULT('M2'!$M19:$AZ19,'M1'!AS$10:AS$49))</f>
        <v/>
      </c>
      <c r="AT19" s="97">
        <f>SUMPRODUCT(MMULT('M2'!$M19:$AZ19,'M1'!AT$10:AT$49))</f>
        <v/>
      </c>
      <c r="AU19" s="97">
        <f>SUMPRODUCT(MMULT('M2'!$M19:$AZ19,'M1'!AU$10:AU$49))</f>
        <v/>
      </c>
      <c r="AV19" s="97">
        <f>SUMPRODUCT(MMULT('M2'!$M19:$AZ19,'M1'!AV$10:AV$49))</f>
        <v/>
      </c>
      <c r="AW19" s="97">
        <f>SUMPRODUCT(MMULT('M2'!$M19:$AZ19,'M1'!AW$10:AW$49))</f>
        <v/>
      </c>
      <c r="AX19" s="97">
        <f>SUMPRODUCT(MMULT('M2'!$M19:$AZ19,'M1'!AX$10:AX$49))</f>
        <v/>
      </c>
      <c r="AY19" s="97">
        <f>SUMPRODUCT(MMULT('M2'!$M19:$AZ19,'M1'!AY$10:AY$49))</f>
        <v/>
      </c>
      <c r="AZ19" s="97">
        <f>SUMPRODUCT(MMULT('M2'!$M19:$AZ19,'M1'!AZ$10:AZ$49))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SUMPRODUCT(MMULT('M2'!$M20:$AZ20,'M1'!M$10:M$49))</f>
        <v/>
      </c>
      <c r="N20" s="97">
        <f>SUMPRODUCT(MMULT('M2'!$M20:$AZ20,'M1'!N$10:N$49))</f>
        <v/>
      </c>
      <c r="O20" s="97">
        <f>SUMPRODUCT(MMULT('M2'!$M20:$AZ20,'M1'!O$10:O$49))</f>
        <v/>
      </c>
      <c r="P20" s="97">
        <f>SUMPRODUCT(MMULT('M2'!$M20:$AZ20,'M1'!P$10:P$49))</f>
        <v/>
      </c>
      <c r="Q20" s="97">
        <f>SUMPRODUCT(MMULT('M2'!$M20:$AZ20,'M1'!Q$10:Q$49))</f>
        <v/>
      </c>
      <c r="R20" s="97">
        <f>SUMPRODUCT(MMULT('M2'!$M20:$AZ20,'M1'!R$10:R$49))</f>
        <v/>
      </c>
      <c r="S20" s="97">
        <f>SUMPRODUCT(MMULT('M2'!$M20:$AZ20,'M1'!S$10:S$49))</f>
        <v/>
      </c>
      <c r="T20" s="97">
        <f>SUMPRODUCT(MMULT('M2'!$M20:$AZ20,'M1'!T$10:T$49))</f>
        <v/>
      </c>
      <c r="U20" s="97">
        <f>SUMPRODUCT(MMULT('M2'!$M20:$AZ20,'M1'!U$10:U$49))</f>
        <v/>
      </c>
      <c r="V20" s="97">
        <f>SUMPRODUCT(MMULT('M2'!$M20:$AZ20,'M1'!V$10:V$49))</f>
        <v/>
      </c>
      <c r="W20" s="97">
        <f>SUMPRODUCT(MMULT('M2'!$M20:$AZ20,'M1'!W$10:W$49))</f>
        <v/>
      </c>
      <c r="X20" s="97">
        <f>SUMPRODUCT(MMULT('M2'!$M20:$AZ20,'M1'!X$10:X$49))</f>
        <v/>
      </c>
      <c r="Y20" s="97">
        <f>SUMPRODUCT(MMULT('M2'!$M20:$AZ20,'M1'!Y$10:Y$49))</f>
        <v/>
      </c>
      <c r="Z20" s="97">
        <f>SUMPRODUCT(MMULT('M2'!$M20:$AZ20,'M1'!Z$10:Z$49))</f>
        <v/>
      </c>
      <c r="AA20" s="97">
        <f>SUMPRODUCT(MMULT('M2'!$M20:$AZ20,'M1'!AA$10:AA$49))</f>
        <v/>
      </c>
      <c r="AB20" s="97">
        <f>SUMPRODUCT(MMULT('M2'!$M20:$AZ20,'M1'!AB$10:AB$49))</f>
        <v/>
      </c>
      <c r="AC20" s="97">
        <f>SUMPRODUCT(MMULT('M2'!$M20:$AZ20,'M1'!AC$10:AC$49))</f>
        <v/>
      </c>
      <c r="AD20" s="97">
        <f>SUMPRODUCT(MMULT('M2'!$M20:$AZ20,'M1'!AD$10:AD$49))</f>
        <v/>
      </c>
      <c r="AE20" s="97">
        <f>SUMPRODUCT(MMULT('M2'!$M20:$AZ20,'M1'!AE$10:AE$49))</f>
        <v/>
      </c>
      <c r="AF20" s="97">
        <f>SUMPRODUCT(MMULT('M2'!$M20:$AZ20,'M1'!AF$10:AF$49))</f>
        <v/>
      </c>
      <c r="AG20" s="97">
        <f>SUMPRODUCT(MMULT('M2'!$M20:$AZ20,'M1'!AG$10:AG$49))</f>
        <v/>
      </c>
      <c r="AH20" s="97">
        <f>SUMPRODUCT(MMULT('M2'!$M20:$AZ20,'M1'!AH$10:AH$49))</f>
        <v/>
      </c>
      <c r="AI20" s="97">
        <f>SUMPRODUCT(MMULT('M2'!$M20:$AZ20,'M1'!AI$10:AI$49))</f>
        <v/>
      </c>
      <c r="AJ20" s="97">
        <f>SUMPRODUCT(MMULT('M2'!$M20:$AZ20,'M1'!AJ$10:AJ$49))</f>
        <v/>
      </c>
      <c r="AK20" s="97">
        <f>SUMPRODUCT(MMULT('M2'!$M20:$AZ20,'M1'!AK$10:AK$49))</f>
        <v/>
      </c>
      <c r="AL20" s="97">
        <f>SUMPRODUCT(MMULT('M2'!$M20:$AZ20,'M1'!AL$10:AL$49))</f>
        <v/>
      </c>
      <c r="AM20" s="97">
        <f>SUMPRODUCT(MMULT('M2'!$M20:$AZ20,'M1'!AM$10:AM$49))</f>
        <v/>
      </c>
      <c r="AN20" s="97">
        <f>SUMPRODUCT(MMULT('M2'!$M20:$AZ20,'M1'!AN$10:AN$49))</f>
        <v/>
      </c>
      <c r="AO20" s="97">
        <f>SUMPRODUCT(MMULT('M2'!$M20:$AZ20,'M1'!AO$10:AO$49))</f>
        <v/>
      </c>
      <c r="AP20" s="97">
        <f>SUMPRODUCT(MMULT('M2'!$M20:$AZ20,'M1'!AP$10:AP$49))</f>
        <v/>
      </c>
      <c r="AQ20" s="97">
        <f>SUMPRODUCT(MMULT('M2'!$M20:$AZ20,'M1'!AQ$10:AQ$49))</f>
        <v/>
      </c>
      <c r="AR20" s="97">
        <f>SUMPRODUCT(MMULT('M2'!$M20:$AZ20,'M1'!AR$10:AR$49))</f>
        <v/>
      </c>
      <c r="AS20" s="97">
        <f>SUMPRODUCT(MMULT('M2'!$M20:$AZ20,'M1'!AS$10:AS$49))</f>
        <v/>
      </c>
      <c r="AT20" s="97">
        <f>SUMPRODUCT(MMULT('M2'!$M20:$AZ20,'M1'!AT$10:AT$49))</f>
        <v/>
      </c>
      <c r="AU20" s="97">
        <f>SUMPRODUCT(MMULT('M2'!$M20:$AZ20,'M1'!AU$10:AU$49))</f>
        <v/>
      </c>
      <c r="AV20" s="97">
        <f>SUMPRODUCT(MMULT('M2'!$M20:$AZ20,'M1'!AV$10:AV$49))</f>
        <v/>
      </c>
      <c r="AW20" s="97">
        <f>SUMPRODUCT(MMULT('M2'!$M20:$AZ20,'M1'!AW$10:AW$49))</f>
        <v/>
      </c>
      <c r="AX20" s="97">
        <f>SUMPRODUCT(MMULT('M2'!$M20:$AZ20,'M1'!AX$10:AX$49))</f>
        <v/>
      </c>
      <c r="AY20" s="97">
        <f>SUMPRODUCT(MMULT('M2'!$M20:$AZ20,'M1'!AY$10:AY$49))</f>
        <v/>
      </c>
      <c r="AZ20" s="97">
        <f>SUMPRODUCT(MMULT('M2'!$M20:$AZ20,'M1'!AZ$10:AZ$49))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SUMPRODUCT(MMULT('M2'!$M21:$AZ21,'M1'!M$10:M$49))</f>
        <v/>
      </c>
      <c r="N21" s="97">
        <f>SUMPRODUCT(MMULT('M2'!$M21:$AZ21,'M1'!N$10:N$49))</f>
        <v/>
      </c>
      <c r="O21" s="97">
        <f>SUMPRODUCT(MMULT('M2'!$M21:$AZ21,'M1'!O$10:O$49))</f>
        <v/>
      </c>
      <c r="P21" s="97">
        <f>SUMPRODUCT(MMULT('M2'!$M21:$AZ21,'M1'!P$10:P$49))</f>
        <v/>
      </c>
      <c r="Q21" s="97">
        <f>SUMPRODUCT(MMULT('M2'!$M21:$AZ21,'M1'!Q$10:Q$49))</f>
        <v/>
      </c>
      <c r="R21" s="97">
        <f>SUMPRODUCT(MMULT('M2'!$M21:$AZ21,'M1'!R$10:R$49))</f>
        <v/>
      </c>
      <c r="S21" s="97">
        <f>SUMPRODUCT(MMULT('M2'!$M21:$AZ21,'M1'!S$10:S$49))</f>
        <v/>
      </c>
      <c r="T21" s="97">
        <f>SUMPRODUCT(MMULT('M2'!$M21:$AZ21,'M1'!T$10:T$49))</f>
        <v/>
      </c>
      <c r="U21" s="97">
        <f>SUMPRODUCT(MMULT('M2'!$M21:$AZ21,'M1'!U$10:U$49))</f>
        <v/>
      </c>
      <c r="V21" s="97">
        <f>SUMPRODUCT(MMULT('M2'!$M21:$AZ21,'M1'!V$10:V$49))</f>
        <v/>
      </c>
      <c r="W21" s="97">
        <f>SUMPRODUCT(MMULT('M2'!$M21:$AZ21,'M1'!W$10:W$49))</f>
        <v/>
      </c>
      <c r="X21" s="97">
        <f>SUMPRODUCT(MMULT('M2'!$M21:$AZ21,'M1'!X$10:X$49))</f>
        <v/>
      </c>
      <c r="Y21" s="97">
        <f>SUMPRODUCT(MMULT('M2'!$M21:$AZ21,'M1'!Y$10:Y$49))</f>
        <v/>
      </c>
      <c r="Z21" s="97">
        <f>SUMPRODUCT(MMULT('M2'!$M21:$AZ21,'M1'!Z$10:Z$49))</f>
        <v/>
      </c>
      <c r="AA21" s="97">
        <f>SUMPRODUCT(MMULT('M2'!$M21:$AZ21,'M1'!AA$10:AA$49))</f>
        <v/>
      </c>
      <c r="AB21" s="97">
        <f>SUMPRODUCT(MMULT('M2'!$M21:$AZ21,'M1'!AB$10:AB$49))</f>
        <v/>
      </c>
      <c r="AC21" s="97">
        <f>SUMPRODUCT(MMULT('M2'!$M21:$AZ21,'M1'!AC$10:AC$49))</f>
        <v/>
      </c>
      <c r="AD21" s="97">
        <f>SUMPRODUCT(MMULT('M2'!$M21:$AZ21,'M1'!AD$10:AD$49))</f>
        <v/>
      </c>
      <c r="AE21" s="97">
        <f>SUMPRODUCT(MMULT('M2'!$M21:$AZ21,'M1'!AE$10:AE$49))</f>
        <v/>
      </c>
      <c r="AF21" s="97">
        <f>SUMPRODUCT(MMULT('M2'!$M21:$AZ21,'M1'!AF$10:AF$49))</f>
        <v/>
      </c>
      <c r="AG21" s="97">
        <f>SUMPRODUCT(MMULT('M2'!$M21:$AZ21,'M1'!AG$10:AG$49))</f>
        <v/>
      </c>
      <c r="AH21" s="97">
        <f>SUMPRODUCT(MMULT('M2'!$M21:$AZ21,'M1'!AH$10:AH$49))</f>
        <v/>
      </c>
      <c r="AI21" s="97">
        <f>SUMPRODUCT(MMULT('M2'!$M21:$AZ21,'M1'!AI$10:AI$49))</f>
        <v/>
      </c>
      <c r="AJ21" s="97">
        <f>SUMPRODUCT(MMULT('M2'!$M21:$AZ21,'M1'!AJ$10:AJ$49))</f>
        <v/>
      </c>
      <c r="AK21" s="97">
        <f>SUMPRODUCT(MMULT('M2'!$M21:$AZ21,'M1'!AK$10:AK$49))</f>
        <v/>
      </c>
      <c r="AL21" s="97">
        <f>SUMPRODUCT(MMULT('M2'!$M21:$AZ21,'M1'!AL$10:AL$49))</f>
        <v/>
      </c>
      <c r="AM21" s="97">
        <f>SUMPRODUCT(MMULT('M2'!$M21:$AZ21,'M1'!AM$10:AM$49))</f>
        <v/>
      </c>
      <c r="AN21" s="97">
        <f>SUMPRODUCT(MMULT('M2'!$M21:$AZ21,'M1'!AN$10:AN$49))</f>
        <v/>
      </c>
      <c r="AO21" s="97">
        <f>SUMPRODUCT(MMULT('M2'!$M21:$AZ21,'M1'!AO$10:AO$49))</f>
        <v/>
      </c>
      <c r="AP21" s="97">
        <f>SUMPRODUCT(MMULT('M2'!$M21:$AZ21,'M1'!AP$10:AP$49))</f>
        <v/>
      </c>
      <c r="AQ21" s="97">
        <f>SUMPRODUCT(MMULT('M2'!$M21:$AZ21,'M1'!AQ$10:AQ$49))</f>
        <v/>
      </c>
      <c r="AR21" s="97">
        <f>SUMPRODUCT(MMULT('M2'!$M21:$AZ21,'M1'!AR$10:AR$49))</f>
        <v/>
      </c>
      <c r="AS21" s="97">
        <f>SUMPRODUCT(MMULT('M2'!$M21:$AZ21,'M1'!AS$10:AS$49))</f>
        <v/>
      </c>
      <c r="AT21" s="97">
        <f>SUMPRODUCT(MMULT('M2'!$M21:$AZ21,'M1'!AT$10:AT$49))</f>
        <v/>
      </c>
      <c r="AU21" s="97">
        <f>SUMPRODUCT(MMULT('M2'!$M21:$AZ21,'M1'!AU$10:AU$49))</f>
        <v/>
      </c>
      <c r="AV21" s="97">
        <f>SUMPRODUCT(MMULT('M2'!$M21:$AZ21,'M1'!AV$10:AV$49))</f>
        <v/>
      </c>
      <c r="AW21" s="97">
        <f>SUMPRODUCT(MMULT('M2'!$M21:$AZ21,'M1'!AW$10:AW$49))</f>
        <v/>
      </c>
      <c r="AX21" s="97">
        <f>SUMPRODUCT(MMULT('M2'!$M21:$AZ21,'M1'!AX$10:AX$49))</f>
        <v/>
      </c>
      <c r="AY21" s="97">
        <f>SUMPRODUCT(MMULT('M2'!$M21:$AZ21,'M1'!AY$10:AY$49))</f>
        <v/>
      </c>
      <c r="AZ21" s="97">
        <f>SUMPRODUCT(MMULT('M2'!$M21:$AZ21,'M1'!AZ$10:AZ$49))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SUMPRODUCT(MMULT('M2'!$M22:$AZ22,'M1'!M$10:M$49))</f>
        <v/>
      </c>
      <c r="N22" s="97">
        <f>SUMPRODUCT(MMULT('M2'!$M22:$AZ22,'M1'!N$10:N$49))</f>
        <v/>
      </c>
      <c r="O22" s="97">
        <f>SUMPRODUCT(MMULT('M2'!$M22:$AZ22,'M1'!O$10:O$49))</f>
        <v/>
      </c>
      <c r="P22" s="97">
        <f>SUMPRODUCT(MMULT('M2'!$M22:$AZ22,'M1'!P$10:P$49))</f>
        <v/>
      </c>
      <c r="Q22" s="97">
        <f>SUMPRODUCT(MMULT('M2'!$M22:$AZ22,'M1'!Q$10:Q$49))</f>
        <v/>
      </c>
      <c r="R22" s="97">
        <f>SUMPRODUCT(MMULT('M2'!$M22:$AZ22,'M1'!R$10:R$49))</f>
        <v/>
      </c>
      <c r="S22" s="97">
        <f>SUMPRODUCT(MMULT('M2'!$M22:$AZ22,'M1'!S$10:S$49))</f>
        <v/>
      </c>
      <c r="T22" s="97">
        <f>SUMPRODUCT(MMULT('M2'!$M22:$AZ22,'M1'!T$10:T$49))</f>
        <v/>
      </c>
      <c r="U22" s="97">
        <f>SUMPRODUCT(MMULT('M2'!$M22:$AZ22,'M1'!U$10:U$49))</f>
        <v/>
      </c>
      <c r="V22" s="97">
        <f>SUMPRODUCT(MMULT('M2'!$M22:$AZ22,'M1'!V$10:V$49))</f>
        <v/>
      </c>
      <c r="W22" s="97">
        <f>SUMPRODUCT(MMULT('M2'!$M22:$AZ22,'M1'!W$10:W$49))</f>
        <v/>
      </c>
      <c r="X22" s="97">
        <f>SUMPRODUCT(MMULT('M2'!$M22:$AZ22,'M1'!X$10:X$49))</f>
        <v/>
      </c>
      <c r="Y22" s="97">
        <f>SUMPRODUCT(MMULT('M2'!$M22:$AZ22,'M1'!Y$10:Y$49))</f>
        <v/>
      </c>
      <c r="Z22" s="97">
        <f>SUMPRODUCT(MMULT('M2'!$M22:$AZ22,'M1'!Z$10:Z$49))</f>
        <v/>
      </c>
      <c r="AA22" s="97">
        <f>SUMPRODUCT(MMULT('M2'!$M22:$AZ22,'M1'!AA$10:AA$49))</f>
        <v/>
      </c>
      <c r="AB22" s="97">
        <f>SUMPRODUCT(MMULT('M2'!$M22:$AZ22,'M1'!AB$10:AB$49))</f>
        <v/>
      </c>
      <c r="AC22" s="97">
        <f>SUMPRODUCT(MMULT('M2'!$M22:$AZ22,'M1'!AC$10:AC$49))</f>
        <v/>
      </c>
      <c r="AD22" s="97">
        <f>SUMPRODUCT(MMULT('M2'!$M22:$AZ22,'M1'!AD$10:AD$49))</f>
        <v/>
      </c>
      <c r="AE22" s="97">
        <f>SUMPRODUCT(MMULT('M2'!$M22:$AZ22,'M1'!AE$10:AE$49))</f>
        <v/>
      </c>
      <c r="AF22" s="97">
        <f>SUMPRODUCT(MMULT('M2'!$M22:$AZ22,'M1'!AF$10:AF$49))</f>
        <v/>
      </c>
      <c r="AG22" s="97">
        <f>SUMPRODUCT(MMULT('M2'!$M22:$AZ22,'M1'!AG$10:AG$49))</f>
        <v/>
      </c>
      <c r="AH22" s="97">
        <f>SUMPRODUCT(MMULT('M2'!$M22:$AZ22,'M1'!AH$10:AH$49))</f>
        <v/>
      </c>
      <c r="AI22" s="97">
        <f>SUMPRODUCT(MMULT('M2'!$M22:$AZ22,'M1'!AI$10:AI$49))</f>
        <v/>
      </c>
      <c r="AJ22" s="97">
        <f>SUMPRODUCT(MMULT('M2'!$M22:$AZ22,'M1'!AJ$10:AJ$49))</f>
        <v/>
      </c>
      <c r="AK22" s="97">
        <f>SUMPRODUCT(MMULT('M2'!$M22:$AZ22,'M1'!AK$10:AK$49))</f>
        <v/>
      </c>
      <c r="AL22" s="97">
        <f>SUMPRODUCT(MMULT('M2'!$M22:$AZ22,'M1'!AL$10:AL$49))</f>
        <v/>
      </c>
      <c r="AM22" s="97">
        <f>SUMPRODUCT(MMULT('M2'!$M22:$AZ22,'M1'!AM$10:AM$49))</f>
        <v/>
      </c>
      <c r="AN22" s="97">
        <f>SUMPRODUCT(MMULT('M2'!$M22:$AZ22,'M1'!AN$10:AN$49))</f>
        <v/>
      </c>
      <c r="AO22" s="97">
        <f>SUMPRODUCT(MMULT('M2'!$M22:$AZ22,'M1'!AO$10:AO$49))</f>
        <v/>
      </c>
      <c r="AP22" s="97">
        <f>SUMPRODUCT(MMULT('M2'!$M22:$AZ22,'M1'!AP$10:AP$49))</f>
        <v/>
      </c>
      <c r="AQ22" s="97">
        <f>SUMPRODUCT(MMULT('M2'!$M22:$AZ22,'M1'!AQ$10:AQ$49))</f>
        <v/>
      </c>
      <c r="AR22" s="97">
        <f>SUMPRODUCT(MMULT('M2'!$M22:$AZ22,'M1'!AR$10:AR$49))</f>
        <v/>
      </c>
      <c r="AS22" s="97">
        <f>SUMPRODUCT(MMULT('M2'!$M22:$AZ22,'M1'!AS$10:AS$49))</f>
        <v/>
      </c>
      <c r="AT22" s="97">
        <f>SUMPRODUCT(MMULT('M2'!$M22:$AZ22,'M1'!AT$10:AT$49))</f>
        <v/>
      </c>
      <c r="AU22" s="97">
        <f>SUMPRODUCT(MMULT('M2'!$M22:$AZ22,'M1'!AU$10:AU$49))</f>
        <v/>
      </c>
      <c r="AV22" s="97">
        <f>SUMPRODUCT(MMULT('M2'!$M22:$AZ22,'M1'!AV$10:AV$49))</f>
        <v/>
      </c>
      <c r="AW22" s="97">
        <f>SUMPRODUCT(MMULT('M2'!$M22:$AZ22,'M1'!AW$10:AW$49))</f>
        <v/>
      </c>
      <c r="AX22" s="97">
        <f>SUMPRODUCT(MMULT('M2'!$M22:$AZ22,'M1'!AX$10:AX$49))</f>
        <v/>
      </c>
      <c r="AY22" s="97">
        <f>SUMPRODUCT(MMULT('M2'!$M22:$AZ22,'M1'!AY$10:AY$49))</f>
        <v/>
      </c>
      <c r="AZ22" s="97">
        <f>SUMPRODUCT(MMULT('M2'!$M22:$AZ22,'M1'!AZ$10:AZ$49))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SUMPRODUCT(MMULT('M2'!$M23:$AZ23,'M1'!M$10:M$49))</f>
        <v/>
      </c>
      <c r="N23" s="97">
        <f>SUMPRODUCT(MMULT('M2'!$M23:$AZ23,'M1'!N$10:N$49))</f>
        <v/>
      </c>
      <c r="O23" s="97">
        <f>SUMPRODUCT(MMULT('M2'!$M23:$AZ23,'M1'!O$10:O$49))</f>
        <v/>
      </c>
      <c r="P23" s="97">
        <f>SUMPRODUCT(MMULT('M2'!$M23:$AZ23,'M1'!P$10:P$49))</f>
        <v/>
      </c>
      <c r="Q23" s="97">
        <f>SUMPRODUCT(MMULT('M2'!$M23:$AZ23,'M1'!Q$10:Q$49))</f>
        <v/>
      </c>
      <c r="R23" s="97">
        <f>SUMPRODUCT(MMULT('M2'!$M23:$AZ23,'M1'!R$10:R$49))</f>
        <v/>
      </c>
      <c r="S23" s="97">
        <f>SUMPRODUCT(MMULT('M2'!$M23:$AZ23,'M1'!S$10:S$49))</f>
        <v/>
      </c>
      <c r="T23" s="97">
        <f>SUMPRODUCT(MMULT('M2'!$M23:$AZ23,'M1'!T$10:T$49))</f>
        <v/>
      </c>
      <c r="U23" s="97">
        <f>SUMPRODUCT(MMULT('M2'!$M23:$AZ23,'M1'!U$10:U$49))</f>
        <v/>
      </c>
      <c r="V23" s="97">
        <f>SUMPRODUCT(MMULT('M2'!$M23:$AZ23,'M1'!V$10:V$49))</f>
        <v/>
      </c>
      <c r="W23" s="97">
        <f>SUMPRODUCT(MMULT('M2'!$M23:$AZ23,'M1'!W$10:W$49))</f>
        <v/>
      </c>
      <c r="X23" s="97">
        <f>SUMPRODUCT(MMULT('M2'!$M23:$AZ23,'M1'!X$10:X$49))</f>
        <v/>
      </c>
      <c r="Y23" s="97">
        <f>SUMPRODUCT(MMULT('M2'!$M23:$AZ23,'M1'!Y$10:Y$49))</f>
        <v/>
      </c>
      <c r="Z23" s="97">
        <f>SUMPRODUCT(MMULT('M2'!$M23:$AZ23,'M1'!Z$10:Z$49))</f>
        <v/>
      </c>
      <c r="AA23" s="97">
        <f>SUMPRODUCT(MMULT('M2'!$M23:$AZ23,'M1'!AA$10:AA$49))</f>
        <v/>
      </c>
      <c r="AB23" s="97">
        <f>SUMPRODUCT(MMULT('M2'!$M23:$AZ23,'M1'!AB$10:AB$49))</f>
        <v/>
      </c>
      <c r="AC23" s="97">
        <f>SUMPRODUCT(MMULT('M2'!$M23:$AZ23,'M1'!AC$10:AC$49))</f>
        <v/>
      </c>
      <c r="AD23" s="97">
        <f>SUMPRODUCT(MMULT('M2'!$M23:$AZ23,'M1'!AD$10:AD$49))</f>
        <v/>
      </c>
      <c r="AE23" s="97">
        <f>SUMPRODUCT(MMULT('M2'!$M23:$AZ23,'M1'!AE$10:AE$49))</f>
        <v/>
      </c>
      <c r="AF23" s="97">
        <f>SUMPRODUCT(MMULT('M2'!$M23:$AZ23,'M1'!AF$10:AF$49))</f>
        <v/>
      </c>
      <c r="AG23" s="97">
        <f>SUMPRODUCT(MMULT('M2'!$M23:$AZ23,'M1'!AG$10:AG$49))</f>
        <v/>
      </c>
      <c r="AH23" s="97">
        <f>SUMPRODUCT(MMULT('M2'!$M23:$AZ23,'M1'!AH$10:AH$49))</f>
        <v/>
      </c>
      <c r="AI23" s="97">
        <f>SUMPRODUCT(MMULT('M2'!$M23:$AZ23,'M1'!AI$10:AI$49))</f>
        <v/>
      </c>
      <c r="AJ23" s="97">
        <f>SUMPRODUCT(MMULT('M2'!$M23:$AZ23,'M1'!AJ$10:AJ$49))</f>
        <v/>
      </c>
      <c r="AK23" s="97">
        <f>SUMPRODUCT(MMULT('M2'!$M23:$AZ23,'M1'!AK$10:AK$49))</f>
        <v/>
      </c>
      <c r="AL23" s="97">
        <f>SUMPRODUCT(MMULT('M2'!$M23:$AZ23,'M1'!AL$10:AL$49))</f>
        <v/>
      </c>
      <c r="AM23" s="97">
        <f>SUMPRODUCT(MMULT('M2'!$M23:$AZ23,'M1'!AM$10:AM$49))</f>
        <v/>
      </c>
      <c r="AN23" s="97">
        <f>SUMPRODUCT(MMULT('M2'!$M23:$AZ23,'M1'!AN$10:AN$49))</f>
        <v/>
      </c>
      <c r="AO23" s="97">
        <f>SUMPRODUCT(MMULT('M2'!$M23:$AZ23,'M1'!AO$10:AO$49))</f>
        <v/>
      </c>
      <c r="AP23" s="97">
        <f>SUMPRODUCT(MMULT('M2'!$M23:$AZ23,'M1'!AP$10:AP$49))</f>
        <v/>
      </c>
      <c r="AQ23" s="97">
        <f>SUMPRODUCT(MMULT('M2'!$M23:$AZ23,'M1'!AQ$10:AQ$49))</f>
        <v/>
      </c>
      <c r="AR23" s="97">
        <f>SUMPRODUCT(MMULT('M2'!$M23:$AZ23,'M1'!AR$10:AR$49))</f>
        <v/>
      </c>
      <c r="AS23" s="97">
        <f>SUMPRODUCT(MMULT('M2'!$M23:$AZ23,'M1'!AS$10:AS$49))</f>
        <v/>
      </c>
      <c r="AT23" s="97">
        <f>SUMPRODUCT(MMULT('M2'!$M23:$AZ23,'M1'!AT$10:AT$49))</f>
        <v/>
      </c>
      <c r="AU23" s="97">
        <f>SUMPRODUCT(MMULT('M2'!$M23:$AZ23,'M1'!AU$10:AU$49))</f>
        <v/>
      </c>
      <c r="AV23" s="97">
        <f>SUMPRODUCT(MMULT('M2'!$M23:$AZ23,'M1'!AV$10:AV$49))</f>
        <v/>
      </c>
      <c r="AW23" s="97">
        <f>SUMPRODUCT(MMULT('M2'!$M23:$AZ23,'M1'!AW$10:AW$49))</f>
        <v/>
      </c>
      <c r="AX23" s="97">
        <f>SUMPRODUCT(MMULT('M2'!$M23:$AZ23,'M1'!AX$10:AX$49))</f>
        <v/>
      </c>
      <c r="AY23" s="97">
        <f>SUMPRODUCT(MMULT('M2'!$M23:$AZ23,'M1'!AY$10:AY$49))</f>
        <v/>
      </c>
      <c r="AZ23" s="97">
        <f>SUMPRODUCT(MMULT('M2'!$M23:$AZ23,'M1'!AZ$10:AZ$49))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SUMPRODUCT(MMULT('M2'!$M24:$AZ24,'M1'!M$10:M$49))</f>
        <v/>
      </c>
      <c r="N24" s="97">
        <f>SUMPRODUCT(MMULT('M2'!$M24:$AZ24,'M1'!N$10:N$49))</f>
        <v/>
      </c>
      <c r="O24" s="97">
        <f>SUMPRODUCT(MMULT('M2'!$M24:$AZ24,'M1'!O$10:O$49))</f>
        <v/>
      </c>
      <c r="P24" s="97">
        <f>SUMPRODUCT(MMULT('M2'!$M24:$AZ24,'M1'!P$10:P$49))</f>
        <v/>
      </c>
      <c r="Q24" s="97">
        <f>SUMPRODUCT(MMULT('M2'!$M24:$AZ24,'M1'!Q$10:Q$49))</f>
        <v/>
      </c>
      <c r="R24" s="97">
        <f>SUMPRODUCT(MMULT('M2'!$M24:$AZ24,'M1'!R$10:R$49))</f>
        <v/>
      </c>
      <c r="S24" s="97">
        <f>SUMPRODUCT(MMULT('M2'!$M24:$AZ24,'M1'!S$10:S$49))</f>
        <v/>
      </c>
      <c r="T24" s="97">
        <f>SUMPRODUCT(MMULT('M2'!$M24:$AZ24,'M1'!T$10:T$49))</f>
        <v/>
      </c>
      <c r="U24" s="97">
        <f>SUMPRODUCT(MMULT('M2'!$M24:$AZ24,'M1'!U$10:U$49))</f>
        <v/>
      </c>
      <c r="V24" s="97">
        <f>SUMPRODUCT(MMULT('M2'!$M24:$AZ24,'M1'!V$10:V$49))</f>
        <v/>
      </c>
      <c r="W24" s="97">
        <f>SUMPRODUCT(MMULT('M2'!$M24:$AZ24,'M1'!W$10:W$49))</f>
        <v/>
      </c>
      <c r="X24" s="97">
        <f>SUMPRODUCT(MMULT('M2'!$M24:$AZ24,'M1'!X$10:X$49))</f>
        <v/>
      </c>
      <c r="Y24" s="97">
        <f>SUMPRODUCT(MMULT('M2'!$M24:$AZ24,'M1'!Y$10:Y$49))</f>
        <v/>
      </c>
      <c r="Z24" s="97">
        <f>SUMPRODUCT(MMULT('M2'!$M24:$AZ24,'M1'!Z$10:Z$49))</f>
        <v/>
      </c>
      <c r="AA24" s="97">
        <f>SUMPRODUCT(MMULT('M2'!$M24:$AZ24,'M1'!AA$10:AA$49))</f>
        <v/>
      </c>
      <c r="AB24" s="97">
        <f>SUMPRODUCT(MMULT('M2'!$M24:$AZ24,'M1'!AB$10:AB$49))</f>
        <v/>
      </c>
      <c r="AC24" s="97">
        <f>SUMPRODUCT(MMULT('M2'!$M24:$AZ24,'M1'!AC$10:AC$49))</f>
        <v/>
      </c>
      <c r="AD24" s="97">
        <f>SUMPRODUCT(MMULT('M2'!$M24:$AZ24,'M1'!AD$10:AD$49))</f>
        <v/>
      </c>
      <c r="AE24" s="97">
        <f>SUMPRODUCT(MMULT('M2'!$M24:$AZ24,'M1'!AE$10:AE$49))</f>
        <v/>
      </c>
      <c r="AF24" s="97">
        <f>SUMPRODUCT(MMULT('M2'!$M24:$AZ24,'M1'!AF$10:AF$49))</f>
        <v/>
      </c>
      <c r="AG24" s="97">
        <f>SUMPRODUCT(MMULT('M2'!$M24:$AZ24,'M1'!AG$10:AG$49))</f>
        <v/>
      </c>
      <c r="AH24" s="97">
        <f>SUMPRODUCT(MMULT('M2'!$M24:$AZ24,'M1'!AH$10:AH$49))</f>
        <v/>
      </c>
      <c r="AI24" s="97">
        <f>SUMPRODUCT(MMULT('M2'!$M24:$AZ24,'M1'!AI$10:AI$49))</f>
        <v/>
      </c>
      <c r="AJ24" s="97">
        <f>SUMPRODUCT(MMULT('M2'!$M24:$AZ24,'M1'!AJ$10:AJ$49))</f>
        <v/>
      </c>
      <c r="AK24" s="97">
        <f>SUMPRODUCT(MMULT('M2'!$M24:$AZ24,'M1'!AK$10:AK$49))</f>
        <v/>
      </c>
      <c r="AL24" s="97">
        <f>SUMPRODUCT(MMULT('M2'!$M24:$AZ24,'M1'!AL$10:AL$49))</f>
        <v/>
      </c>
      <c r="AM24" s="97">
        <f>SUMPRODUCT(MMULT('M2'!$M24:$AZ24,'M1'!AM$10:AM$49))</f>
        <v/>
      </c>
      <c r="AN24" s="97">
        <f>SUMPRODUCT(MMULT('M2'!$M24:$AZ24,'M1'!AN$10:AN$49))</f>
        <v/>
      </c>
      <c r="AO24" s="97">
        <f>SUMPRODUCT(MMULT('M2'!$M24:$AZ24,'M1'!AO$10:AO$49))</f>
        <v/>
      </c>
      <c r="AP24" s="97">
        <f>SUMPRODUCT(MMULT('M2'!$M24:$AZ24,'M1'!AP$10:AP$49))</f>
        <v/>
      </c>
      <c r="AQ24" s="97">
        <f>SUMPRODUCT(MMULT('M2'!$M24:$AZ24,'M1'!AQ$10:AQ$49))</f>
        <v/>
      </c>
      <c r="AR24" s="97">
        <f>SUMPRODUCT(MMULT('M2'!$M24:$AZ24,'M1'!AR$10:AR$49))</f>
        <v/>
      </c>
      <c r="AS24" s="97">
        <f>SUMPRODUCT(MMULT('M2'!$M24:$AZ24,'M1'!AS$10:AS$49))</f>
        <v/>
      </c>
      <c r="AT24" s="97">
        <f>SUMPRODUCT(MMULT('M2'!$M24:$AZ24,'M1'!AT$10:AT$49))</f>
        <v/>
      </c>
      <c r="AU24" s="97">
        <f>SUMPRODUCT(MMULT('M2'!$M24:$AZ24,'M1'!AU$10:AU$49))</f>
        <v/>
      </c>
      <c r="AV24" s="97">
        <f>SUMPRODUCT(MMULT('M2'!$M24:$AZ24,'M1'!AV$10:AV$49))</f>
        <v/>
      </c>
      <c r="AW24" s="97">
        <f>SUMPRODUCT(MMULT('M2'!$M24:$AZ24,'M1'!AW$10:AW$49))</f>
        <v/>
      </c>
      <c r="AX24" s="97">
        <f>SUMPRODUCT(MMULT('M2'!$M24:$AZ24,'M1'!AX$10:AX$49))</f>
        <v/>
      </c>
      <c r="AY24" s="97">
        <f>SUMPRODUCT(MMULT('M2'!$M24:$AZ24,'M1'!AY$10:AY$49))</f>
        <v/>
      </c>
      <c r="AZ24" s="97">
        <f>SUMPRODUCT(MMULT('M2'!$M24:$AZ24,'M1'!AZ$10:AZ$49))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SUMPRODUCT(MMULT('M2'!$M25:$AZ25,'M1'!M$10:M$49))</f>
        <v/>
      </c>
      <c r="N25" s="97">
        <f>SUMPRODUCT(MMULT('M2'!$M25:$AZ25,'M1'!N$10:N$49))</f>
        <v/>
      </c>
      <c r="O25" s="97">
        <f>SUMPRODUCT(MMULT('M2'!$M25:$AZ25,'M1'!O$10:O$49))</f>
        <v/>
      </c>
      <c r="P25" s="97">
        <f>SUMPRODUCT(MMULT('M2'!$M25:$AZ25,'M1'!P$10:P$49))</f>
        <v/>
      </c>
      <c r="Q25" s="97">
        <f>SUMPRODUCT(MMULT('M2'!$M25:$AZ25,'M1'!Q$10:Q$49))</f>
        <v/>
      </c>
      <c r="R25" s="97">
        <f>SUMPRODUCT(MMULT('M2'!$M25:$AZ25,'M1'!R$10:R$49))</f>
        <v/>
      </c>
      <c r="S25" s="97">
        <f>SUMPRODUCT(MMULT('M2'!$M25:$AZ25,'M1'!S$10:S$49))</f>
        <v/>
      </c>
      <c r="T25" s="97">
        <f>SUMPRODUCT(MMULT('M2'!$M25:$AZ25,'M1'!T$10:T$49))</f>
        <v/>
      </c>
      <c r="U25" s="97">
        <f>SUMPRODUCT(MMULT('M2'!$M25:$AZ25,'M1'!U$10:U$49))</f>
        <v/>
      </c>
      <c r="V25" s="97">
        <f>SUMPRODUCT(MMULT('M2'!$M25:$AZ25,'M1'!V$10:V$49))</f>
        <v/>
      </c>
      <c r="W25" s="97">
        <f>SUMPRODUCT(MMULT('M2'!$M25:$AZ25,'M1'!W$10:W$49))</f>
        <v/>
      </c>
      <c r="X25" s="97">
        <f>SUMPRODUCT(MMULT('M2'!$M25:$AZ25,'M1'!X$10:X$49))</f>
        <v/>
      </c>
      <c r="Y25" s="97">
        <f>SUMPRODUCT(MMULT('M2'!$M25:$AZ25,'M1'!Y$10:Y$49))</f>
        <v/>
      </c>
      <c r="Z25" s="97">
        <f>SUMPRODUCT(MMULT('M2'!$M25:$AZ25,'M1'!Z$10:Z$49))</f>
        <v/>
      </c>
      <c r="AA25" s="97">
        <f>SUMPRODUCT(MMULT('M2'!$M25:$AZ25,'M1'!AA$10:AA$49))</f>
        <v/>
      </c>
      <c r="AB25" s="97">
        <f>SUMPRODUCT(MMULT('M2'!$M25:$AZ25,'M1'!AB$10:AB$49))</f>
        <v/>
      </c>
      <c r="AC25" s="97">
        <f>SUMPRODUCT(MMULT('M2'!$M25:$AZ25,'M1'!AC$10:AC$49))</f>
        <v/>
      </c>
      <c r="AD25" s="97">
        <f>SUMPRODUCT(MMULT('M2'!$M25:$AZ25,'M1'!AD$10:AD$49))</f>
        <v/>
      </c>
      <c r="AE25" s="97">
        <f>SUMPRODUCT(MMULT('M2'!$M25:$AZ25,'M1'!AE$10:AE$49))</f>
        <v/>
      </c>
      <c r="AF25" s="97">
        <f>SUMPRODUCT(MMULT('M2'!$M25:$AZ25,'M1'!AF$10:AF$49))</f>
        <v/>
      </c>
      <c r="AG25" s="97">
        <f>SUMPRODUCT(MMULT('M2'!$M25:$AZ25,'M1'!AG$10:AG$49))</f>
        <v/>
      </c>
      <c r="AH25" s="97">
        <f>SUMPRODUCT(MMULT('M2'!$M25:$AZ25,'M1'!AH$10:AH$49))</f>
        <v/>
      </c>
      <c r="AI25" s="97">
        <f>SUMPRODUCT(MMULT('M2'!$M25:$AZ25,'M1'!AI$10:AI$49))</f>
        <v/>
      </c>
      <c r="AJ25" s="97">
        <f>SUMPRODUCT(MMULT('M2'!$M25:$AZ25,'M1'!AJ$10:AJ$49))</f>
        <v/>
      </c>
      <c r="AK25" s="97">
        <f>SUMPRODUCT(MMULT('M2'!$M25:$AZ25,'M1'!AK$10:AK$49))</f>
        <v/>
      </c>
      <c r="AL25" s="97">
        <f>SUMPRODUCT(MMULT('M2'!$M25:$AZ25,'M1'!AL$10:AL$49))</f>
        <v/>
      </c>
      <c r="AM25" s="97">
        <f>SUMPRODUCT(MMULT('M2'!$M25:$AZ25,'M1'!AM$10:AM$49))</f>
        <v/>
      </c>
      <c r="AN25" s="97">
        <f>SUMPRODUCT(MMULT('M2'!$M25:$AZ25,'M1'!AN$10:AN$49))</f>
        <v/>
      </c>
      <c r="AO25" s="97">
        <f>SUMPRODUCT(MMULT('M2'!$M25:$AZ25,'M1'!AO$10:AO$49))</f>
        <v/>
      </c>
      <c r="AP25" s="97">
        <f>SUMPRODUCT(MMULT('M2'!$M25:$AZ25,'M1'!AP$10:AP$49))</f>
        <v/>
      </c>
      <c r="AQ25" s="97">
        <f>SUMPRODUCT(MMULT('M2'!$M25:$AZ25,'M1'!AQ$10:AQ$49))</f>
        <v/>
      </c>
      <c r="AR25" s="97">
        <f>SUMPRODUCT(MMULT('M2'!$M25:$AZ25,'M1'!AR$10:AR$49))</f>
        <v/>
      </c>
      <c r="AS25" s="97">
        <f>SUMPRODUCT(MMULT('M2'!$M25:$AZ25,'M1'!AS$10:AS$49))</f>
        <v/>
      </c>
      <c r="AT25" s="97">
        <f>SUMPRODUCT(MMULT('M2'!$M25:$AZ25,'M1'!AT$10:AT$49))</f>
        <v/>
      </c>
      <c r="AU25" s="97">
        <f>SUMPRODUCT(MMULT('M2'!$M25:$AZ25,'M1'!AU$10:AU$49))</f>
        <v/>
      </c>
      <c r="AV25" s="97">
        <f>SUMPRODUCT(MMULT('M2'!$M25:$AZ25,'M1'!AV$10:AV$49))</f>
        <v/>
      </c>
      <c r="AW25" s="97">
        <f>SUMPRODUCT(MMULT('M2'!$M25:$AZ25,'M1'!AW$10:AW$49))</f>
        <v/>
      </c>
      <c r="AX25" s="97">
        <f>SUMPRODUCT(MMULT('M2'!$M25:$AZ25,'M1'!AX$10:AX$49))</f>
        <v/>
      </c>
      <c r="AY25" s="97">
        <f>SUMPRODUCT(MMULT('M2'!$M25:$AZ25,'M1'!AY$10:AY$49))</f>
        <v/>
      </c>
      <c r="AZ25" s="97">
        <f>SUMPRODUCT(MMULT('M2'!$M25:$AZ25,'M1'!AZ$10:AZ$49))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SUMPRODUCT(MMULT('M2'!$M26:$AZ26,'M1'!M$10:M$49))</f>
        <v/>
      </c>
      <c r="N26" s="97">
        <f>SUMPRODUCT(MMULT('M2'!$M26:$AZ26,'M1'!N$10:N$49))</f>
        <v/>
      </c>
      <c r="O26" s="97">
        <f>SUMPRODUCT(MMULT('M2'!$M26:$AZ26,'M1'!O$10:O$49))</f>
        <v/>
      </c>
      <c r="P26" s="97">
        <f>SUMPRODUCT(MMULT('M2'!$M26:$AZ26,'M1'!P$10:P$49))</f>
        <v/>
      </c>
      <c r="Q26" s="97">
        <f>SUMPRODUCT(MMULT('M2'!$M26:$AZ26,'M1'!Q$10:Q$49))</f>
        <v/>
      </c>
      <c r="R26" s="97">
        <f>SUMPRODUCT(MMULT('M2'!$M26:$AZ26,'M1'!R$10:R$49))</f>
        <v/>
      </c>
      <c r="S26" s="97">
        <f>SUMPRODUCT(MMULT('M2'!$M26:$AZ26,'M1'!S$10:S$49))</f>
        <v/>
      </c>
      <c r="T26" s="97">
        <f>SUMPRODUCT(MMULT('M2'!$M26:$AZ26,'M1'!T$10:T$49))</f>
        <v/>
      </c>
      <c r="U26" s="97">
        <f>SUMPRODUCT(MMULT('M2'!$M26:$AZ26,'M1'!U$10:U$49))</f>
        <v/>
      </c>
      <c r="V26" s="97">
        <f>SUMPRODUCT(MMULT('M2'!$M26:$AZ26,'M1'!V$10:V$49))</f>
        <v/>
      </c>
      <c r="W26" s="97">
        <f>SUMPRODUCT(MMULT('M2'!$M26:$AZ26,'M1'!W$10:W$49))</f>
        <v/>
      </c>
      <c r="X26" s="97">
        <f>SUMPRODUCT(MMULT('M2'!$M26:$AZ26,'M1'!X$10:X$49))</f>
        <v/>
      </c>
      <c r="Y26" s="97">
        <f>SUMPRODUCT(MMULT('M2'!$M26:$AZ26,'M1'!Y$10:Y$49))</f>
        <v/>
      </c>
      <c r="Z26" s="97">
        <f>SUMPRODUCT(MMULT('M2'!$M26:$AZ26,'M1'!Z$10:Z$49))</f>
        <v/>
      </c>
      <c r="AA26" s="97">
        <f>SUMPRODUCT(MMULT('M2'!$M26:$AZ26,'M1'!AA$10:AA$49))</f>
        <v/>
      </c>
      <c r="AB26" s="97">
        <f>SUMPRODUCT(MMULT('M2'!$M26:$AZ26,'M1'!AB$10:AB$49))</f>
        <v/>
      </c>
      <c r="AC26" s="97">
        <f>SUMPRODUCT(MMULT('M2'!$M26:$AZ26,'M1'!AC$10:AC$49))</f>
        <v/>
      </c>
      <c r="AD26" s="97">
        <f>SUMPRODUCT(MMULT('M2'!$M26:$AZ26,'M1'!AD$10:AD$49))</f>
        <v/>
      </c>
      <c r="AE26" s="97">
        <f>SUMPRODUCT(MMULT('M2'!$M26:$AZ26,'M1'!AE$10:AE$49))</f>
        <v/>
      </c>
      <c r="AF26" s="97">
        <f>SUMPRODUCT(MMULT('M2'!$M26:$AZ26,'M1'!AF$10:AF$49))</f>
        <v/>
      </c>
      <c r="AG26" s="97">
        <f>SUMPRODUCT(MMULT('M2'!$M26:$AZ26,'M1'!AG$10:AG$49))</f>
        <v/>
      </c>
      <c r="AH26" s="97">
        <f>SUMPRODUCT(MMULT('M2'!$M26:$AZ26,'M1'!AH$10:AH$49))</f>
        <v/>
      </c>
      <c r="AI26" s="97">
        <f>SUMPRODUCT(MMULT('M2'!$M26:$AZ26,'M1'!AI$10:AI$49))</f>
        <v/>
      </c>
      <c r="AJ26" s="97">
        <f>SUMPRODUCT(MMULT('M2'!$M26:$AZ26,'M1'!AJ$10:AJ$49))</f>
        <v/>
      </c>
      <c r="AK26" s="97">
        <f>SUMPRODUCT(MMULT('M2'!$M26:$AZ26,'M1'!AK$10:AK$49))</f>
        <v/>
      </c>
      <c r="AL26" s="97">
        <f>SUMPRODUCT(MMULT('M2'!$M26:$AZ26,'M1'!AL$10:AL$49))</f>
        <v/>
      </c>
      <c r="AM26" s="97">
        <f>SUMPRODUCT(MMULT('M2'!$M26:$AZ26,'M1'!AM$10:AM$49))</f>
        <v/>
      </c>
      <c r="AN26" s="97">
        <f>SUMPRODUCT(MMULT('M2'!$M26:$AZ26,'M1'!AN$10:AN$49))</f>
        <v/>
      </c>
      <c r="AO26" s="97">
        <f>SUMPRODUCT(MMULT('M2'!$M26:$AZ26,'M1'!AO$10:AO$49))</f>
        <v/>
      </c>
      <c r="AP26" s="97">
        <f>SUMPRODUCT(MMULT('M2'!$M26:$AZ26,'M1'!AP$10:AP$49))</f>
        <v/>
      </c>
      <c r="AQ26" s="97">
        <f>SUMPRODUCT(MMULT('M2'!$M26:$AZ26,'M1'!AQ$10:AQ$49))</f>
        <v/>
      </c>
      <c r="AR26" s="97">
        <f>SUMPRODUCT(MMULT('M2'!$M26:$AZ26,'M1'!AR$10:AR$49))</f>
        <v/>
      </c>
      <c r="AS26" s="97">
        <f>SUMPRODUCT(MMULT('M2'!$M26:$AZ26,'M1'!AS$10:AS$49))</f>
        <v/>
      </c>
      <c r="AT26" s="97">
        <f>SUMPRODUCT(MMULT('M2'!$M26:$AZ26,'M1'!AT$10:AT$49))</f>
        <v/>
      </c>
      <c r="AU26" s="97">
        <f>SUMPRODUCT(MMULT('M2'!$M26:$AZ26,'M1'!AU$10:AU$49))</f>
        <v/>
      </c>
      <c r="AV26" s="97">
        <f>SUMPRODUCT(MMULT('M2'!$M26:$AZ26,'M1'!AV$10:AV$49))</f>
        <v/>
      </c>
      <c r="AW26" s="97">
        <f>SUMPRODUCT(MMULT('M2'!$M26:$AZ26,'M1'!AW$10:AW$49))</f>
        <v/>
      </c>
      <c r="AX26" s="97">
        <f>SUMPRODUCT(MMULT('M2'!$M26:$AZ26,'M1'!AX$10:AX$49))</f>
        <v/>
      </c>
      <c r="AY26" s="97">
        <f>SUMPRODUCT(MMULT('M2'!$M26:$AZ26,'M1'!AY$10:AY$49))</f>
        <v/>
      </c>
      <c r="AZ26" s="97">
        <f>SUMPRODUCT(MMULT('M2'!$M26:$AZ26,'M1'!AZ$10:AZ$49))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SUMPRODUCT(MMULT('M2'!$M27:$AZ27,'M1'!M$10:M$49))</f>
        <v/>
      </c>
      <c r="N27" s="97">
        <f>SUMPRODUCT(MMULT('M2'!$M27:$AZ27,'M1'!N$10:N$49))</f>
        <v/>
      </c>
      <c r="O27" s="97">
        <f>SUMPRODUCT(MMULT('M2'!$M27:$AZ27,'M1'!O$10:O$49))</f>
        <v/>
      </c>
      <c r="P27" s="97">
        <f>SUMPRODUCT(MMULT('M2'!$M27:$AZ27,'M1'!P$10:P$49))</f>
        <v/>
      </c>
      <c r="Q27" s="97">
        <f>SUMPRODUCT(MMULT('M2'!$M27:$AZ27,'M1'!Q$10:Q$49))</f>
        <v/>
      </c>
      <c r="R27" s="97">
        <f>SUMPRODUCT(MMULT('M2'!$M27:$AZ27,'M1'!R$10:R$49))</f>
        <v/>
      </c>
      <c r="S27" s="97">
        <f>SUMPRODUCT(MMULT('M2'!$M27:$AZ27,'M1'!S$10:S$49))</f>
        <v/>
      </c>
      <c r="T27" s="97">
        <f>SUMPRODUCT(MMULT('M2'!$M27:$AZ27,'M1'!T$10:T$49))</f>
        <v/>
      </c>
      <c r="U27" s="97">
        <f>SUMPRODUCT(MMULT('M2'!$M27:$AZ27,'M1'!U$10:U$49))</f>
        <v/>
      </c>
      <c r="V27" s="97">
        <f>SUMPRODUCT(MMULT('M2'!$M27:$AZ27,'M1'!V$10:V$49))</f>
        <v/>
      </c>
      <c r="W27" s="97">
        <f>SUMPRODUCT(MMULT('M2'!$M27:$AZ27,'M1'!W$10:W$49))</f>
        <v/>
      </c>
      <c r="X27" s="97">
        <f>SUMPRODUCT(MMULT('M2'!$M27:$AZ27,'M1'!X$10:X$49))</f>
        <v/>
      </c>
      <c r="Y27" s="97">
        <f>SUMPRODUCT(MMULT('M2'!$M27:$AZ27,'M1'!Y$10:Y$49))</f>
        <v/>
      </c>
      <c r="Z27" s="97">
        <f>SUMPRODUCT(MMULT('M2'!$M27:$AZ27,'M1'!Z$10:Z$49))</f>
        <v/>
      </c>
      <c r="AA27" s="97">
        <f>SUMPRODUCT(MMULT('M2'!$M27:$AZ27,'M1'!AA$10:AA$49))</f>
        <v/>
      </c>
      <c r="AB27" s="97">
        <f>SUMPRODUCT(MMULT('M2'!$M27:$AZ27,'M1'!AB$10:AB$49))</f>
        <v/>
      </c>
      <c r="AC27" s="97">
        <f>SUMPRODUCT(MMULT('M2'!$M27:$AZ27,'M1'!AC$10:AC$49))</f>
        <v/>
      </c>
      <c r="AD27" s="97">
        <f>SUMPRODUCT(MMULT('M2'!$M27:$AZ27,'M1'!AD$10:AD$49))</f>
        <v/>
      </c>
      <c r="AE27" s="97">
        <f>SUMPRODUCT(MMULT('M2'!$M27:$AZ27,'M1'!AE$10:AE$49))</f>
        <v/>
      </c>
      <c r="AF27" s="97">
        <f>SUMPRODUCT(MMULT('M2'!$M27:$AZ27,'M1'!AF$10:AF$49))</f>
        <v/>
      </c>
      <c r="AG27" s="97">
        <f>SUMPRODUCT(MMULT('M2'!$M27:$AZ27,'M1'!AG$10:AG$49))</f>
        <v/>
      </c>
      <c r="AH27" s="97">
        <f>SUMPRODUCT(MMULT('M2'!$M27:$AZ27,'M1'!AH$10:AH$49))</f>
        <v/>
      </c>
      <c r="AI27" s="97">
        <f>SUMPRODUCT(MMULT('M2'!$M27:$AZ27,'M1'!AI$10:AI$49))</f>
        <v/>
      </c>
      <c r="AJ27" s="97">
        <f>SUMPRODUCT(MMULT('M2'!$M27:$AZ27,'M1'!AJ$10:AJ$49))</f>
        <v/>
      </c>
      <c r="AK27" s="97">
        <f>SUMPRODUCT(MMULT('M2'!$M27:$AZ27,'M1'!AK$10:AK$49))</f>
        <v/>
      </c>
      <c r="AL27" s="97">
        <f>SUMPRODUCT(MMULT('M2'!$M27:$AZ27,'M1'!AL$10:AL$49))</f>
        <v/>
      </c>
      <c r="AM27" s="97">
        <f>SUMPRODUCT(MMULT('M2'!$M27:$AZ27,'M1'!AM$10:AM$49))</f>
        <v/>
      </c>
      <c r="AN27" s="97">
        <f>SUMPRODUCT(MMULT('M2'!$M27:$AZ27,'M1'!AN$10:AN$49))</f>
        <v/>
      </c>
      <c r="AO27" s="97">
        <f>SUMPRODUCT(MMULT('M2'!$M27:$AZ27,'M1'!AO$10:AO$49))</f>
        <v/>
      </c>
      <c r="AP27" s="97">
        <f>SUMPRODUCT(MMULT('M2'!$M27:$AZ27,'M1'!AP$10:AP$49))</f>
        <v/>
      </c>
      <c r="AQ27" s="97">
        <f>SUMPRODUCT(MMULT('M2'!$M27:$AZ27,'M1'!AQ$10:AQ$49))</f>
        <v/>
      </c>
      <c r="AR27" s="97">
        <f>SUMPRODUCT(MMULT('M2'!$M27:$AZ27,'M1'!AR$10:AR$49))</f>
        <v/>
      </c>
      <c r="AS27" s="97">
        <f>SUMPRODUCT(MMULT('M2'!$M27:$AZ27,'M1'!AS$10:AS$49))</f>
        <v/>
      </c>
      <c r="AT27" s="97">
        <f>SUMPRODUCT(MMULT('M2'!$M27:$AZ27,'M1'!AT$10:AT$49))</f>
        <v/>
      </c>
      <c r="AU27" s="97">
        <f>SUMPRODUCT(MMULT('M2'!$M27:$AZ27,'M1'!AU$10:AU$49))</f>
        <v/>
      </c>
      <c r="AV27" s="97">
        <f>SUMPRODUCT(MMULT('M2'!$M27:$AZ27,'M1'!AV$10:AV$49))</f>
        <v/>
      </c>
      <c r="AW27" s="97">
        <f>SUMPRODUCT(MMULT('M2'!$M27:$AZ27,'M1'!AW$10:AW$49))</f>
        <v/>
      </c>
      <c r="AX27" s="97">
        <f>SUMPRODUCT(MMULT('M2'!$M27:$AZ27,'M1'!AX$10:AX$49))</f>
        <v/>
      </c>
      <c r="AY27" s="97">
        <f>SUMPRODUCT(MMULT('M2'!$M27:$AZ27,'M1'!AY$10:AY$49))</f>
        <v/>
      </c>
      <c r="AZ27" s="97">
        <f>SUMPRODUCT(MMULT('M2'!$M27:$AZ27,'M1'!AZ$10:AZ$49))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SUMPRODUCT(MMULT('M2'!$M28:$AZ28,'M1'!M$10:M$49))</f>
        <v/>
      </c>
      <c r="N28" s="97">
        <f>SUMPRODUCT(MMULT('M2'!$M28:$AZ28,'M1'!N$10:N$49))</f>
        <v/>
      </c>
      <c r="O28" s="97">
        <f>SUMPRODUCT(MMULT('M2'!$M28:$AZ28,'M1'!O$10:O$49))</f>
        <v/>
      </c>
      <c r="P28" s="97">
        <f>SUMPRODUCT(MMULT('M2'!$M28:$AZ28,'M1'!P$10:P$49))</f>
        <v/>
      </c>
      <c r="Q28" s="97">
        <f>SUMPRODUCT(MMULT('M2'!$M28:$AZ28,'M1'!Q$10:Q$49))</f>
        <v/>
      </c>
      <c r="R28" s="97">
        <f>SUMPRODUCT(MMULT('M2'!$M28:$AZ28,'M1'!R$10:R$49))</f>
        <v/>
      </c>
      <c r="S28" s="97">
        <f>SUMPRODUCT(MMULT('M2'!$M28:$AZ28,'M1'!S$10:S$49))</f>
        <v/>
      </c>
      <c r="T28" s="97">
        <f>SUMPRODUCT(MMULT('M2'!$M28:$AZ28,'M1'!T$10:T$49))</f>
        <v/>
      </c>
      <c r="U28" s="97">
        <f>SUMPRODUCT(MMULT('M2'!$M28:$AZ28,'M1'!U$10:U$49))</f>
        <v/>
      </c>
      <c r="V28" s="97">
        <f>SUMPRODUCT(MMULT('M2'!$M28:$AZ28,'M1'!V$10:V$49))</f>
        <v/>
      </c>
      <c r="W28" s="97">
        <f>SUMPRODUCT(MMULT('M2'!$M28:$AZ28,'M1'!W$10:W$49))</f>
        <v/>
      </c>
      <c r="X28" s="97">
        <f>SUMPRODUCT(MMULT('M2'!$M28:$AZ28,'M1'!X$10:X$49))</f>
        <v/>
      </c>
      <c r="Y28" s="97">
        <f>SUMPRODUCT(MMULT('M2'!$M28:$AZ28,'M1'!Y$10:Y$49))</f>
        <v/>
      </c>
      <c r="Z28" s="97">
        <f>SUMPRODUCT(MMULT('M2'!$M28:$AZ28,'M1'!Z$10:Z$49))</f>
        <v/>
      </c>
      <c r="AA28" s="97">
        <f>SUMPRODUCT(MMULT('M2'!$M28:$AZ28,'M1'!AA$10:AA$49))</f>
        <v/>
      </c>
      <c r="AB28" s="97">
        <f>SUMPRODUCT(MMULT('M2'!$M28:$AZ28,'M1'!AB$10:AB$49))</f>
        <v/>
      </c>
      <c r="AC28" s="97">
        <f>SUMPRODUCT(MMULT('M2'!$M28:$AZ28,'M1'!AC$10:AC$49))</f>
        <v/>
      </c>
      <c r="AD28" s="97">
        <f>SUMPRODUCT(MMULT('M2'!$M28:$AZ28,'M1'!AD$10:AD$49))</f>
        <v/>
      </c>
      <c r="AE28" s="97">
        <f>SUMPRODUCT(MMULT('M2'!$M28:$AZ28,'M1'!AE$10:AE$49))</f>
        <v/>
      </c>
      <c r="AF28" s="97">
        <f>SUMPRODUCT(MMULT('M2'!$M28:$AZ28,'M1'!AF$10:AF$49))</f>
        <v/>
      </c>
      <c r="AG28" s="97">
        <f>SUMPRODUCT(MMULT('M2'!$M28:$AZ28,'M1'!AG$10:AG$49))</f>
        <v/>
      </c>
      <c r="AH28" s="97">
        <f>SUMPRODUCT(MMULT('M2'!$M28:$AZ28,'M1'!AH$10:AH$49))</f>
        <v/>
      </c>
      <c r="AI28" s="97">
        <f>SUMPRODUCT(MMULT('M2'!$M28:$AZ28,'M1'!AI$10:AI$49))</f>
        <v/>
      </c>
      <c r="AJ28" s="97">
        <f>SUMPRODUCT(MMULT('M2'!$M28:$AZ28,'M1'!AJ$10:AJ$49))</f>
        <v/>
      </c>
      <c r="AK28" s="97">
        <f>SUMPRODUCT(MMULT('M2'!$M28:$AZ28,'M1'!AK$10:AK$49))</f>
        <v/>
      </c>
      <c r="AL28" s="97">
        <f>SUMPRODUCT(MMULT('M2'!$M28:$AZ28,'M1'!AL$10:AL$49))</f>
        <v/>
      </c>
      <c r="AM28" s="97">
        <f>SUMPRODUCT(MMULT('M2'!$M28:$AZ28,'M1'!AM$10:AM$49))</f>
        <v/>
      </c>
      <c r="AN28" s="97">
        <f>SUMPRODUCT(MMULT('M2'!$M28:$AZ28,'M1'!AN$10:AN$49))</f>
        <v/>
      </c>
      <c r="AO28" s="97">
        <f>SUMPRODUCT(MMULT('M2'!$M28:$AZ28,'M1'!AO$10:AO$49))</f>
        <v/>
      </c>
      <c r="AP28" s="97">
        <f>SUMPRODUCT(MMULT('M2'!$M28:$AZ28,'M1'!AP$10:AP$49))</f>
        <v/>
      </c>
      <c r="AQ28" s="97">
        <f>SUMPRODUCT(MMULT('M2'!$M28:$AZ28,'M1'!AQ$10:AQ$49))</f>
        <v/>
      </c>
      <c r="AR28" s="97">
        <f>SUMPRODUCT(MMULT('M2'!$M28:$AZ28,'M1'!AR$10:AR$49))</f>
        <v/>
      </c>
      <c r="AS28" s="97">
        <f>SUMPRODUCT(MMULT('M2'!$M28:$AZ28,'M1'!AS$10:AS$49))</f>
        <v/>
      </c>
      <c r="AT28" s="97">
        <f>SUMPRODUCT(MMULT('M2'!$M28:$AZ28,'M1'!AT$10:AT$49))</f>
        <v/>
      </c>
      <c r="AU28" s="97">
        <f>SUMPRODUCT(MMULT('M2'!$M28:$AZ28,'M1'!AU$10:AU$49))</f>
        <v/>
      </c>
      <c r="AV28" s="97">
        <f>SUMPRODUCT(MMULT('M2'!$M28:$AZ28,'M1'!AV$10:AV$49))</f>
        <v/>
      </c>
      <c r="AW28" s="97">
        <f>SUMPRODUCT(MMULT('M2'!$M28:$AZ28,'M1'!AW$10:AW$49))</f>
        <v/>
      </c>
      <c r="AX28" s="97">
        <f>SUMPRODUCT(MMULT('M2'!$M28:$AZ28,'M1'!AX$10:AX$49))</f>
        <v/>
      </c>
      <c r="AY28" s="97">
        <f>SUMPRODUCT(MMULT('M2'!$M28:$AZ28,'M1'!AY$10:AY$49))</f>
        <v/>
      </c>
      <c r="AZ28" s="97">
        <f>SUMPRODUCT(MMULT('M2'!$M28:$AZ28,'M1'!AZ$10:AZ$49))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SUMPRODUCT(MMULT('M2'!$M29:$AZ29,'M1'!M$10:M$49))</f>
        <v/>
      </c>
      <c r="N29" s="97">
        <f>SUMPRODUCT(MMULT('M2'!$M29:$AZ29,'M1'!N$10:N$49))</f>
        <v/>
      </c>
      <c r="O29" s="97">
        <f>SUMPRODUCT(MMULT('M2'!$M29:$AZ29,'M1'!O$10:O$49))</f>
        <v/>
      </c>
      <c r="P29" s="97">
        <f>SUMPRODUCT(MMULT('M2'!$M29:$AZ29,'M1'!P$10:P$49))</f>
        <v/>
      </c>
      <c r="Q29" s="97">
        <f>SUMPRODUCT(MMULT('M2'!$M29:$AZ29,'M1'!Q$10:Q$49))</f>
        <v/>
      </c>
      <c r="R29" s="97">
        <f>SUMPRODUCT(MMULT('M2'!$M29:$AZ29,'M1'!R$10:R$49))</f>
        <v/>
      </c>
      <c r="S29" s="97">
        <f>SUMPRODUCT(MMULT('M2'!$M29:$AZ29,'M1'!S$10:S$49))</f>
        <v/>
      </c>
      <c r="T29" s="97">
        <f>SUMPRODUCT(MMULT('M2'!$M29:$AZ29,'M1'!T$10:T$49))</f>
        <v/>
      </c>
      <c r="U29" s="97">
        <f>SUMPRODUCT(MMULT('M2'!$M29:$AZ29,'M1'!U$10:U$49))</f>
        <v/>
      </c>
      <c r="V29" s="97">
        <f>SUMPRODUCT(MMULT('M2'!$M29:$AZ29,'M1'!V$10:V$49))</f>
        <v/>
      </c>
      <c r="W29" s="97">
        <f>SUMPRODUCT(MMULT('M2'!$M29:$AZ29,'M1'!W$10:W$49))</f>
        <v/>
      </c>
      <c r="X29" s="97">
        <f>SUMPRODUCT(MMULT('M2'!$M29:$AZ29,'M1'!X$10:X$49))</f>
        <v/>
      </c>
      <c r="Y29" s="97">
        <f>SUMPRODUCT(MMULT('M2'!$M29:$AZ29,'M1'!Y$10:Y$49))</f>
        <v/>
      </c>
      <c r="Z29" s="97">
        <f>SUMPRODUCT(MMULT('M2'!$M29:$AZ29,'M1'!Z$10:Z$49))</f>
        <v/>
      </c>
      <c r="AA29" s="97">
        <f>SUMPRODUCT(MMULT('M2'!$M29:$AZ29,'M1'!AA$10:AA$49))</f>
        <v/>
      </c>
      <c r="AB29" s="97">
        <f>SUMPRODUCT(MMULT('M2'!$M29:$AZ29,'M1'!AB$10:AB$49))</f>
        <v/>
      </c>
      <c r="AC29" s="97">
        <f>SUMPRODUCT(MMULT('M2'!$M29:$AZ29,'M1'!AC$10:AC$49))</f>
        <v/>
      </c>
      <c r="AD29" s="97">
        <f>SUMPRODUCT(MMULT('M2'!$M29:$AZ29,'M1'!AD$10:AD$49))</f>
        <v/>
      </c>
      <c r="AE29" s="97">
        <f>SUMPRODUCT(MMULT('M2'!$M29:$AZ29,'M1'!AE$10:AE$49))</f>
        <v/>
      </c>
      <c r="AF29" s="97">
        <f>SUMPRODUCT(MMULT('M2'!$M29:$AZ29,'M1'!AF$10:AF$49))</f>
        <v/>
      </c>
      <c r="AG29" s="97">
        <f>SUMPRODUCT(MMULT('M2'!$M29:$AZ29,'M1'!AG$10:AG$49))</f>
        <v/>
      </c>
      <c r="AH29" s="97">
        <f>SUMPRODUCT(MMULT('M2'!$M29:$AZ29,'M1'!AH$10:AH$49))</f>
        <v/>
      </c>
      <c r="AI29" s="97">
        <f>SUMPRODUCT(MMULT('M2'!$M29:$AZ29,'M1'!AI$10:AI$49))</f>
        <v/>
      </c>
      <c r="AJ29" s="97">
        <f>SUMPRODUCT(MMULT('M2'!$M29:$AZ29,'M1'!AJ$10:AJ$49))</f>
        <v/>
      </c>
      <c r="AK29" s="97">
        <f>SUMPRODUCT(MMULT('M2'!$M29:$AZ29,'M1'!AK$10:AK$49))</f>
        <v/>
      </c>
      <c r="AL29" s="97">
        <f>SUMPRODUCT(MMULT('M2'!$M29:$AZ29,'M1'!AL$10:AL$49))</f>
        <v/>
      </c>
      <c r="AM29" s="97">
        <f>SUMPRODUCT(MMULT('M2'!$M29:$AZ29,'M1'!AM$10:AM$49))</f>
        <v/>
      </c>
      <c r="AN29" s="97">
        <f>SUMPRODUCT(MMULT('M2'!$M29:$AZ29,'M1'!AN$10:AN$49))</f>
        <v/>
      </c>
      <c r="AO29" s="97">
        <f>SUMPRODUCT(MMULT('M2'!$M29:$AZ29,'M1'!AO$10:AO$49))</f>
        <v/>
      </c>
      <c r="AP29" s="97">
        <f>SUMPRODUCT(MMULT('M2'!$M29:$AZ29,'M1'!AP$10:AP$49))</f>
        <v/>
      </c>
      <c r="AQ29" s="97">
        <f>SUMPRODUCT(MMULT('M2'!$M29:$AZ29,'M1'!AQ$10:AQ$49))</f>
        <v/>
      </c>
      <c r="AR29" s="97">
        <f>SUMPRODUCT(MMULT('M2'!$M29:$AZ29,'M1'!AR$10:AR$49))</f>
        <v/>
      </c>
      <c r="AS29" s="97">
        <f>SUMPRODUCT(MMULT('M2'!$M29:$AZ29,'M1'!AS$10:AS$49))</f>
        <v/>
      </c>
      <c r="AT29" s="97">
        <f>SUMPRODUCT(MMULT('M2'!$M29:$AZ29,'M1'!AT$10:AT$49))</f>
        <v/>
      </c>
      <c r="AU29" s="97">
        <f>SUMPRODUCT(MMULT('M2'!$M29:$AZ29,'M1'!AU$10:AU$49))</f>
        <v/>
      </c>
      <c r="AV29" s="97">
        <f>SUMPRODUCT(MMULT('M2'!$M29:$AZ29,'M1'!AV$10:AV$49))</f>
        <v/>
      </c>
      <c r="AW29" s="97">
        <f>SUMPRODUCT(MMULT('M2'!$M29:$AZ29,'M1'!AW$10:AW$49))</f>
        <v/>
      </c>
      <c r="AX29" s="97">
        <f>SUMPRODUCT(MMULT('M2'!$M29:$AZ29,'M1'!AX$10:AX$49))</f>
        <v/>
      </c>
      <c r="AY29" s="97">
        <f>SUMPRODUCT(MMULT('M2'!$M29:$AZ29,'M1'!AY$10:AY$49))</f>
        <v/>
      </c>
      <c r="AZ29" s="97">
        <f>SUMPRODUCT(MMULT('M2'!$M29:$AZ29,'M1'!AZ$10:AZ$49))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SUMPRODUCT(MMULT('M2'!$M30:$AZ30,'M1'!M$10:M$49))</f>
        <v/>
      </c>
      <c r="N30" s="97">
        <f>SUMPRODUCT(MMULT('M2'!$M30:$AZ30,'M1'!N$10:N$49))</f>
        <v/>
      </c>
      <c r="O30" s="97">
        <f>SUMPRODUCT(MMULT('M2'!$M30:$AZ30,'M1'!O$10:O$49))</f>
        <v/>
      </c>
      <c r="P30" s="97">
        <f>SUMPRODUCT(MMULT('M2'!$M30:$AZ30,'M1'!P$10:P$49))</f>
        <v/>
      </c>
      <c r="Q30" s="97">
        <f>SUMPRODUCT(MMULT('M2'!$M30:$AZ30,'M1'!Q$10:Q$49))</f>
        <v/>
      </c>
      <c r="R30" s="97">
        <f>SUMPRODUCT(MMULT('M2'!$M30:$AZ30,'M1'!R$10:R$49))</f>
        <v/>
      </c>
      <c r="S30" s="97">
        <f>SUMPRODUCT(MMULT('M2'!$M30:$AZ30,'M1'!S$10:S$49))</f>
        <v/>
      </c>
      <c r="T30" s="97">
        <f>SUMPRODUCT(MMULT('M2'!$M30:$AZ30,'M1'!T$10:T$49))</f>
        <v/>
      </c>
      <c r="U30" s="97">
        <f>SUMPRODUCT(MMULT('M2'!$M30:$AZ30,'M1'!U$10:U$49))</f>
        <v/>
      </c>
      <c r="V30" s="97">
        <f>SUMPRODUCT(MMULT('M2'!$M30:$AZ30,'M1'!V$10:V$49))</f>
        <v/>
      </c>
      <c r="W30" s="97">
        <f>SUMPRODUCT(MMULT('M2'!$M30:$AZ30,'M1'!W$10:W$49))</f>
        <v/>
      </c>
      <c r="X30" s="97">
        <f>SUMPRODUCT(MMULT('M2'!$M30:$AZ30,'M1'!X$10:X$49))</f>
        <v/>
      </c>
      <c r="Y30" s="97">
        <f>SUMPRODUCT(MMULT('M2'!$M30:$AZ30,'M1'!Y$10:Y$49))</f>
        <v/>
      </c>
      <c r="Z30" s="97">
        <f>SUMPRODUCT(MMULT('M2'!$M30:$AZ30,'M1'!Z$10:Z$49))</f>
        <v/>
      </c>
      <c r="AA30" s="97">
        <f>SUMPRODUCT(MMULT('M2'!$M30:$AZ30,'M1'!AA$10:AA$49))</f>
        <v/>
      </c>
      <c r="AB30" s="97">
        <f>SUMPRODUCT(MMULT('M2'!$M30:$AZ30,'M1'!AB$10:AB$49))</f>
        <v/>
      </c>
      <c r="AC30" s="97">
        <f>SUMPRODUCT(MMULT('M2'!$M30:$AZ30,'M1'!AC$10:AC$49))</f>
        <v/>
      </c>
      <c r="AD30" s="97">
        <f>SUMPRODUCT(MMULT('M2'!$M30:$AZ30,'M1'!AD$10:AD$49))</f>
        <v/>
      </c>
      <c r="AE30" s="97">
        <f>SUMPRODUCT(MMULT('M2'!$M30:$AZ30,'M1'!AE$10:AE$49))</f>
        <v/>
      </c>
      <c r="AF30" s="97">
        <f>SUMPRODUCT(MMULT('M2'!$M30:$AZ30,'M1'!AF$10:AF$49))</f>
        <v/>
      </c>
      <c r="AG30" s="97">
        <f>SUMPRODUCT(MMULT('M2'!$M30:$AZ30,'M1'!AG$10:AG$49))</f>
        <v/>
      </c>
      <c r="AH30" s="97">
        <f>SUMPRODUCT(MMULT('M2'!$M30:$AZ30,'M1'!AH$10:AH$49))</f>
        <v/>
      </c>
      <c r="AI30" s="97">
        <f>SUMPRODUCT(MMULT('M2'!$M30:$AZ30,'M1'!AI$10:AI$49))</f>
        <v/>
      </c>
      <c r="AJ30" s="97">
        <f>SUMPRODUCT(MMULT('M2'!$M30:$AZ30,'M1'!AJ$10:AJ$49))</f>
        <v/>
      </c>
      <c r="AK30" s="97">
        <f>SUMPRODUCT(MMULT('M2'!$M30:$AZ30,'M1'!AK$10:AK$49))</f>
        <v/>
      </c>
      <c r="AL30" s="97">
        <f>SUMPRODUCT(MMULT('M2'!$M30:$AZ30,'M1'!AL$10:AL$49))</f>
        <v/>
      </c>
      <c r="AM30" s="97">
        <f>SUMPRODUCT(MMULT('M2'!$M30:$AZ30,'M1'!AM$10:AM$49))</f>
        <v/>
      </c>
      <c r="AN30" s="97">
        <f>SUMPRODUCT(MMULT('M2'!$M30:$AZ30,'M1'!AN$10:AN$49))</f>
        <v/>
      </c>
      <c r="AO30" s="97">
        <f>SUMPRODUCT(MMULT('M2'!$M30:$AZ30,'M1'!AO$10:AO$49))</f>
        <v/>
      </c>
      <c r="AP30" s="97">
        <f>SUMPRODUCT(MMULT('M2'!$M30:$AZ30,'M1'!AP$10:AP$49))</f>
        <v/>
      </c>
      <c r="AQ30" s="97">
        <f>SUMPRODUCT(MMULT('M2'!$M30:$AZ30,'M1'!AQ$10:AQ$49))</f>
        <v/>
      </c>
      <c r="AR30" s="97">
        <f>SUMPRODUCT(MMULT('M2'!$M30:$AZ30,'M1'!AR$10:AR$49))</f>
        <v/>
      </c>
      <c r="AS30" s="97">
        <f>SUMPRODUCT(MMULT('M2'!$M30:$AZ30,'M1'!AS$10:AS$49))</f>
        <v/>
      </c>
      <c r="AT30" s="97">
        <f>SUMPRODUCT(MMULT('M2'!$M30:$AZ30,'M1'!AT$10:AT$49))</f>
        <v/>
      </c>
      <c r="AU30" s="97">
        <f>SUMPRODUCT(MMULT('M2'!$M30:$AZ30,'M1'!AU$10:AU$49))</f>
        <v/>
      </c>
      <c r="AV30" s="97">
        <f>SUMPRODUCT(MMULT('M2'!$M30:$AZ30,'M1'!AV$10:AV$49))</f>
        <v/>
      </c>
      <c r="AW30" s="97">
        <f>SUMPRODUCT(MMULT('M2'!$M30:$AZ30,'M1'!AW$10:AW$49))</f>
        <v/>
      </c>
      <c r="AX30" s="97">
        <f>SUMPRODUCT(MMULT('M2'!$M30:$AZ30,'M1'!AX$10:AX$49))</f>
        <v/>
      </c>
      <c r="AY30" s="97">
        <f>SUMPRODUCT(MMULT('M2'!$M30:$AZ30,'M1'!AY$10:AY$49))</f>
        <v/>
      </c>
      <c r="AZ30" s="97">
        <f>SUMPRODUCT(MMULT('M2'!$M30:$AZ30,'M1'!AZ$10:AZ$49))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SUMPRODUCT(MMULT('M2'!$M31:$AZ31,'M1'!M$10:M$49))</f>
        <v/>
      </c>
      <c r="N31" s="97">
        <f>SUMPRODUCT(MMULT('M2'!$M31:$AZ31,'M1'!N$10:N$49))</f>
        <v/>
      </c>
      <c r="O31" s="97">
        <f>SUMPRODUCT(MMULT('M2'!$M31:$AZ31,'M1'!O$10:O$49))</f>
        <v/>
      </c>
      <c r="P31" s="97">
        <f>SUMPRODUCT(MMULT('M2'!$M31:$AZ31,'M1'!P$10:P$49))</f>
        <v/>
      </c>
      <c r="Q31" s="97">
        <f>SUMPRODUCT(MMULT('M2'!$M31:$AZ31,'M1'!Q$10:Q$49))</f>
        <v/>
      </c>
      <c r="R31" s="97">
        <f>SUMPRODUCT(MMULT('M2'!$M31:$AZ31,'M1'!R$10:R$49))</f>
        <v/>
      </c>
      <c r="S31" s="97">
        <f>SUMPRODUCT(MMULT('M2'!$M31:$AZ31,'M1'!S$10:S$49))</f>
        <v/>
      </c>
      <c r="T31" s="97">
        <f>SUMPRODUCT(MMULT('M2'!$M31:$AZ31,'M1'!T$10:T$49))</f>
        <v/>
      </c>
      <c r="U31" s="97">
        <f>SUMPRODUCT(MMULT('M2'!$M31:$AZ31,'M1'!U$10:U$49))</f>
        <v/>
      </c>
      <c r="V31" s="97">
        <f>SUMPRODUCT(MMULT('M2'!$M31:$AZ31,'M1'!V$10:V$49))</f>
        <v/>
      </c>
      <c r="W31" s="97">
        <f>SUMPRODUCT(MMULT('M2'!$M31:$AZ31,'M1'!W$10:W$49))</f>
        <v/>
      </c>
      <c r="X31" s="97">
        <f>SUMPRODUCT(MMULT('M2'!$M31:$AZ31,'M1'!X$10:X$49))</f>
        <v/>
      </c>
      <c r="Y31" s="97">
        <f>SUMPRODUCT(MMULT('M2'!$M31:$AZ31,'M1'!Y$10:Y$49))</f>
        <v/>
      </c>
      <c r="Z31" s="97">
        <f>SUMPRODUCT(MMULT('M2'!$M31:$AZ31,'M1'!Z$10:Z$49))</f>
        <v/>
      </c>
      <c r="AA31" s="97">
        <f>SUMPRODUCT(MMULT('M2'!$M31:$AZ31,'M1'!AA$10:AA$49))</f>
        <v/>
      </c>
      <c r="AB31" s="97">
        <f>SUMPRODUCT(MMULT('M2'!$M31:$AZ31,'M1'!AB$10:AB$49))</f>
        <v/>
      </c>
      <c r="AC31" s="97">
        <f>SUMPRODUCT(MMULT('M2'!$M31:$AZ31,'M1'!AC$10:AC$49))</f>
        <v/>
      </c>
      <c r="AD31" s="97">
        <f>SUMPRODUCT(MMULT('M2'!$M31:$AZ31,'M1'!AD$10:AD$49))</f>
        <v/>
      </c>
      <c r="AE31" s="97">
        <f>SUMPRODUCT(MMULT('M2'!$M31:$AZ31,'M1'!AE$10:AE$49))</f>
        <v/>
      </c>
      <c r="AF31" s="97">
        <f>SUMPRODUCT(MMULT('M2'!$M31:$AZ31,'M1'!AF$10:AF$49))</f>
        <v/>
      </c>
      <c r="AG31" s="97">
        <f>SUMPRODUCT(MMULT('M2'!$M31:$AZ31,'M1'!AG$10:AG$49))</f>
        <v/>
      </c>
      <c r="AH31" s="97">
        <f>SUMPRODUCT(MMULT('M2'!$M31:$AZ31,'M1'!AH$10:AH$49))</f>
        <v/>
      </c>
      <c r="AI31" s="97">
        <f>SUMPRODUCT(MMULT('M2'!$M31:$AZ31,'M1'!AI$10:AI$49))</f>
        <v/>
      </c>
      <c r="AJ31" s="97">
        <f>SUMPRODUCT(MMULT('M2'!$M31:$AZ31,'M1'!AJ$10:AJ$49))</f>
        <v/>
      </c>
      <c r="AK31" s="97">
        <f>SUMPRODUCT(MMULT('M2'!$M31:$AZ31,'M1'!AK$10:AK$49))</f>
        <v/>
      </c>
      <c r="AL31" s="97">
        <f>SUMPRODUCT(MMULT('M2'!$M31:$AZ31,'M1'!AL$10:AL$49))</f>
        <v/>
      </c>
      <c r="AM31" s="97">
        <f>SUMPRODUCT(MMULT('M2'!$M31:$AZ31,'M1'!AM$10:AM$49))</f>
        <v/>
      </c>
      <c r="AN31" s="97">
        <f>SUMPRODUCT(MMULT('M2'!$M31:$AZ31,'M1'!AN$10:AN$49))</f>
        <v/>
      </c>
      <c r="AO31" s="97">
        <f>SUMPRODUCT(MMULT('M2'!$M31:$AZ31,'M1'!AO$10:AO$49))</f>
        <v/>
      </c>
      <c r="AP31" s="97">
        <f>SUMPRODUCT(MMULT('M2'!$M31:$AZ31,'M1'!AP$10:AP$49))</f>
        <v/>
      </c>
      <c r="AQ31" s="97">
        <f>SUMPRODUCT(MMULT('M2'!$M31:$AZ31,'M1'!AQ$10:AQ$49))</f>
        <v/>
      </c>
      <c r="AR31" s="97">
        <f>SUMPRODUCT(MMULT('M2'!$M31:$AZ31,'M1'!AR$10:AR$49))</f>
        <v/>
      </c>
      <c r="AS31" s="97">
        <f>SUMPRODUCT(MMULT('M2'!$M31:$AZ31,'M1'!AS$10:AS$49))</f>
        <v/>
      </c>
      <c r="AT31" s="97">
        <f>SUMPRODUCT(MMULT('M2'!$M31:$AZ31,'M1'!AT$10:AT$49))</f>
        <v/>
      </c>
      <c r="AU31" s="97">
        <f>SUMPRODUCT(MMULT('M2'!$M31:$AZ31,'M1'!AU$10:AU$49))</f>
        <v/>
      </c>
      <c r="AV31" s="97">
        <f>SUMPRODUCT(MMULT('M2'!$M31:$AZ31,'M1'!AV$10:AV$49))</f>
        <v/>
      </c>
      <c r="AW31" s="97">
        <f>SUMPRODUCT(MMULT('M2'!$M31:$AZ31,'M1'!AW$10:AW$49))</f>
        <v/>
      </c>
      <c r="AX31" s="97">
        <f>SUMPRODUCT(MMULT('M2'!$M31:$AZ31,'M1'!AX$10:AX$49))</f>
        <v/>
      </c>
      <c r="AY31" s="97">
        <f>SUMPRODUCT(MMULT('M2'!$M31:$AZ31,'M1'!AY$10:AY$49))</f>
        <v/>
      </c>
      <c r="AZ31" s="97">
        <f>SUMPRODUCT(MMULT('M2'!$M31:$AZ31,'M1'!AZ$10:AZ$49))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SUMPRODUCT(MMULT('M2'!$M32:$AZ32,'M1'!M$10:M$49))</f>
        <v/>
      </c>
      <c r="N32" s="97">
        <f>SUMPRODUCT(MMULT('M2'!$M32:$AZ32,'M1'!N$10:N$49))</f>
        <v/>
      </c>
      <c r="O32" s="97">
        <f>SUMPRODUCT(MMULT('M2'!$M32:$AZ32,'M1'!O$10:O$49))</f>
        <v/>
      </c>
      <c r="P32" s="97">
        <f>SUMPRODUCT(MMULT('M2'!$M32:$AZ32,'M1'!P$10:P$49))</f>
        <v/>
      </c>
      <c r="Q32" s="97">
        <f>SUMPRODUCT(MMULT('M2'!$M32:$AZ32,'M1'!Q$10:Q$49))</f>
        <v/>
      </c>
      <c r="R32" s="97">
        <f>SUMPRODUCT(MMULT('M2'!$M32:$AZ32,'M1'!R$10:R$49))</f>
        <v/>
      </c>
      <c r="S32" s="97">
        <f>SUMPRODUCT(MMULT('M2'!$M32:$AZ32,'M1'!S$10:S$49))</f>
        <v/>
      </c>
      <c r="T32" s="97">
        <f>SUMPRODUCT(MMULT('M2'!$M32:$AZ32,'M1'!T$10:T$49))</f>
        <v/>
      </c>
      <c r="U32" s="97">
        <f>SUMPRODUCT(MMULT('M2'!$M32:$AZ32,'M1'!U$10:U$49))</f>
        <v/>
      </c>
      <c r="V32" s="97">
        <f>SUMPRODUCT(MMULT('M2'!$M32:$AZ32,'M1'!V$10:V$49))</f>
        <v/>
      </c>
      <c r="W32" s="97">
        <f>SUMPRODUCT(MMULT('M2'!$M32:$AZ32,'M1'!W$10:W$49))</f>
        <v/>
      </c>
      <c r="X32" s="97">
        <f>SUMPRODUCT(MMULT('M2'!$M32:$AZ32,'M1'!X$10:X$49))</f>
        <v/>
      </c>
      <c r="Y32" s="97">
        <f>SUMPRODUCT(MMULT('M2'!$M32:$AZ32,'M1'!Y$10:Y$49))</f>
        <v/>
      </c>
      <c r="Z32" s="97">
        <f>SUMPRODUCT(MMULT('M2'!$M32:$AZ32,'M1'!Z$10:Z$49))</f>
        <v/>
      </c>
      <c r="AA32" s="97">
        <f>SUMPRODUCT(MMULT('M2'!$M32:$AZ32,'M1'!AA$10:AA$49))</f>
        <v/>
      </c>
      <c r="AB32" s="97">
        <f>SUMPRODUCT(MMULT('M2'!$M32:$AZ32,'M1'!AB$10:AB$49))</f>
        <v/>
      </c>
      <c r="AC32" s="97">
        <f>SUMPRODUCT(MMULT('M2'!$M32:$AZ32,'M1'!AC$10:AC$49))</f>
        <v/>
      </c>
      <c r="AD32" s="97">
        <f>SUMPRODUCT(MMULT('M2'!$M32:$AZ32,'M1'!AD$10:AD$49))</f>
        <v/>
      </c>
      <c r="AE32" s="97">
        <f>SUMPRODUCT(MMULT('M2'!$M32:$AZ32,'M1'!AE$10:AE$49))</f>
        <v/>
      </c>
      <c r="AF32" s="97">
        <f>SUMPRODUCT(MMULT('M2'!$M32:$AZ32,'M1'!AF$10:AF$49))</f>
        <v/>
      </c>
      <c r="AG32" s="97">
        <f>SUMPRODUCT(MMULT('M2'!$M32:$AZ32,'M1'!AG$10:AG$49))</f>
        <v/>
      </c>
      <c r="AH32" s="97">
        <f>SUMPRODUCT(MMULT('M2'!$M32:$AZ32,'M1'!AH$10:AH$49))</f>
        <v/>
      </c>
      <c r="AI32" s="97">
        <f>SUMPRODUCT(MMULT('M2'!$M32:$AZ32,'M1'!AI$10:AI$49))</f>
        <v/>
      </c>
      <c r="AJ32" s="97">
        <f>SUMPRODUCT(MMULT('M2'!$M32:$AZ32,'M1'!AJ$10:AJ$49))</f>
        <v/>
      </c>
      <c r="AK32" s="97">
        <f>SUMPRODUCT(MMULT('M2'!$M32:$AZ32,'M1'!AK$10:AK$49))</f>
        <v/>
      </c>
      <c r="AL32" s="97">
        <f>SUMPRODUCT(MMULT('M2'!$M32:$AZ32,'M1'!AL$10:AL$49))</f>
        <v/>
      </c>
      <c r="AM32" s="97">
        <f>SUMPRODUCT(MMULT('M2'!$M32:$AZ32,'M1'!AM$10:AM$49))</f>
        <v/>
      </c>
      <c r="AN32" s="97">
        <f>SUMPRODUCT(MMULT('M2'!$M32:$AZ32,'M1'!AN$10:AN$49))</f>
        <v/>
      </c>
      <c r="AO32" s="97">
        <f>SUMPRODUCT(MMULT('M2'!$M32:$AZ32,'M1'!AO$10:AO$49))</f>
        <v/>
      </c>
      <c r="AP32" s="97">
        <f>SUMPRODUCT(MMULT('M2'!$M32:$AZ32,'M1'!AP$10:AP$49))</f>
        <v/>
      </c>
      <c r="AQ32" s="97">
        <f>SUMPRODUCT(MMULT('M2'!$M32:$AZ32,'M1'!AQ$10:AQ$49))</f>
        <v/>
      </c>
      <c r="AR32" s="97">
        <f>SUMPRODUCT(MMULT('M2'!$M32:$AZ32,'M1'!AR$10:AR$49))</f>
        <v/>
      </c>
      <c r="AS32" s="97">
        <f>SUMPRODUCT(MMULT('M2'!$M32:$AZ32,'M1'!AS$10:AS$49))</f>
        <v/>
      </c>
      <c r="AT32" s="97">
        <f>SUMPRODUCT(MMULT('M2'!$M32:$AZ32,'M1'!AT$10:AT$49))</f>
        <v/>
      </c>
      <c r="AU32" s="97">
        <f>SUMPRODUCT(MMULT('M2'!$M32:$AZ32,'M1'!AU$10:AU$49))</f>
        <v/>
      </c>
      <c r="AV32" s="97">
        <f>SUMPRODUCT(MMULT('M2'!$M32:$AZ32,'M1'!AV$10:AV$49))</f>
        <v/>
      </c>
      <c r="AW32" s="97">
        <f>SUMPRODUCT(MMULT('M2'!$M32:$AZ32,'M1'!AW$10:AW$49))</f>
        <v/>
      </c>
      <c r="AX32" s="97">
        <f>SUMPRODUCT(MMULT('M2'!$M32:$AZ32,'M1'!AX$10:AX$49))</f>
        <v/>
      </c>
      <c r="AY32" s="97">
        <f>SUMPRODUCT(MMULT('M2'!$M32:$AZ32,'M1'!AY$10:AY$49))</f>
        <v/>
      </c>
      <c r="AZ32" s="97">
        <f>SUMPRODUCT(MMULT('M2'!$M32:$AZ32,'M1'!AZ$10:AZ$49))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SUMPRODUCT(MMULT('M2'!$M33:$AZ33,'M1'!M$10:M$49))</f>
        <v/>
      </c>
      <c r="N33" s="97">
        <f>SUMPRODUCT(MMULT('M2'!$M33:$AZ33,'M1'!N$10:N$49))</f>
        <v/>
      </c>
      <c r="O33" s="97">
        <f>SUMPRODUCT(MMULT('M2'!$M33:$AZ33,'M1'!O$10:O$49))</f>
        <v/>
      </c>
      <c r="P33" s="97">
        <f>SUMPRODUCT(MMULT('M2'!$M33:$AZ33,'M1'!P$10:P$49))</f>
        <v/>
      </c>
      <c r="Q33" s="97">
        <f>SUMPRODUCT(MMULT('M2'!$M33:$AZ33,'M1'!Q$10:Q$49))</f>
        <v/>
      </c>
      <c r="R33" s="97">
        <f>SUMPRODUCT(MMULT('M2'!$M33:$AZ33,'M1'!R$10:R$49))</f>
        <v/>
      </c>
      <c r="S33" s="97">
        <f>SUMPRODUCT(MMULT('M2'!$M33:$AZ33,'M1'!S$10:S$49))</f>
        <v/>
      </c>
      <c r="T33" s="97">
        <f>SUMPRODUCT(MMULT('M2'!$M33:$AZ33,'M1'!T$10:T$49))</f>
        <v/>
      </c>
      <c r="U33" s="97">
        <f>SUMPRODUCT(MMULT('M2'!$M33:$AZ33,'M1'!U$10:U$49))</f>
        <v/>
      </c>
      <c r="V33" s="97">
        <f>SUMPRODUCT(MMULT('M2'!$M33:$AZ33,'M1'!V$10:V$49))</f>
        <v/>
      </c>
      <c r="W33" s="97">
        <f>SUMPRODUCT(MMULT('M2'!$M33:$AZ33,'M1'!W$10:W$49))</f>
        <v/>
      </c>
      <c r="X33" s="97">
        <f>SUMPRODUCT(MMULT('M2'!$M33:$AZ33,'M1'!X$10:X$49))</f>
        <v/>
      </c>
      <c r="Y33" s="97">
        <f>SUMPRODUCT(MMULT('M2'!$M33:$AZ33,'M1'!Y$10:Y$49))</f>
        <v/>
      </c>
      <c r="Z33" s="97">
        <f>SUMPRODUCT(MMULT('M2'!$M33:$AZ33,'M1'!Z$10:Z$49))</f>
        <v/>
      </c>
      <c r="AA33" s="97">
        <f>SUMPRODUCT(MMULT('M2'!$M33:$AZ33,'M1'!AA$10:AA$49))</f>
        <v/>
      </c>
      <c r="AB33" s="97">
        <f>SUMPRODUCT(MMULT('M2'!$M33:$AZ33,'M1'!AB$10:AB$49))</f>
        <v/>
      </c>
      <c r="AC33" s="97">
        <f>SUMPRODUCT(MMULT('M2'!$M33:$AZ33,'M1'!AC$10:AC$49))</f>
        <v/>
      </c>
      <c r="AD33" s="97">
        <f>SUMPRODUCT(MMULT('M2'!$M33:$AZ33,'M1'!AD$10:AD$49))</f>
        <v/>
      </c>
      <c r="AE33" s="97">
        <f>SUMPRODUCT(MMULT('M2'!$M33:$AZ33,'M1'!AE$10:AE$49))</f>
        <v/>
      </c>
      <c r="AF33" s="97">
        <f>SUMPRODUCT(MMULT('M2'!$M33:$AZ33,'M1'!AF$10:AF$49))</f>
        <v/>
      </c>
      <c r="AG33" s="97">
        <f>SUMPRODUCT(MMULT('M2'!$M33:$AZ33,'M1'!AG$10:AG$49))</f>
        <v/>
      </c>
      <c r="AH33" s="97">
        <f>SUMPRODUCT(MMULT('M2'!$M33:$AZ33,'M1'!AH$10:AH$49))</f>
        <v/>
      </c>
      <c r="AI33" s="97">
        <f>SUMPRODUCT(MMULT('M2'!$M33:$AZ33,'M1'!AI$10:AI$49))</f>
        <v/>
      </c>
      <c r="AJ33" s="97">
        <f>SUMPRODUCT(MMULT('M2'!$M33:$AZ33,'M1'!AJ$10:AJ$49))</f>
        <v/>
      </c>
      <c r="AK33" s="97">
        <f>SUMPRODUCT(MMULT('M2'!$M33:$AZ33,'M1'!AK$10:AK$49))</f>
        <v/>
      </c>
      <c r="AL33" s="97">
        <f>SUMPRODUCT(MMULT('M2'!$M33:$AZ33,'M1'!AL$10:AL$49))</f>
        <v/>
      </c>
      <c r="AM33" s="97">
        <f>SUMPRODUCT(MMULT('M2'!$M33:$AZ33,'M1'!AM$10:AM$49))</f>
        <v/>
      </c>
      <c r="AN33" s="97">
        <f>SUMPRODUCT(MMULT('M2'!$M33:$AZ33,'M1'!AN$10:AN$49))</f>
        <v/>
      </c>
      <c r="AO33" s="97">
        <f>SUMPRODUCT(MMULT('M2'!$M33:$AZ33,'M1'!AO$10:AO$49))</f>
        <v/>
      </c>
      <c r="AP33" s="97">
        <f>SUMPRODUCT(MMULT('M2'!$M33:$AZ33,'M1'!AP$10:AP$49))</f>
        <v/>
      </c>
      <c r="AQ33" s="97">
        <f>SUMPRODUCT(MMULT('M2'!$M33:$AZ33,'M1'!AQ$10:AQ$49))</f>
        <v/>
      </c>
      <c r="AR33" s="97">
        <f>SUMPRODUCT(MMULT('M2'!$M33:$AZ33,'M1'!AR$10:AR$49))</f>
        <v/>
      </c>
      <c r="AS33" s="97">
        <f>SUMPRODUCT(MMULT('M2'!$M33:$AZ33,'M1'!AS$10:AS$49))</f>
        <v/>
      </c>
      <c r="AT33" s="97">
        <f>SUMPRODUCT(MMULT('M2'!$M33:$AZ33,'M1'!AT$10:AT$49))</f>
        <v/>
      </c>
      <c r="AU33" s="97">
        <f>SUMPRODUCT(MMULT('M2'!$M33:$AZ33,'M1'!AU$10:AU$49))</f>
        <v/>
      </c>
      <c r="AV33" s="97">
        <f>SUMPRODUCT(MMULT('M2'!$M33:$AZ33,'M1'!AV$10:AV$49))</f>
        <v/>
      </c>
      <c r="AW33" s="97">
        <f>SUMPRODUCT(MMULT('M2'!$M33:$AZ33,'M1'!AW$10:AW$49))</f>
        <v/>
      </c>
      <c r="AX33" s="97">
        <f>SUMPRODUCT(MMULT('M2'!$M33:$AZ33,'M1'!AX$10:AX$49))</f>
        <v/>
      </c>
      <c r="AY33" s="97">
        <f>SUMPRODUCT(MMULT('M2'!$M33:$AZ33,'M1'!AY$10:AY$49))</f>
        <v/>
      </c>
      <c r="AZ33" s="97">
        <f>SUMPRODUCT(MMULT('M2'!$M33:$AZ33,'M1'!AZ$10:AZ$49))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SUMPRODUCT(MMULT('M2'!$M34:$AZ34,'M1'!M$10:M$49))</f>
        <v/>
      </c>
      <c r="N34" s="97">
        <f>SUMPRODUCT(MMULT('M2'!$M34:$AZ34,'M1'!N$10:N$49))</f>
        <v/>
      </c>
      <c r="O34" s="97">
        <f>SUMPRODUCT(MMULT('M2'!$M34:$AZ34,'M1'!O$10:O$49))</f>
        <v/>
      </c>
      <c r="P34" s="97">
        <f>SUMPRODUCT(MMULT('M2'!$M34:$AZ34,'M1'!P$10:P$49))</f>
        <v/>
      </c>
      <c r="Q34" s="97">
        <f>SUMPRODUCT(MMULT('M2'!$M34:$AZ34,'M1'!Q$10:Q$49))</f>
        <v/>
      </c>
      <c r="R34" s="97">
        <f>SUMPRODUCT(MMULT('M2'!$M34:$AZ34,'M1'!R$10:R$49))</f>
        <v/>
      </c>
      <c r="S34" s="97">
        <f>SUMPRODUCT(MMULT('M2'!$M34:$AZ34,'M1'!S$10:S$49))</f>
        <v/>
      </c>
      <c r="T34" s="97">
        <f>SUMPRODUCT(MMULT('M2'!$M34:$AZ34,'M1'!T$10:T$49))</f>
        <v/>
      </c>
      <c r="U34" s="97">
        <f>SUMPRODUCT(MMULT('M2'!$M34:$AZ34,'M1'!U$10:U$49))</f>
        <v/>
      </c>
      <c r="V34" s="97">
        <f>SUMPRODUCT(MMULT('M2'!$M34:$AZ34,'M1'!V$10:V$49))</f>
        <v/>
      </c>
      <c r="W34" s="97">
        <f>SUMPRODUCT(MMULT('M2'!$M34:$AZ34,'M1'!W$10:W$49))</f>
        <v/>
      </c>
      <c r="X34" s="97">
        <f>SUMPRODUCT(MMULT('M2'!$M34:$AZ34,'M1'!X$10:X$49))</f>
        <v/>
      </c>
      <c r="Y34" s="97">
        <f>SUMPRODUCT(MMULT('M2'!$M34:$AZ34,'M1'!Y$10:Y$49))</f>
        <v/>
      </c>
      <c r="Z34" s="97">
        <f>SUMPRODUCT(MMULT('M2'!$M34:$AZ34,'M1'!Z$10:Z$49))</f>
        <v/>
      </c>
      <c r="AA34" s="97">
        <f>SUMPRODUCT(MMULT('M2'!$M34:$AZ34,'M1'!AA$10:AA$49))</f>
        <v/>
      </c>
      <c r="AB34" s="97">
        <f>SUMPRODUCT(MMULT('M2'!$M34:$AZ34,'M1'!AB$10:AB$49))</f>
        <v/>
      </c>
      <c r="AC34" s="97">
        <f>SUMPRODUCT(MMULT('M2'!$M34:$AZ34,'M1'!AC$10:AC$49))</f>
        <v/>
      </c>
      <c r="AD34" s="97">
        <f>SUMPRODUCT(MMULT('M2'!$M34:$AZ34,'M1'!AD$10:AD$49))</f>
        <v/>
      </c>
      <c r="AE34" s="97">
        <f>SUMPRODUCT(MMULT('M2'!$M34:$AZ34,'M1'!AE$10:AE$49))</f>
        <v/>
      </c>
      <c r="AF34" s="97">
        <f>SUMPRODUCT(MMULT('M2'!$M34:$AZ34,'M1'!AF$10:AF$49))</f>
        <v/>
      </c>
      <c r="AG34" s="97">
        <f>SUMPRODUCT(MMULT('M2'!$M34:$AZ34,'M1'!AG$10:AG$49))</f>
        <v/>
      </c>
      <c r="AH34" s="97">
        <f>SUMPRODUCT(MMULT('M2'!$M34:$AZ34,'M1'!AH$10:AH$49))</f>
        <v/>
      </c>
      <c r="AI34" s="97">
        <f>SUMPRODUCT(MMULT('M2'!$M34:$AZ34,'M1'!AI$10:AI$49))</f>
        <v/>
      </c>
      <c r="AJ34" s="97">
        <f>SUMPRODUCT(MMULT('M2'!$M34:$AZ34,'M1'!AJ$10:AJ$49))</f>
        <v/>
      </c>
      <c r="AK34" s="97">
        <f>SUMPRODUCT(MMULT('M2'!$M34:$AZ34,'M1'!AK$10:AK$49))</f>
        <v/>
      </c>
      <c r="AL34" s="97">
        <f>SUMPRODUCT(MMULT('M2'!$M34:$AZ34,'M1'!AL$10:AL$49))</f>
        <v/>
      </c>
      <c r="AM34" s="97">
        <f>SUMPRODUCT(MMULT('M2'!$M34:$AZ34,'M1'!AM$10:AM$49))</f>
        <v/>
      </c>
      <c r="AN34" s="97">
        <f>SUMPRODUCT(MMULT('M2'!$M34:$AZ34,'M1'!AN$10:AN$49))</f>
        <v/>
      </c>
      <c r="AO34" s="97">
        <f>SUMPRODUCT(MMULT('M2'!$M34:$AZ34,'M1'!AO$10:AO$49))</f>
        <v/>
      </c>
      <c r="AP34" s="97">
        <f>SUMPRODUCT(MMULT('M2'!$M34:$AZ34,'M1'!AP$10:AP$49))</f>
        <v/>
      </c>
      <c r="AQ34" s="97">
        <f>SUMPRODUCT(MMULT('M2'!$M34:$AZ34,'M1'!AQ$10:AQ$49))</f>
        <v/>
      </c>
      <c r="AR34" s="97">
        <f>SUMPRODUCT(MMULT('M2'!$M34:$AZ34,'M1'!AR$10:AR$49))</f>
        <v/>
      </c>
      <c r="AS34" s="97">
        <f>SUMPRODUCT(MMULT('M2'!$M34:$AZ34,'M1'!AS$10:AS$49))</f>
        <v/>
      </c>
      <c r="AT34" s="97">
        <f>SUMPRODUCT(MMULT('M2'!$M34:$AZ34,'M1'!AT$10:AT$49))</f>
        <v/>
      </c>
      <c r="AU34" s="97">
        <f>SUMPRODUCT(MMULT('M2'!$M34:$AZ34,'M1'!AU$10:AU$49))</f>
        <v/>
      </c>
      <c r="AV34" s="97">
        <f>SUMPRODUCT(MMULT('M2'!$M34:$AZ34,'M1'!AV$10:AV$49))</f>
        <v/>
      </c>
      <c r="AW34" s="97">
        <f>SUMPRODUCT(MMULT('M2'!$M34:$AZ34,'M1'!AW$10:AW$49))</f>
        <v/>
      </c>
      <c r="AX34" s="97">
        <f>SUMPRODUCT(MMULT('M2'!$M34:$AZ34,'M1'!AX$10:AX$49))</f>
        <v/>
      </c>
      <c r="AY34" s="97">
        <f>SUMPRODUCT(MMULT('M2'!$M34:$AZ34,'M1'!AY$10:AY$49))</f>
        <v/>
      </c>
      <c r="AZ34" s="97">
        <f>SUMPRODUCT(MMULT('M2'!$M34:$AZ34,'M1'!AZ$10:AZ$49))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SUMPRODUCT(MMULT('M2'!$M35:$AZ35,'M1'!M$10:M$49))</f>
        <v/>
      </c>
      <c r="N35" s="97">
        <f>SUMPRODUCT(MMULT('M2'!$M35:$AZ35,'M1'!N$10:N$49))</f>
        <v/>
      </c>
      <c r="O35" s="97">
        <f>SUMPRODUCT(MMULT('M2'!$M35:$AZ35,'M1'!O$10:O$49))</f>
        <v/>
      </c>
      <c r="P35" s="97">
        <f>SUMPRODUCT(MMULT('M2'!$M35:$AZ35,'M1'!P$10:P$49))</f>
        <v/>
      </c>
      <c r="Q35" s="97">
        <f>SUMPRODUCT(MMULT('M2'!$M35:$AZ35,'M1'!Q$10:Q$49))</f>
        <v/>
      </c>
      <c r="R35" s="97">
        <f>SUMPRODUCT(MMULT('M2'!$M35:$AZ35,'M1'!R$10:R$49))</f>
        <v/>
      </c>
      <c r="S35" s="97">
        <f>SUMPRODUCT(MMULT('M2'!$M35:$AZ35,'M1'!S$10:S$49))</f>
        <v/>
      </c>
      <c r="T35" s="97">
        <f>SUMPRODUCT(MMULT('M2'!$M35:$AZ35,'M1'!T$10:T$49))</f>
        <v/>
      </c>
      <c r="U35" s="97">
        <f>SUMPRODUCT(MMULT('M2'!$M35:$AZ35,'M1'!U$10:U$49))</f>
        <v/>
      </c>
      <c r="V35" s="97">
        <f>SUMPRODUCT(MMULT('M2'!$M35:$AZ35,'M1'!V$10:V$49))</f>
        <v/>
      </c>
      <c r="W35" s="97">
        <f>SUMPRODUCT(MMULT('M2'!$M35:$AZ35,'M1'!W$10:W$49))</f>
        <v/>
      </c>
      <c r="X35" s="97">
        <f>SUMPRODUCT(MMULT('M2'!$M35:$AZ35,'M1'!X$10:X$49))</f>
        <v/>
      </c>
      <c r="Y35" s="97">
        <f>SUMPRODUCT(MMULT('M2'!$M35:$AZ35,'M1'!Y$10:Y$49))</f>
        <v/>
      </c>
      <c r="Z35" s="97">
        <f>SUMPRODUCT(MMULT('M2'!$M35:$AZ35,'M1'!Z$10:Z$49))</f>
        <v/>
      </c>
      <c r="AA35" s="97">
        <f>SUMPRODUCT(MMULT('M2'!$M35:$AZ35,'M1'!AA$10:AA$49))</f>
        <v/>
      </c>
      <c r="AB35" s="97">
        <f>SUMPRODUCT(MMULT('M2'!$M35:$AZ35,'M1'!AB$10:AB$49))</f>
        <v/>
      </c>
      <c r="AC35" s="97">
        <f>SUMPRODUCT(MMULT('M2'!$M35:$AZ35,'M1'!AC$10:AC$49))</f>
        <v/>
      </c>
      <c r="AD35" s="97">
        <f>SUMPRODUCT(MMULT('M2'!$M35:$AZ35,'M1'!AD$10:AD$49))</f>
        <v/>
      </c>
      <c r="AE35" s="97">
        <f>SUMPRODUCT(MMULT('M2'!$M35:$AZ35,'M1'!AE$10:AE$49))</f>
        <v/>
      </c>
      <c r="AF35" s="97">
        <f>SUMPRODUCT(MMULT('M2'!$M35:$AZ35,'M1'!AF$10:AF$49))</f>
        <v/>
      </c>
      <c r="AG35" s="97">
        <f>SUMPRODUCT(MMULT('M2'!$M35:$AZ35,'M1'!AG$10:AG$49))</f>
        <v/>
      </c>
      <c r="AH35" s="97">
        <f>SUMPRODUCT(MMULT('M2'!$M35:$AZ35,'M1'!AH$10:AH$49))</f>
        <v/>
      </c>
      <c r="AI35" s="97">
        <f>SUMPRODUCT(MMULT('M2'!$M35:$AZ35,'M1'!AI$10:AI$49))</f>
        <v/>
      </c>
      <c r="AJ35" s="97">
        <f>SUMPRODUCT(MMULT('M2'!$M35:$AZ35,'M1'!AJ$10:AJ$49))</f>
        <v/>
      </c>
      <c r="AK35" s="97">
        <f>SUMPRODUCT(MMULT('M2'!$M35:$AZ35,'M1'!AK$10:AK$49))</f>
        <v/>
      </c>
      <c r="AL35" s="97">
        <f>SUMPRODUCT(MMULT('M2'!$M35:$AZ35,'M1'!AL$10:AL$49))</f>
        <v/>
      </c>
      <c r="AM35" s="97">
        <f>SUMPRODUCT(MMULT('M2'!$M35:$AZ35,'M1'!AM$10:AM$49))</f>
        <v/>
      </c>
      <c r="AN35" s="97">
        <f>SUMPRODUCT(MMULT('M2'!$M35:$AZ35,'M1'!AN$10:AN$49))</f>
        <v/>
      </c>
      <c r="AO35" s="97">
        <f>SUMPRODUCT(MMULT('M2'!$M35:$AZ35,'M1'!AO$10:AO$49))</f>
        <v/>
      </c>
      <c r="AP35" s="97">
        <f>SUMPRODUCT(MMULT('M2'!$M35:$AZ35,'M1'!AP$10:AP$49))</f>
        <v/>
      </c>
      <c r="AQ35" s="97">
        <f>SUMPRODUCT(MMULT('M2'!$M35:$AZ35,'M1'!AQ$10:AQ$49))</f>
        <v/>
      </c>
      <c r="AR35" s="97">
        <f>SUMPRODUCT(MMULT('M2'!$M35:$AZ35,'M1'!AR$10:AR$49))</f>
        <v/>
      </c>
      <c r="AS35" s="97">
        <f>SUMPRODUCT(MMULT('M2'!$M35:$AZ35,'M1'!AS$10:AS$49))</f>
        <v/>
      </c>
      <c r="AT35" s="97">
        <f>SUMPRODUCT(MMULT('M2'!$M35:$AZ35,'M1'!AT$10:AT$49))</f>
        <v/>
      </c>
      <c r="AU35" s="97">
        <f>SUMPRODUCT(MMULT('M2'!$M35:$AZ35,'M1'!AU$10:AU$49))</f>
        <v/>
      </c>
      <c r="AV35" s="97">
        <f>SUMPRODUCT(MMULT('M2'!$M35:$AZ35,'M1'!AV$10:AV$49))</f>
        <v/>
      </c>
      <c r="AW35" s="97">
        <f>SUMPRODUCT(MMULT('M2'!$M35:$AZ35,'M1'!AW$10:AW$49))</f>
        <v/>
      </c>
      <c r="AX35" s="97">
        <f>SUMPRODUCT(MMULT('M2'!$M35:$AZ35,'M1'!AX$10:AX$49))</f>
        <v/>
      </c>
      <c r="AY35" s="97">
        <f>SUMPRODUCT(MMULT('M2'!$M35:$AZ35,'M1'!AY$10:AY$49))</f>
        <v/>
      </c>
      <c r="AZ35" s="97">
        <f>SUMPRODUCT(MMULT('M2'!$M35:$AZ35,'M1'!AZ$10:AZ$49))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SUMPRODUCT(MMULT('M2'!$M36:$AZ36,'M1'!M$10:M$49))</f>
        <v/>
      </c>
      <c r="N36" s="97">
        <f>SUMPRODUCT(MMULT('M2'!$M36:$AZ36,'M1'!N$10:N$49))</f>
        <v/>
      </c>
      <c r="O36" s="97">
        <f>SUMPRODUCT(MMULT('M2'!$M36:$AZ36,'M1'!O$10:O$49))</f>
        <v/>
      </c>
      <c r="P36" s="97">
        <f>SUMPRODUCT(MMULT('M2'!$M36:$AZ36,'M1'!P$10:P$49))</f>
        <v/>
      </c>
      <c r="Q36" s="97">
        <f>SUMPRODUCT(MMULT('M2'!$M36:$AZ36,'M1'!Q$10:Q$49))</f>
        <v/>
      </c>
      <c r="R36" s="97">
        <f>SUMPRODUCT(MMULT('M2'!$M36:$AZ36,'M1'!R$10:R$49))</f>
        <v/>
      </c>
      <c r="S36" s="97">
        <f>SUMPRODUCT(MMULT('M2'!$M36:$AZ36,'M1'!S$10:S$49))</f>
        <v/>
      </c>
      <c r="T36" s="97">
        <f>SUMPRODUCT(MMULT('M2'!$M36:$AZ36,'M1'!T$10:T$49))</f>
        <v/>
      </c>
      <c r="U36" s="97">
        <f>SUMPRODUCT(MMULT('M2'!$M36:$AZ36,'M1'!U$10:U$49))</f>
        <v/>
      </c>
      <c r="V36" s="97">
        <f>SUMPRODUCT(MMULT('M2'!$M36:$AZ36,'M1'!V$10:V$49))</f>
        <v/>
      </c>
      <c r="W36" s="97">
        <f>SUMPRODUCT(MMULT('M2'!$M36:$AZ36,'M1'!W$10:W$49))</f>
        <v/>
      </c>
      <c r="X36" s="97">
        <f>SUMPRODUCT(MMULT('M2'!$M36:$AZ36,'M1'!X$10:X$49))</f>
        <v/>
      </c>
      <c r="Y36" s="97">
        <f>SUMPRODUCT(MMULT('M2'!$M36:$AZ36,'M1'!Y$10:Y$49))</f>
        <v/>
      </c>
      <c r="Z36" s="97">
        <f>SUMPRODUCT(MMULT('M2'!$M36:$AZ36,'M1'!Z$10:Z$49))</f>
        <v/>
      </c>
      <c r="AA36" s="97">
        <f>SUMPRODUCT(MMULT('M2'!$M36:$AZ36,'M1'!AA$10:AA$49))</f>
        <v/>
      </c>
      <c r="AB36" s="97">
        <f>SUMPRODUCT(MMULT('M2'!$M36:$AZ36,'M1'!AB$10:AB$49))</f>
        <v/>
      </c>
      <c r="AC36" s="97">
        <f>SUMPRODUCT(MMULT('M2'!$M36:$AZ36,'M1'!AC$10:AC$49))</f>
        <v/>
      </c>
      <c r="AD36" s="97">
        <f>SUMPRODUCT(MMULT('M2'!$M36:$AZ36,'M1'!AD$10:AD$49))</f>
        <v/>
      </c>
      <c r="AE36" s="97">
        <f>SUMPRODUCT(MMULT('M2'!$M36:$AZ36,'M1'!AE$10:AE$49))</f>
        <v/>
      </c>
      <c r="AF36" s="97">
        <f>SUMPRODUCT(MMULT('M2'!$M36:$AZ36,'M1'!AF$10:AF$49))</f>
        <v/>
      </c>
      <c r="AG36" s="97">
        <f>SUMPRODUCT(MMULT('M2'!$M36:$AZ36,'M1'!AG$10:AG$49))</f>
        <v/>
      </c>
      <c r="AH36" s="97">
        <f>SUMPRODUCT(MMULT('M2'!$M36:$AZ36,'M1'!AH$10:AH$49))</f>
        <v/>
      </c>
      <c r="AI36" s="97">
        <f>SUMPRODUCT(MMULT('M2'!$M36:$AZ36,'M1'!AI$10:AI$49))</f>
        <v/>
      </c>
      <c r="AJ36" s="97">
        <f>SUMPRODUCT(MMULT('M2'!$M36:$AZ36,'M1'!AJ$10:AJ$49))</f>
        <v/>
      </c>
      <c r="AK36" s="97">
        <f>SUMPRODUCT(MMULT('M2'!$M36:$AZ36,'M1'!AK$10:AK$49))</f>
        <v/>
      </c>
      <c r="AL36" s="97">
        <f>SUMPRODUCT(MMULT('M2'!$M36:$AZ36,'M1'!AL$10:AL$49))</f>
        <v/>
      </c>
      <c r="AM36" s="97">
        <f>SUMPRODUCT(MMULT('M2'!$M36:$AZ36,'M1'!AM$10:AM$49))</f>
        <v/>
      </c>
      <c r="AN36" s="97">
        <f>SUMPRODUCT(MMULT('M2'!$M36:$AZ36,'M1'!AN$10:AN$49))</f>
        <v/>
      </c>
      <c r="AO36" s="97">
        <f>SUMPRODUCT(MMULT('M2'!$M36:$AZ36,'M1'!AO$10:AO$49))</f>
        <v/>
      </c>
      <c r="AP36" s="97">
        <f>SUMPRODUCT(MMULT('M2'!$M36:$AZ36,'M1'!AP$10:AP$49))</f>
        <v/>
      </c>
      <c r="AQ36" s="97">
        <f>SUMPRODUCT(MMULT('M2'!$M36:$AZ36,'M1'!AQ$10:AQ$49))</f>
        <v/>
      </c>
      <c r="AR36" s="97">
        <f>SUMPRODUCT(MMULT('M2'!$M36:$AZ36,'M1'!AR$10:AR$49))</f>
        <v/>
      </c>
      <c r="AS36" s="97">
        <f>SUMPRODUCT(MMULT('M2'!$M36:$AZ36,'M1'!AS$10:AS$49))</f>
        <v/>
      </c>
      <c r="AT36" s="97">
        <f>SUMPRODUCT(MMULT('M2'!$M36:$AZ36,'M1'!AT$10:AT$49))</f>
        <v/>
      </c>
      <c r="AU36" s="97">
        <f>SUMPRODUCT(MMULT('M2'!$M36:$AZ36,'M1'!AU$10:AU$49))</f>
        <v/>
      </c>
      <c r="AV36" s="97">
        <f>SUMPRODUCT(MMULT('M2'!$M36:$AZ36,'M1'!AV$10:AV$49))</f>
        <v/>
      </c>
      <c r="AW36" s="97">
        <f>SUMPRODUCT(MMULT('M2'!$M36:$AZ36,'M1'!AW$10:AW$49))</f>
        <v/>
      </c>
      <c r="AX36" s="97">
        <f>SUMPRODUCT(MMULT('M2'!$M36:$AZ36,'M1'!AX$10:AX$49))</f>
        <v/>
      </c>
      <c r="AY36" s="97">
        <f>SUMPRODUCT(MMULT('M2'!$M36:$AZ36,'M1'!AY$10:AY$49))</f>
        <v/>
      </c>
      <c r="AZ36" s="97">
        <f>SUMPRODUCT(MMULT('M2'!$M36:$AZ36,'M1'!AZ$10:AZ$49))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SUMPRODUCT(MMULT('M2'!$M37:$AZ37,'M1'!M$10:M$49))</f>
        <v/>
      </c>
      <c r="N37" s="97">
        <f>SUMPRODUCT(MMULT('M2'!$M37:$AZ37,'M1'!N$10:N$49))</f>
        <v/>
      </c>
      <c r="O37" s="97">
        <f>SUMPRODUCT(MMULT('M2'!$M37:$AZ37,'M1'!O$10:O$49))</f>
        <v/>
      </c>
      <c r="P37" s="97">
        <f>SUMPRODUCT(MMULT('M2'!$M37:$AZ37,'M1'!P$10:P$49))</f>
        <v/>
      </c>
      <c r="Q37" s="97">
        <f>SUMPRODUCT(MMULT('M2'!$M37:$AZ37,'M1'!Q$10:Q$49))</f>
        <v/>
      </c>
      <c r="R37" s="97">
        <f>SUMPRODUCT(MMULT('M2'!$M37:$AZ37,'M1'!R$10:R$49))</f>
        <v/>
      </c>
      <c r="S37" s="97">
        <f>SUMPRODUCT(MMULT('M2'!$M37:$AZ37,'M1'!S$10:S$49))</f>
        <v/>
      </c>
      <c r="T37" s="97">
        <f>SUMPRODUCT(MMULT('M2'!$M37:$AZ37,'M1'!T$10:T$49))</f>
        <v/>
      </c>
      <c r="U37" s="97">
        <f>SUMPRODUCT(MMULT('M2'!$M37:$AZ37,'M1'!U$10:U$49))</f>
        <v/>
      </c>
      <c r="V37" s="97">
        <f>SUMPRODUCT(MMULT('M2'!$M37:$AZ37,'M1'!V$10:V$49))</f>
        <v/>
      </c>
      <c r="W37" s="97">
        <f>SUMPRODUCT(MMULT('M2'!$M37:$AZ37,'M1'!W$10:W$49))</f>
        <v/>
      </c>
      <c r="X37" s="97">
        <f>SUMPRODUCT(MMULT('M2'!$M37:$AZ37,'M1'!X$10:X$49))</f>
        <v/>
      </c>
      <c r="Y37" s="97">
        <f>SUMPRODUCT(MMULT('M2'!$M37:$AZ37,'M1'!Y$10:Y$49))</f>
        <v/>
      </c>
      <c r="Z37" s="97">
        <f>SUMPRODUCT(MMULT('M2'!$M37:$AZ37,'M1'!Z$10:Z$49))</f>
        <v/>
      </c>
      <c r="AA37" s="97">
        <f>SUMPRODUCT(MMULT('M2'!$M37:$AZ37,'M1'!AA$10:AA$49))</f>
        <v/>
      </c>
      <c r="AB37" s="97">
        <f>SUMPRODUCT(MMULT('M2'!$M37:$AZ37,'M1'!AB$10:AB$49))</f>
        <v/>
      </c>
      <c r="AC37" s="97">
        <f>SUMPRODUCT(MMULT('M2'!$M37:$AZ37,'M1'!AC$10:AC$49))</f>
        <v/>
      </c>
      <c r="AD37" s="97">
        <f>SUMPRODUCT(MMULT('M2'!$M37:$AZ37,'M1'!AD$10:AD$49))</f>
        <v/>
      </c>
      <c r="AE37" s="97">
        <f>SUMPRODUCT(MMULT('M2'!$M37:$AZ37,'M1'!AE$10:AE$49))</f>
        <v/>
      </c>
      <c r="AF37" s="97">
        <f>SUMPRODUCT(MMULT('M2'!$M37:$AZ37,'M1'!AF$10:AF$49))</f>
        <v/>
      </c>
      <c r="AG37" s="97">
        <f>SUMPRODUCT(MMULT('M2'!$M37:$AZ37,'M1'!AG$10:AG$49))</f>
        <v/>
      </c>
      <c r="AH37" s="97">
        <f>SUMPRODUCT(MMULT('M2'!$M37:$AZ37,'M1'!AH$10:AH$49))</f>
        <v/>
      </c>
      <c r="AI37" s="97">
        <f>SUMPRODUCT(MMULT('M2'!$M37:$AZ37,'M1'!AI$10:AI$49))</f>
        <v/>
      </c>
      <c r="AJ37" s="97">
        <f>SUMPRODUCT(MMULT('M2'!$M37:$AZ37,'M1'!AJ$10:AJ$49))</f>
        <v/>
      </c>
      <c r="AK37" s="97">
        <f>SUMPRODUCT(MMULT('M2'!$M37:$AZ37,'M1'!AK$10:AK$49))</f>
        <v/>
      </c>
      <c r="AL37" s="97">
        <f>SUMPRODUCT(MMULT('M2'!$M37:$AZ37,'M1'!AL$10:AL$49))</f>
        <v/>
      </c>
      <c r="AM37" s="97">
        <f>SUMPRODUCT(MMULT('M2'!$M37:$AZ37,'M1'!AM$10:AM$49))</f>
        <v/>
      </c>
      <c r="AN37" s="97">
        <f>SUMPRODUCT(MMULT('M2'!$M37:$AZ37,'M1'!AN$10:AN$49))</f>
        <v/>
      </c>
      <c r="AO37" s="97">
        <f>SUMPRODUCT(MMULT('M2'!$M37:$AZ37,'M1'!AO$10:AO$49))</f>
        <v/>
      </c>
      <c r="AP37" s="97">
        <f>SUMPRODUCT(MMULT('M2'!$M37:$AZ37,'M1'!AP$10:AP$49))</f>
        <v/>
      </c>
      <c r="AQ37" s="97">
        <f>SUMPRODUCT(MMULT('M2'!$M37:$AZ37,'M1'!AQ$10:AQ$49))</f>
        <v/>
      </c>
      <c r="AR37" s="97">
        <f>SUMPRODUCT(MMULT('M2'!$M37:$AZ37,'M1'!AR$10:AR$49))</f>
        <v/>
      </c>
      <c r="AS37" s="97">
        <f>SUMPRODUCT(MMULT('M2'!$M37:$AZ37,'M1'!AS$10:AS$49))</f>
        <v/>
      </c>
      <c r="AT37" s="97">
        <f>SUMPRODUCT(MMULT('M2'!$M37:$AZ37,'M1'!AT$10:AT$49))</f>
        <v/>
      </c>
      <c r="AU37" s="97">
        <f>SUMPRODUCT(MMULT('M2'!$M37:$AZ37,'M1'!AU$10:AU$49))</f>
        <v/>
      </c>
      <c r="AV37" s="97">
        <f>SUMPRODUCT(MMULT('M2'!$M37:$AZ37,'M1'!AV$10:AV$49))</f>
        <v/>
      </c>
      <c r="AW37" s="97">
        <f>SUMPRODUCT(MMULT('M2'!$M37:$AZ37,'M1'!AW$10:AW$49))</f>
        <v/>
      </c>
      <c r="AX37" s="97">
        <f>SUMPRODUCT(MMULT('M2'!$M37:$AZ37,'M1'!AX$10:AX$49))</f>
        <v/>
      </c>
      <c r="AY37" s="97">
        <f>SUMPRODUCT(MMULT('M2'!$M37:$AZ37,'M1'!AY$10:AY$49))</f>
        <v/>
      </c>
      <c r="AZ37" s="97">
        <f>SUMPRODUCT(MMULT('M2'!$M37:$AZ37,'M1'!AZ$10:AZ$49))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SUMPRODUCT(MMULT('M2'!$M38:$AZ38,'M1'!M$10:M$49))</f>
        <v/>
      </c>
      <c r="N38" s="97">
        <f>SUMPRODUCT(MMULT('M2'!$M38:$AZ38,'M1'!N$10:N$49))</f>
        <v/>
      </c>
      <c r="O38" s="97">
        <f>SUMPRODUCT(MMULT('M2'!$M38:$AZ38,'M1'!O$10:O$49))</f>
        <v/>
      </c>
      <c r="P38" s="97">
        <f>SUMPRODUCT(MMULT('M2'!$M38:$AZ38,'M1'!P$10:P$49))</f>
        <v/>
      </c>
      <c r="Q38" s="97">
        <f>SUMPRODUCT(MMULT('M2'!$M38:$AZ38,'M1'!Q$10:Q$49))</f>
        <v/>
      </c>
      <c r="R38" s="97">
        <f>SUMPRODUCT(MMULT('M2'!$M38:$AZ38,'M1'!R$10:R$49))</f>
        <v/>
      </c>
      <c r="S38" s="97">
        <f>SUMPRODUCT(MMULT('M2'!$M38:$AZ38,'M1'!S$10:S$49))</f>
        <v/>
      </c>
      <c r="T38" s="97">
        <f>SUMPRODUCT(MMULT('M2'!$M38:$AZ38,'M1'!T$10:T$49))</f>
        <v/>
      </c>
      <c r="U38" s="97">
        <f>SUMPRODUCT(MMULT('M2'!$M38:$AZ38,'M1'!U$10:U$49))</f>
        <v/>
      </c>
      <c r="V38" s="97">
        <f>SUMPRODUCT(MMULT('M2'!$M38:$AZ38,'M1'!V$10:V$49))</f>
        <v/>
      </c>
      <c r="W38" s="97">
        <f>SUMPRODUCT(MMULT('M2'!$M38:$AZ38,'M1'!W$10:W$49))</f>
        <v/>
      </c>
      <c r="X38" s="97">
        <f>SUMPRODUCT(MMULT('M2'!$M38:$AZ38,'M1'!X$10:X$49))</f>
        <v/>
      </c>
      <c r="Y38" s="97">
        <f>SUMPRODUCT(MMULT('M2'!$M38:$AZ38,'M1'!Y$10:Y$49))</f>
        <v/>
      </c>
      <c r="Z38" s="97">
        <f>SUMPRODUCT(MMULT('M2'!$M38:$AZ38,'M1'!Z$10:Z$49))</f>
        <v/>
      </c>
      <c r="AA38" s="97">
        <f>SUMPRODUCT(MMULT('M2'!$M38:$AZ38,'M1'!AA$10:AA$49))</f>
        <v/>
      </c>
      <c r="AB38" s="97">
        <f>SUMPRODUCT(MMULT('M2'!$M38:$AZ38,'M1'!AB$10:AB$49))</f>
        <v/>
      </c>
      <c r="AC38" s="97">
        <f>SUMPRODUCT(MMULT('M2'!$M38:$AZ38,'M1'!AC$10:AC$49))</f>
        <v/>
      </c>
      <c r="AD38" s="97">
        <f>SUMPRODUCT(MMULT('M2'!$M38:$AZ38,'M1'!AD$10:AD$49))</f>
        <v/>
      </c>
      <c r="AE38" s="97">
        <f>SUMPRODUCT(MMULT('M2'!$M38:$AZ38,'M1'!AE$10:AE$49))</f>
        <v/>
      </c>
      <c r="AF38" s="97">
        <f>SUMPRODUCT(MMULT('M2'!$M38:$AZ38,'M1'!AF$10:AF$49))</f>
        <v/>
      </c>
      <c r="AG38" s="97">
        <f>SUMPRODUCT(MMULT('M2'!$M38:$AZ38,'M1'!AG$10:AG$49))</f>
        <v/>
      </c>
      <c r="AH38" s="97">
        <f>SUMPRODUCT(MMULT('M2'!$M38:$AZ38,'M1'!AH$10:AH$49))</f>
        <v/>
      </c>
      <c r="AI38" s="97">
        <f>SUMPRODUCT(MMULT('M2'!$M38:$AZ38,'M1'!AI$10:AI$49))</f>
        <v/>
      </c>
      <c r="AJ38" s="97">
        <f>SUMPRODUCT(MMULT('M2'!$M38:$AZ38,'M1'!AJ$10:AJ$49))</f>
        <v/>
      </c>
      <c r="AK38" s="97">
        <f>SUMPRODUCT(MMULT('M2'!$M38:$AZ38,'M1'!AK$10:AK$49))</f>
        <v/>
      </c>
      <c r="AL38" s="97">
        <f>SUMPRODUCT(MMULT('M2'!$M38:$AZ38,'M1'!AL$10:AL$49))</f>
        <v/>
      </c>
      <c r="AM38" s="97">
        <f>SUMPRODUCT(MMULT('M2'!$M38:$AZ38,'M1'!AM$10:AM$49))</f>
        <v/>
      </c>
      <c r="AN38" s="97">
        <f>SUMPRODUCT(MMULT('M2'!$M38:$AZ38,'M1'!AN$10:AN$49))</f>
        <v/>
      </c>
      <c r="AO38" s="97">
        <f>SUMPRODUCT(MMULT('M2'!$M38:$AZ38,'M1'!AO$10:AO$49))</f>
        <v/>
      </c>
      <c r="AP38" s="97">
        <f>SUMPRODUCT(MMULT('M2'!$M38:$AZ38,'M1'!AP$10:AP$49))</f>
        <v/>
      </c>
      <c r="AQ38" s="97">
        <f>SUMPRODUCT(MMULT('M2'!$M38:$AZ38,'M1'!AQ$10:AQ$49))</f>
        <v/>
      </c>
      <c r="AR38" s="97">
        <f>SUMPRODUCT(MMULT('M2'!$M38:$AZ38,'M1'!AR$10:AR$49))</f>
        <v/>
      </c>
      <c r="AS38" s="97">
        <f>SUMPRODUCT(MMULT('M2'!$M38:$AZ38,'M1'!AS$10:AS$49))</f>
        <v/>
      </c>
      <c r="AT38" s="97">
        <f>SUMPRODUCT(MMULT('M2'!$M38:$AZ38,'M1'!AT$10:AT$49))</f>
        <v/>
      </c>
      <c r="AU38" s="97">
        <f>SUMPRODUCT(MMULT('M2'!$M38:$AZ38,'M1'!AU$10:AU$49))</f>
        <v/>
      </c>
      <c r="AV38" s="97">
        <f>SUMPRODUCT(MMULT('M2'!$M38:$AZ38,'M1'!AV$10:AV$49))</f>
        <v/>
      </c>
      <c r="AW38" s="97">
        <f>SUMPRODUCT(MMULT('M2'!$M38:$AZ38,'M1'!AW$10:AW$49))</f>
        <v/>
      </c>
      <c r="AX38" s="97">
        <f>SUMPRODUCT(MMULT('M2'!$M38:$AZ38,'M1'!AX$10:AX$49))</f>
        <v/>
      </c>
      <c r="AY38" s="97">
        <f>SUMPRODUCT(MMULT('M2'!$M38:$AZ38,'M1'!AY$10:AY$49))</f>
        <v/>
      </c>
      <c r="AZ38" s="97">
        <f>SUMPRODUCT(MMULT('M2'!$M38:$AZ38,'M1'!AZ$10:AZ$49))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SUMPRODUCT(MMULT('M2'!$M39:$AZ39,'M1'!M$10:M$49))</f>
        <v/>
      </c>
      <c r="N39" s="97">
        <f>SUMPRODUCT(MMULT('M2'!$M39:$AZ39,'M1'!N$10:N$49))</f>
        <v/>
      </c>
      <c r="O39" s="97">
        <f>SUMPRODUCT(MMULT('M2'!$M39:$AZ39,'M1'!O$10:O$49))</f>
        <v/>
      </c>
      <c r="P39" s="97">
        <f>SUMPRODUCT(MMULT('M2'!$M39:$AZ39,'M1'!P$10:P$49))</f>
        <v/>
      </c>
      <c r="Q39" s="97">
        <f>SUMPRODUCT(MMULT('M2'!$M39:$AZ39,'M1'!Q$10:Q$49))</f>
        <v/>
      </c>
      <c r="R39" s="97">
        <f>SUMPRODUCT(MMULT('M2'!$M39:$AZ39,'M1'!R$10:R$49))</f>
        <v/>
      </c>
      <c r="S39" s="97">
        <f>SUMPRODUCT(MMULT('M2'!$M39:$AZ39,'M1'!S$10:S$49))</f>
        <v/>
      </c>
      <c r="T39" s="97">
        <f>SUMPRODUCT(MMULT('M2'!$M39:$AZ39,'M1'!T$10:T$49))</f>
        <v/>
      </c>
      <c r="U39" s="97">
        <f>SUMPRODUCT(MMULT('M2'!$M39:$AZ39,'M1'!U$10:U$49))</f>
        <v/>
      </c>
      <c r="V39" s="97">
        <f>SUMPRODUCT(MMULT('M2'!$M39:$AZ39,'M1'!V$10:V$49))</f>
        <v/>
      </c>
      <c r="W39" s="97">
        <f>SUMPRODUCT(MMULT('M2'!$M39:$AZ39,'M1'!W$10:W$49))</f>
        <v/>
      </c>
      <c r="X39" s="97">
        <f>SUMPRODUCT(MMULT('M2'!$M39:$AZ39,'M1'!X$10:X$49))</f>
        <v/>
      </c>
      <c r="Y39" s="97">
        <f>SUMPRODUCT(MMULT('M2'!$M39:$AZ39,'M1'!Y$10:Y$49))</f>
        <v/>
      </c>
      <c r="Z39" s="97">
        <f>SUMPRODUCT(MMULT('M2'!$M39:$AZ39,'M1'!Z$10:Z$49))</f>
        <v/>
      </c>
      <c r="AA39" s="97">
        <f>SUMPRODUCT(MMULT('M2'!$M39:$AZ39,'M1'!AA$10:AA$49))</f>
        <v/>
      </c>
      <c r="AB39" s="97">
        <f>SUMPRODUCT(MMULT('M2'!$M39:$AZ39,'M1'!AB$10:AB$49))</f>
        <v/>
      </c>
      <c r="AC39" s="97">
        <f>SUMPRODUCT(MMULT('M2'!$M39:$AZ39,'M1'!AC$10:AC$49))</f>
        <v/>
      </c>
      <c r="AD39" s="97">
        <f>SUMPRODUCT(MMULT('M2'!$M39:$AZ39,'M1'!AD$10:AD$49))</f>
        <v/>
      </c>
      <c r="AE39" s="97">
        <f>SUMPRODUCT(MMULT('M2'!$M39:$AZ39,'M1'!AE$10:AE$49))</f>
        <v/>
      </c>
      <c r="AF39" s="97">
        <f>SUMPRODUCT(MMULT('M2'!$M39:$AZ39,'M1'!AF$10:AF$49))</f>
        <v/>
      </c>
      <c r="AG39" s="97">
        <f>SUMPRODUCT(MMULT('M2'!$M39:$AZ39,'M1'!AG$10:AG$49))</f>
        <v/>
      </c>
      <c r="AH39" s="97">
        <f>SUMPRODUCT(MMULT('M2'!$M39:$AZ39,'M1'!AH$10:AH$49))</f>
        <v/>
      </c>
      <c r="AI39" s="97">
        <f>SUMPRODUCT(MMULT('M2'!$M39:$AZ39,'M1'!AI$10:AI$49))</f>
        <v/>
      </c>
      <c r="AJ39" s="97">
        <f>SUMPRODUCT(MMULT('M2'!$M39:$AZ39,'M1'!AJ$10:AJ$49))</f>
        <v/>
      </c>
      <c r="AK39" s="97">
        <f>SUMPRODUCT(MMULT('M2'!$M39:$AZ39,'M1'!AK$10:AK$49))</f>
        <v/>
      </c>
      <c r="AL39" s="97">
        <f>SUMPRODUCT(MMULT('M2'!$M39:$AZ39,'M1'!AL$10:AL$49))</f>
        <v/>
      </c>
      <c r="AM39" s="97">
        <f>SUMPRODUCT(MMULT('M2'!$M39:$AZ39,'M1'!AM$10:AM$49))</f>
        <v/>
      </c>
      <c r="AN39" s="97">
        <f>SUMPRODUCT(MMULT('M2'!$M39:$AZ39,'M1'!AN$10:AN$49))</f>
        <v/>
      </c>
      <c r="AO39" s="97">
        <f>SUMPRODUCT(MMULT('M2'!$M39:$AZ39,'M1'!AO$10:AO$49))</f>
        <v/>
      </c>
      <c r="AP39" s="97">
        <f>SUMPRODUCT(MMULT('M2'!$M39:$AZ39,'M1'!AP$10:AP$49))</f>
        <v/>
      </c>
      <c r="AQ39" s="97">
        <f>SUMPRODUCT(MMULT('M2'!$M39:$AZ39,'M1'!AQ$10:AQ$49))</f>
        <v/>
      </c>
      <c r="AR39" s="97">
        <f>SUMPRODUCT(MMULT('M2'!$M39:$AZ39,'M1'!AR$10:AR$49))</f>
        <v/>
      </c>
      <c r="AS39" s="97">
        <f>SUMPRODUCT(MMULT('M2'!$M39:$AZ39,'M1'!AS$10:AS$49))</f>
        <v/>
      </c>
      <c r="AT39" s="97">
        <f>SUMPRODUCT(MMULT('M2'!$M39:$AZ39,'M1'!AT$10:AT$49))</f>
        <v/>
      </c>
      <c r="AU39" s="97">
        <f>SUMPRODUCT(MMULT('M2'!$M39:$AZ39,'M1'!AU$10:AU$49))</f>
        <v/>
      </c>
      <c r="AV39" s="97">
        <f>SUMPRODUCT(MMULT('M2'!$M39:$AZ39,'M1'!AV$10:AV$49))</f>
        <v/>
      </c>
      <c r="AW39" s="97">
        <f>SUMPRODUCT(MMULT('M2'!$M39:$AZ39,'M1'!AW$10:AW$49))</f>
        <v/>
      </c>
      <c r="AX39" s="97">
        <f>SUMPRODUCT(MMULT('M2'!$M39:$AZ39,'M1'!AX$10:AX$49))</f>
        <v/>
      </c>
      <c r="AY39" s="97">
        <f>SUMPRODUCT(MMULT('M2'!$M39:$AZ39,'M1'!AY$10:AY$49))</f>
        <v/>
      </c>
      <c r="AZ39" s="97">
        <f>SUMPRODUCT(MMULT('M2'!$M39:$AZ39,'M1'!AZ$10:AZ$49))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SUMPRODUCT(MMULT('M2'!$M40:$AZ40,'M1'!M$10:M$49))</f>
        <v/>
      </c>
      <c r="N40" s="97">
        <f>SUMPRODUCT(MMULT('M2'!$M40:$AZ40,'M1'!N$10:N$49))</f>
        <v/>
      </c>
      <c r="O40" s="97">
        <f>SUMPRODUCT(MMULT('M2'!$M40:$AZ40,'M1'!O$10:O$49))</f>
        <v/>
      </c>
      <c r="P40" s="97">
        <f>SUMPRODUCT(MMULT('M2'!$M40:$AZ40,'M1'!P$10:P$49))</f>
        <v/>
      </c>
      <c r="Q40" s="97">
        <f>SUMPRODUCT(MMULT('M2'!$M40:$AZ40,'M1'!Q$10:Q$49))</f>
        <v/>
      </c>
      <c r="R40" s="97">
        <f>SUMPRODUCT(MMULT('M2'!$M40:$AZ40,'M1'!R$10:R$49))</f>
        <v/>
      </c>
      <c r="S40" s="97">
        <f>SUMPRODUCT(MMULT('M2'!$M40:$AZ40,'M1'!S$10:S$49))</f>
        <v/>
      </c>
      <c r="T40" s="97">
        <f>SUMPRODUCT(MMULT('M2'!$M40:$AZ40,'M1'!T$10:T$49))</f>
        <v/>
      </c>
      <c r="U40" s="97">
        <f>SUMPRODUCT(MMULT('M2'!$M40:$AZ40,'M1'!U$10:U$49))</f>
        <v/>
      </c>
      <c r="V40" s="97">
        <f>SUMPRODUCT(MMULT('M2'!$M40:$AZ40,'M1'!V$10:V$49))</f>
        <v/>
      </c>
      <c r="W40" s="97">
        <f>SUMPRODUCT(MMULT('M2'!$M40:$AZ40,'M1'!W$10:W$49))</f>
        <v/>
      </c>
      <c r="X40" s="97">
        <f>SUMPRODUCT(MMULT('M2'!$M40:$AZ40,'M1'!X$10:X$49))</f>
        <v/>
      </c>
      <c r="Y40" s="97">
        <f>SUMPRODUCT(MMULT('M2'!$M40:$AZ40,'M1'!Y$10:Y$49))</f>
        <v/>
      </c>
      <c r="Z40" s="97">
        <f>SUMPRODUCT(MMULT('M2'!$M40:$AZ40,'M1'!Z$10:Z$49))</f>
        <v/>
      </c>
      <c r="AA40" s="97">
        <f>SUMPRODUCT(MMULT('M2'!$M40:$AZ40,'M1'!AA$10:AA$49))</f>
        <v/>
      </c>
      <c r="AB40" s="97">
        <f>SUMPRODUCT(MMULT('M2'!$M40:$AZ40,'M1'!AB$10:AB$49))</f>
        <v/>
      </c>
      <c r="AC40" s="97">
        <f>SUMPRODUCT(MMULT('M2'!$M40:$AZ40,'M1'!AC$10:AC$49))</f>
        <v/>
      </c>
      <c r="AD40" s="97">
        <f>SUMPRODUCT(MMULT('M2'!$M40:$AZ40,'M1'!AD$10:AD$49))</f>
        <v/>
      </c>
      <c r="AE40" s="97">
        <f>SUMPRODUCT(MMULT('M2'!$M40:$AZ40,'M1'!AE$10:AE$49))</f>
        <v/>
      </c>
      <c r="AF40" s="97">
        <f>SUMPRODUCT(MMULT('M2'!$M40:$AZ40,'M1'!AF$10:AF$49))</f>
        <v/>
      </c>
      <c r="AG40" s="97">
        <f>SUMPRODUCT(MMULT('M2'!$M40:$AZ40,'M1'!AG$10:AG$49))</f>
        <v/>
      </c>
      <c r="AH40" s="97">
        <f>SUMPRODUCT(MMULT('M2'!$M40:$AZ40,'M1'!AH$10:AH$49))</f>
        <v/>
      </c>
      <c r="AI40" s="97">
        <f>SUMPRODUCT(MMULT('M2'!$M40:$AZ40,'M1'!AI$10:AI$49))</f>
        <v/>
      </c>
      <c r="AJ40" s="97">
        <f>SUMPRODUCT(MMULT('M2'!$M40:$AZ40,'M1'!AJ$10:AJ$49))</f>
        <v/>
      </c>
      <c r="AK40" s="97">
        <f>SUMPRODUCT(MMULT('M2'!$M40:$AZ40,'M1'!AK$10:AK$49))</f>
        <v/>
      </c>
      <c r="AL40" s="97">
        <f>SUMPRODUCT(MMULT('M2'!$M40:$AZ40,'M1'!AL$10:AL$49))</f>
        <v/>
      </c>
      <c r="AM40" s="97">
        <f>SUMPRODUCT(MMULT('M2'!$M40:$AZ40,'M1'!AM$10:AM$49))</f>
        <v/>
      </c>
      <c r="AN40" s="97">
        <f>SUMPRODUCT(MMULT('M2'!$M40:$AZ40,'M1'!AN$10:AN$49))</f>
        <v/>
      </c>
      <c r="AO40" s="97">
        <f>SUMPRODUCT(MMULT('M2'!$M40:$AZ40,'M1'!AO$10:AO$49))</f>
        <v/>
      </c>
      <c r="AP40" s="97">
        <f>SUMPRODUCT(MMULT('M2'!$M40:$AZ40,'M1'!AP$10:AP$49))</f>
        <v/>
      </c>
      <c r="AQ40" s="97">
        <f>SUMPRODUCT(MMULT('M2'!$M40:$AZ40,'M1'!AQ$10:AQ$49))</f>
        <v/>
      </c>
      <c r="AR40" s="97">
        <f>SUMPRODUCT(MMULT('M2'!$M40:$AZ40,'M1'!AR$10:AR$49))</f>
        <v/>
      </c>
      <c r="AS40" s="97">
        <f>SUMPRODUCT(MMULT('M2'!$M40:$AZ40,'M1'!AS$10:AS$49))</f>
        <v/>
      </c>
      <c r="AT40" s="97">
        <f>SUMPRODUCT(MMULT('M2'!$M40:$AZ40,'M1'!AT$10:AT$49))</f>
        <v/>
      </c>
      <c r="AU40" s="97">
        <f>SUMPRODUCT(MMULT('M2'!$M40:$AZ40,'M1'!AU$10:AU$49))</f>
        <v/>
      </c>
      <c r="AV40" s="97">
        <f>SUMPRODUCT(MMULT('M2'!$M40:$AZ40,'M1'!AV$10:AV$49))</f>
        <v/>
      </c>
      <c r="AW40" s="97">
        <f>SUMPRODUCT(MMULT('M2'!$M40:$AZ40,'M1'!AW$10:AW$49))</f>
        <v/>
      </c>
      <c r="AX40" s="97">
        <f>SUMPRODUCT(MMULT('M2'!$M40:$AZ40,'M1'!AX$10:AX$49))</f>
        <v/>
      </c>
      <c r="AY40" s="97">
        <f>SUMPRODUCT(MMULT('M2'!$M40:$AZ40,'M1'!AY$10:AY$49))</f>
        <v/>
      </c>
      <c r="AZ40" s="97">
        <f>SUMPRODUCT(MMULT('M2'!$M40:$AZ40,'M1'!AZ$10:AZ$49))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SUMPRODUCT(MMULT('M2'!$M41:$AZ41,'M1'!M$10:M$49))</f>
        <v/>
      </c>
      <c r="N41" s="97">
        <f>SUMPRODUCT(MMULT('M2'!$M41:$AZ41,'M1'!N$10:N$49))</f>
        <v/>
      </c>
      <c r="O41" s="97">
        <f>SUMPRODUCT(MMULT('M2'!$M41:$AZ41,'M1'!O$10:O$49))</f>
        <v/>
      </c>
      <c r="P41" s="97">
        <f>SUMPRODUCT(MMULT('M2'!$M41:$AZ41,'M1'!P$10:P$49))</f>
        <v/>
      </c>
      <c r="Q41" s="97">
        <f>SUMPRODUCT(MMULT('M2'!$M41:$AZ41,'M1'!Q$10:Q$49))</f>
        <v/>
      </c>
      <c r="R41" s="97">
        <f>SUMPRODUCT(MMULT('M2'!$M41:$AZ41,'M1'!R$10:R$49))</f>
        <v/>
      </c>
      <c r="S41" s="97">
        <f>SUMPRODUCT(MMULT('M2'!$M41:$AZ41,'M1'!S$10:S$49))</f>
        <v/>
      </c>
      <c r="T41" s="97">
        <f>SUMPRODUCT(MMULT('M2'!$M41:$AZ41,'M1'!T$10:T$49))</f>
        <v/>
      </c>
      <c r="U41" s="97">
        <f>SUMPRODUCT(MMULT('M2'!$M41:$AZ41,'M1'!U$10:U$49))</f>
        <v/>
      </c>
      <c r="V41" s="97">
        <f>SUMPRODUCT(MMULT('M2'!$M41:$AZ41,'M1'!V$10:V$49))</f>
        <v/>
      </c>
      <c r="W41" s="97">
        <f>SUMPRODUCT(MMULT('M2'!$M41:$AZ41,'M1'!W$10:W$49))</f>
        <v/>
      </c>
      <c r="X41" s="97">
        <f>SUMPRODUCT(MMULT('M2'!$M41:$AZ41,'M1'!X$10:X$49))</f>
        <v/>
      </c>
      <c r="Y41" s="97">
        <f>SUMPRODUCT(MMULT('M2'!$M41:$AZ41,'M1'!Y$10:Y$49))</f>
        <v/>
      </c>
      <c r="Z41" s="97">
        <f>SUMPRODUCT(MMULT('M2'!$M41:$AZ41,'M1'!Z$10:Z$49))</f>
        <v/>
      </c>
      <c r="AA41" s="97">
        <f>SUMPRODUCT(MMULT('M2'!$M41:$AZ41,'M1'!AA$10:AA$49))</f>
        <v/>
      </c>
      <c r="AB41" s="97">
        <f>SUMPRODUCT(MMULT('M2'!$M41:$AZ41,'M1'!AB$10:AB$49))</f>
        <v/>
      </c>
      <c r="AC41" s="97">
        <f>SUMPRODUCT(MMULT('M2'!$M41:$AZ41,'M1'!AC$10:AC$49))</f>
        <v/>
      </c>
      <c r="AD41" s="97">
        <f>SUMPRODUCT(MMULT('M2'!$M41:$AZ41,'M1'!AD$10:AD$49))</f>
        <v/>
      </c>
      <c r="AE41" s="97">
        <f>SUMPRODUCT(MMULT('M2'!$M41:$AZ41,'M1'!AE$10:AE$49))</f>
        <v/>
      </c>
      <c r="AF41" s="97">
        <f>SUMPRODUCT(MMULT('M2'!$M41:$AZ41,'M1'!AF$10:AF$49))</f>
        <v/>
      </c>
      <c r="AG41" s="97">
        <f>SUMPRODUCT(MMULT('M2'!$M41:$AZ41,'M1'!AG$10:AG$49))</f>
        <v/>
      </c>
      <c r="AH41" s="97">
        <f>SUMPRODUCT(MMULT('M2'!$M41:$AZ41,'M1'!AH$10:AH$49))</f>
        <v/>
      </c>
      <c r="AI41" s="97">
        <f>SUMPRODUCT(MMULT('M2'!$M41:$AZ41,'M1'!AI$10:AI$49))</f>
        <v/>
      </c>
      <c r="AJ41" s="97">
        <f>SUMPRODUCT(MMULT('M2'!$M41:$AZ41,'M1'!AJ$10:AJ$49))</f>
        <v/>
      </c>
      <c r="AK41" s="97">
        <f>SUMPRODUCT(MMULT('M2'!$M41:$AZ41,'M1'!AK$10:AK$49))</f>
        <v/>
      </c>
      <c r="AL41" s="97">
        <f>SUMPRODUCT(MMULT('M2'!$M41:$AZ41,'M1'!AL$10:AL$49))</f>
        <v/>
      </c>
      <c r="AM41" s="97">
        <f>SUMPRODUCT(MMULT('M2'!$M41:$AZ41,'M1'!AM$10:AM$49))</f>
        <v/>
      </c>
      <c r="AN41" s="97">
        <f>SUMPRODUCT(MMULT('M2'!$M41:$AZ41,'M1'!AN$10:AN$49))</f>
        <v/>
      </c>
      <c r="AO41" s="97">
        <f>SUMPRODUCT(MMULT('M2'!$M41:$AZ41,'M1'!AO$10:AO$49))</f>
        <v/>
      </c>
      <c r="AP41" s="97">
        <f>SUMPRODUCT(MMULT('M2'!$M41:$AZ41,'M1'!AP$10:AP$49))</f>
        <v/>
      </c>
      <c r="AQ41" s="97">
        <f>SUMPRODUCT(MMULT('M2'!$M41:$AZ41,'M1'!AQ$10:AQ$49))</f>
        <v/>
      </c>
      <c r="AR41" s="97">
        <f>SUMPRODUCT(MMULT('M2'!$M41:$AZ41,'M1'!AR$10:AR$49))</f>
        <v/>
      </c>
      <c r="AS41" s="97">
        <f>SUMPRODUCT(MMULT('M2'!$M41:$AZ41,'M1'!AS$10:AS$49))</f>
        <v/>
      </c>
      <c r="AT41" s="97">
        <f>SUMPRODUCT(MMULT('M2'!$M41:$AZ41,'M1'!AT$10:AT$49))</f>
        <v/>
      </c>
      <c r="AU41" s="97">
        <f>SUMPRODUCT(MMULT('M2'!$M41:$AZ41,'M1'!AU$10:AU$49))</f>
        <v/>
      </c>
      <c r="AV41" s="97">
        <f>SUMPRODUCT(MMULT('M2'!$M41:$AZ41,'M1'!AV$10:AV$49))</f>
        <v/>
      </c>
      <c r="AW41" s="97">
        <f>SUMPRODUCT(MMULT('M2'!$M41:$AZ41,'M1'!AW$10:AW$49))</f>
        <v/>
      </c>
      <c r="AX41" s="97">
        <f>SUMPRODUCT(MMULT('M2'!$M41:$AZ41,'M1'!AX$10:AX$49))</f>
        <v/>
      </c>
      <c r="AY41" s="97">
        <f>SUMPRODUCT(MMULT('M2'!$M41:$AZ41,'M1'!AY$10:AY$49))</f>
        <v/>
      </c>
      <c r="AZ41" s="97">
        <f>SUMPRODUCT(MMULT('M2'!$M41:$AZ41,'M1'!AZ$10:AZ$49))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SUMPRODUCT(MMULT('M2'!$M42:$AZ42,'M1'!M$10:M$49))</f>
        <v/>
      </c>
      <c r="N42" s="97">
        <f>SUMPRODUCT(MMULT('M2'!$M42:$AZ42,'M1'!N$10:N$49))</f>
        <v/>
      </c>
      <c r="O42" s="97">
        <f>SUMPRODUCT(MMULT('M2'!$M42:$AZ42,'M1'!O$10:O$49))</f>
        <v/>
      </c>
      <c r="P42" s="97">
        <f>SUMPRODUCT(MMULT('M2'!$M42:$AZ42,'M1'!P$10:P$49))</f>
        <v/>
      </c>
      <c r="Q42" s="97">
        <f>SUMPRODUCT(MMULT('M2'!$M42:$AZ42,'M1'!Q$10:Q$49))</f>
        <v/>
      </c>
      <c r="R42" s="97">
        <f>SUMPRODUCT(MMULT('M2'!$M42:$AZ42,'M1'!R$10:R$49))</f>
        <v/>
      </c>
      <c r="S42" s="97">
        <f>SUMPRODUCT(MMULT('M2'!$M42:$AZ42,'M1'!S$10:S$49))</f>
        <v/>
      </c>
      <c r="T42" s="97">
        <f>SUMPRODUCT(MMULT('M2'!$M42:$AZ42,'M1'!T$10:T$49))</f>
        <v/>
      </c>
      <c r="U42" s="97">
        <f>SUMPRODUCT(MMULT('M2'!$M42:$AZ42,'M1'!U$10:U$49))</f>
        <v/>
      </c>
      <c r="V42" s="97">
        <f>SUMPRODUCT(MMULT('M2'!$M42:$AZ42,'M1'!V$10:V$49))</f>
        <v/>
      </c>
      <c r="W42" s="97">
        <f>SUMPRODUCT(MMULT('M2'!$M42:$AZ42,'M1'!W$10:W$49))</f>
        <v/>
      </c>
      <c r="X42" s="97">
        <f>SUMPRODUCT(MMULT('M2'!$M42:$AZ42,'M1'!X$10:X$49))</f>
        <v/>
      </c>
      <c r="Y42" s="97">
        <f>SUMPRODUCT(MMULT('M2'!$M42:$AZ42,'M1'!Y$10:Y$49))</f>
        <v/>
      </c>
      <c r="Z42" s="97">
        <f>SUMPRODUCT(MMULT('M2'!$M42:$AZ42,'M1'!Z$10:Z$49))</f>
        <v/>
      </c>
      <c r="AA42" s="97">
        <f>SUMPRODUCT(MMULT('M2'!$M42:$AZ42,'M1'!AA$10:AA$49))</f>
        <v/>
      </c>
      <c r="AB42" s="97">
        <f>SUMPRODUCT(MMULT('M2'!$M42:$AZ42,'M1'!AB$10:AB$49))</f>
        <v/>
      </c>
      <c r="AC42" s="97">
        <f>SUMPRODUCT(MMULT('M2'!$M42:$AZ42,'M1'!AC$10:AC$49))</f>
        <v/>
      </c>
      <c r="AD42" s="97">
        <f>SUMPRODUCT(MMULT('M2'!$M42:$AZ42,'M1'!AD$10:AD$49))</f>
        <v/>
      </c>
      <c r="AE42" s="97">
        <f>SUMPRODUCT(MMULT('M2'!$M42:$AZ42,'M1'!AE$10:AE$49))</f>
        <v/>
      </c>
      <c r="AF42" s="97">
        <f>SUMPRODUCT(MMULT('M2'!$M42:$AZ42,'M1'!AF$10:AF$49))</f>
        <v/>
      </c>
      <c r="AG42" s="97">
        <f>SUMPRODUCT(MMULT('M2'!$M42:$AZ42,'M1'!AG$10:AG$49))</f>
        <v/>
      </c>
      <c r="AH42" s="97">
        <f>SUMPRODUCT(MMULT('M2'!$M42:$AZ42,'M1'!AH$10:AH$49))</f>
        <v/>
      </c>
      <c r="AI42" s="97">
        <f>SUMPRODUCT(MMULT('M2'!$M42:$AZ42,'M1'!AI$10:AI$49))</f>
        <v/>
      </c>
      <c r="AJ42" s="97">
        <f>SUMPRODUCT(MMULT('M2'!$M42:$AZ42,'M1'!AJ$10:AJ$49))</f>
        <v/>
      </c>
      <c r="AK42" s="97">
        <f>SUMPRODUCT(MMULT('M2'!$M42:$AZ42,'M1'!AK$10:AK$49))</f>
        <v/>
      </c>
      <c r="AL42" s="97">
        <f>SUMPRODUCT(MMULT('M2'!$M42:$AZ42,'M1'!AL$10:AL$49))</f>
        <v/>
      </c>
      <c r="AM42" s="97">
        <f>SUMPRODUCT(MMULT('M2'!$M42:$AZ42,'M1'!AM$10:AM$49))</f>
        <v/>
      </c>
      <c r="AN42" s="97">
        <f>SUMPRODUCT(MMULT('M2'!$M42:$AZ42,'M1'!AN$10:AN$49))</f>
        <v/>
      </c>
      <c r="AO42" s="97">
        <f>SUMPRODUCT(MMULT('M2'!$M42:$AZ42,'M1'!AO$10:AO$49))</f>
        <v/>
      </c>
      <c r="AP42" s="97">
        <f>SUMPRODUCT(MMULT('M2'!$M42:$AZ42,'M1'!AP$10:AP$49))</f>
        <v/>
      </c>
      <c r="AQ42" s="97">
        <f>SUMPRODUCT(MMULT('M2'!$M42:$AZ42,'M1'!AQ$10:AQ$49))</f>
        <v/>
      </c>
      <c r="AR42" s="97">
        <f>SUMPRODUCT(MMULT('M2'!$M42:$AZ42,'M1'!AR$10:AR$49))</f>
        <v/>
      </c>
      <c r="AS42" s="97">
        <f>SUMPRODUCT(MMULT('M2'!$M42:$AZ42,'M1'!AS$10:AS$49))</f>
        <v/>
      </c>
      <c r="AT42" s="97">
        <f>SUMPRODUCT(MMULT('M2'!$M42:$AZ42,'M1'!AT$10:AT$49))</f>
        <v/>
      </c>
      <c r="AU42" s="97">
        <f>SUMPRODUCT(MMULT('M2'!$M42:$AZ42,'M1'!AU$10:AU$49))</f>
        <v/>
      </c>
      <c r="AV42" s="97">
        <f>SUMPRODUCT(MMULT('M2'!$M42:$AZ42,'M1'!AV$10:AV$49))</f>
        <v/>
      </c>
      <c r="AW42" s="97">
        <f>SUMPRODUCT(MMULT('M2'!$M42:$AZ42,'M1'!AW$10:AW$49))</f>
        <v/>
      </c>
      <c r="AX42" s="97">
        <f>SUMPRODUCT(MMULT('M2'!$M42:$AZ42,'M1'!AX$10:AX$49))</f>
        <v/>
      </c>
      <c r="AY42" s="97">
        <f>SUMPRODUCT(MMULT('M2'!$M42:$AZ42,'M1'!AY$10:AY$49))</f>
        <v/>
      </c>
      <c r="AZ42" s="97">
        <f>SUMPRODUCT(MMULT('M2'!$M42:$AZ42,'M1'!AZ$10:AZ$49))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SUMPRODUCT(MMULT('M2'!$M43:$AZ43,'M1'!M$10:M$49))</f>
        <v/>
      </c>
      <c r="N43" s="97">
        <f>SUMPRODUCT(MMULT('M2'!$M43:$AZ43,'M1'!N$10:N$49))</f>
        <v/>
      </c>
      <c r="O43" s="97">
        <f>SUMPRODUCT(MMULT('M2'!$M43:$AZ43,'M1'!O$10:O$49))</f>
        <v/>
      </c>
      <c r="P43" s="97">
        <f>SUMPRODUCT(MMULT('M2'!$M43:$AZ43,'M1'!P$10:P$49))</f>
        <v/>
      </c>
      <c r="Q43" s="97">
        <f>SUMPRODUCT(MMULT('M2'!$M43:$AZ43,'M1'!Q$10:Q$49))</f>
        <v/>
      </c>
      <c r="R43" s="97">
        <f>SUMPRODUCT(MMULT('M2'!$M43:$AZ43,'M1'!R$10:R$49))</f>
        <v/>
      </c>
      <c r="S43" s="97">
        <f>SUMPRODUCT(MMULT('M2'!$M43:$AZ43,'M1'!S$10:S$49))</f>
        <v/>
      </c>
      <c r="T43" s="97">
        <f>SUMPRODUCT(MMULT('M2'!$M43:$AZ43,'M1'!T$10:T$49))</f>
        <v/>
      </c>
      <c r="U43" s="97">
        <f>SUMPRODUCT(MMULT('M2'!$M43:$AZ43,'M1'!U$10:U$49))</f>
        <v/>
      </c>
      <c r="V43" s="97">
        <f>SUMPRODUCT(MMULT('M2'!$M43:$AZ43,'M1'!V$10:V$49))</f>
        <v/>
      </c>
      <c r="W43" s="97">
        <f>SUMPRODUCT(MMULT('M2'!$M43:$AZ43,'M1'!W$10:W$49))</f>
        <v/>
      </c>
      <c r="X43" s="97">
        <f>SUMPRODUCT(MMULT('M2'!$M43:$AZ43,'M1'!X$10:X$49))</f>
        <v/>
      </c>
      <c r="Y43" s="97">
        <f>SUMPRODUCT(MMULT('M2'!$M43:$AZ43,'M1'!Y$10:Y$49))</f>
        <v/>
      </c>
      <c r="Z43" s="97">
        <f>SUMPRODUCT(MMULT('M2'!$M43:$AZ43,'M1'!Z$10:Z$49))</f>
        <v/>
      </c>
      <c r="AA43" s="97">
        <f>SUMPRODUCT(MMULT('M2'!$M43:$AZ43,'M1'!AA$10:AA$49))</f>
        <v/>
      </c>
      <c r="AB43" s="97">
        <f>SUMPRODUCT(MMULT('M2'!$M43:$AZ43,'M1'!AB$10:AB$49))</f>
        <v/>
      </c>
      <c r="AC43" s="97">
        <f>SUMPRODUCT(MMULT('M2'!$M43:$AZ43,'M1'!AC$10:AC$49))</f>
        <v/>
      </c>
      <c r="AD43" s="97">
        <f>SUMPRODUCT(MMULT('M2'!$M43:$AZ43,'M1'!AD$10:AD$49))</f>
        <v/>
      </c>
      <c r="AE43" s="97">
        <f>SUMPRODUCT(MMULT('M2'!$M43:$AZ43,'M1'!AE$10:AE$49))</f>
        <v/>
      </c>
      <c r="AF43" s="97">
        <f>SUMPRODUCT(MMULT('M2'!$M43:$AZ43,'M1'!AF$10:AF$49))</f>
        <v/>
      </c>
      <c r="AG43" s="97">
        <f>SUMPRODUCT(MMULT('M2'!$M43:$AZ43,'M1'!AG$10:AG$49))</f>
        <v/>
      </c>
      <c r="AH43" s="97">
        <f>SUMPRODUCT(MMULT('M2'!$M43:$AZ43,'M1'!AH$10:AH$49))</f>
        <v/>
      </c>
      <c r="AI43" s="97">
        <f>SUMPRODUCT(MMULT('M2'!$M43:$AZ43,'M1'!AI$10:AI$49))</f>
        <v/>
      </c>
      <c r="AJ43" s="97">
        <f>SUMPRODUCT(MMULT('M2'!$M43:$AZ43,'M1'!AJ$10:AJ$49))</f>
        <v/>
      </c>
      <c r="AK43" s="97">
        <f>SUMPRODUCT(MMULT('M2'!$M43:$AZ43,'M1'!AK$10:AK$49))</f>
        <v/>
      </c>
      <c r="AL43" s="97">
        <f>SUMPRODUCT(MMULT('M2'!$M43:$AZ43,'M1'!AL$10:AL$49))</f>
        <v/>
      </c>
      <c r="AM43" s="97">
        <f>SUMPRODUCT(MMULT('M2'!$M43:$AZ43,'M1'!AM$10:AM$49))</f>
        <v/>
      </c>
      <c r="AN43" s="97">
        <f>SUMPRODUCT(MMULT('M2'!$M43:$AZ43,'M1'!AN$10:AN$49))</f>
        <v/>
      </c>
      <c r="AO43" s="97">
        <f>SUMPRODUCT(MMULT('M2'!$M43:$AZ43,'M1'!AO$10:AO$49))</f>
        <v/>
      </c>
      <c r="AP43" s="97">
        <f>SUMPRODUCT(MMULT('M2'!$M43:$AZ43,'M1'!AP$10:AP$49))</f>
        <v/>
      </c>
      <c r="AQ43" s="97">
        <f>SUMPRODUCT(MMULT('M2'!$M43:$AZ43,'M1'!AQ$10:AQ$49))</f>
        <v/>
      </c>
      <c r="AR43" s="97">
        <f>SUMPRODUCT(MMULT('M2'!$M43:$AZ43,'M1'!AR$10:AR$49))</f>
        <v/>
      </c>
      <c r="AS43" s="97">
        <f>SUMPRODUCT(MMULT('M2'!$M43:$AZ43,'M1'!AS$10:AS$49))</f>
        <v/>
      </c>
      <c r="AT43" s="97">
        <f>SUMPRODUCT(MMULT('M2'!$M43:$AZ43,'M1'!AT$10:AT$49))</f>
        <v/>
      </c>
      <c r="AU43" s="97">
        <f>SUMPRODUCT(MMULT('M2'!$M43:$AZ43,'M1'!AU$10:AU$49))</f>
        <v/>
      </c>
      <c r="AV43" s="97">
        <f>SUMPRODUCT(MMULT('M2'!$M43:$AZ43,'M1'!AV$10:AV$49))</f>
        <v/>
      </c>
      <c r="AW43" s="97">
        <f>SUMPRODUCT(MMULT('M2'!$M43:$AZ43,'M1'!AW$10:AW$49))</f>
        <v/>
      </c>
      <c r="AX43" s="97">
        <f>SUMPRODUCT(MMULT('M2'!$M43:$AZ43,'M1'!AX$10:AX$49))</f>
        <v/>
      </c>
      <c r="AY43" s="97">
        <f>SUMPRODUCT(MMULT('M2'!$M43:$AZ43,'M1'!AY$10:AY$49))</f>
        <v/>
      </c>
      <c r="AZ43" s="97">
        <f>SUMPRODUCT(MMULT('M2'!$M43:$AZ43,'M1'!AZ$10:AZ$49))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SUMPRODUCT(MMULT('M2'!$M44:$AZ44,'M1'!M$10:M$49))</f>
        <v/>
      </c>
      <c r="N44" s="97">
        <f>SUMPRODUCT(MMULT('M2'!$M44:$AZ44,'M1'!N$10:N$49))</f>
        <v/>
      </c>
      <c r="O44" s="97">
        <f>SUMPRODUCT(MMULT('M2'!$M44:$AZ44,'M1'!O$10:O$49))</f>
        <v/>
      </c>
      <c r="P44" s="97">
        <f>SUMPRODUCT(MMULT('M2'!$M44:$AZ44,'M1'!P$10:P$49))</f>
        <v/>
      </c>
      <c r="Q44" s="97">
        <f>SUMPRODUCT(MMULT('M2'!$M44:$AZ44,'M1'!Q$10:Q$49))</f>
        <v/>
      </c>
      <c r="R44" s="97">
        <f>SUMPRODUCT(MMULT('M2'!$M44:$AZ44,'M1'!R$10:R$49))</f>
        <v/>
      </c>
      <c r="S44" s="97">
        <f>SUMPRODUCT(MMULT('M2'!$M44:$AZ44,'M1'!S$10:S$49))</f>
        <v/>
      </c>
      <c r="T44" s="97">
        <f>SUMPRODUCT(MMULT('M2'!$M44:$AZ44,'M1'!T$10:T$49))</f>
        <v/>
      </c>
      <c r="U44" s="97">
        <f>SUMPRODUCT(MMULT('M2'!$M44:$AZ44,'M1'!U$10:U$49))</f>
        <v/>
      </c>
      <c r="V44" s="97">
        <f>SUMPRODUCT(MMULT('M2'!$M44:$AZ44,'M1'!V$10:V$49))</f>
        <v/>
      </c>
      <c r="W44" s="97">
        <f>SUMPRODUCT(MMULT('M2'!$M44:$AZ44,'M1'!W$10:W$49))</f>
        <v/>
      </c>
      <c r="X44" s="97">
        <f>SUMPRODUCT(MMULT('M2'!$M44:$AZ44,'M1'!X$10:X$49))</f>
        <v/>
      </c>
      <c r="Y44" s="97">
        <f>SUMPRODUCT(MMULT('M2'!$M44:$AZ44,'M1'!Y$10:Y$49))</f>
        <v/>
      </c>
      <c r="Z44" s="97">
        <f>SUMPRODUCT(MMULT('M2'!$M44:$AZ44,'M1'!Z$10:Z$49))</f>
        <v/>
      </c>
      <c r="AA44" s="97">
        <f>SUMPRODUCT(MMULT('M2'!$M44:$AZ44,'M1'!AA$10:AA$49))</f>
        <v/>
      </c>
      <c r="AB44" s="97">
        <f>SUMPRODUCT(MMULT('M2'!$M44:$AZ44,'M1'!AB$10:AB$49))</f>
        <v/>
      </c>
      <c r="AC44" s="97">
        <f>SUMPRODUCT(MMULT('M2'!$M44:$AZ44,'M1'!AC$10:AC$49))</f>
        <v/>
      </c>
      <c r="AD44" s="97">
        <f>SUMPRODUCT(MMULT('M2'!$M44:$AZ44,'M1'!AD$10:AD$49))</f>
        <v/>
      </c>
      <c r="AE44" s="97">
        <f>SUMPRODUCT(MMULT('M2'!$M44:$AZ44,'M1'!AE$10:AE$49))</f>
        <v/>
      </c>
      <c r="AF44" s="97">
        <f>SUMPRODUCT(MMULT('M2'!$M44:$AZ44,'M1'!AF$10:AF$49))</f>
        <v/>
      </c>
      <c r="AG44" s="97">
        <f>SUMPRODUCT(MMULT('M2'!$M44:$AZ44,'M1'!AG$10:AG$49))</f>
        <v/>
      </c>
      <c r="AH44" s="97">
        <f>SUMPRODUCT(MMULT('M2'!$M44:$AZ44,'M1'!AH$10:AH$49))</f>
        <v/>
      </c>
      <c r="AI44" s="97">
        <f>SUMPRODUCT(MMULT('M2'!$M44:$AZ44,'M1'!AI$10:AI$49))</f>
        <v/>
      </c>
      <c r="AJ44" s="97">
        <f>SUMPRODUCT(MMULT('M2'!$M44:$AZ44,'M1'!AJ$10:AJ$49))</f>
        <v/>
      </c>
      <c r="AK44" s="97">
        <f>SUMPRODUCT(MMULT('M2'!$M44:$AZ44,'M1'!AK$10:AK$49))</f>
        <v/>
      </c>
      <c r="AL44" s="97">
        <f>SUMPRODUCT(MMULT('M2'!$M44:$AZ44,'M1'!AL$10:AL$49))</f>
        <v/>
      </c>
      <c r="AM44" s="97">
        <f>SUMPRODUCT(MMULT('M2'!$M44:$AZ44,'M1'!AM$10:AM$49))</f>
        <v/>
      </c>
      <c r="AN44" s="97">
        <f>SUMPRODUCT(MMULT('M2'!$M44:$AZ44,'M1'!AN$10:AN$49))</f>
        <v/>
      </c>
      <c r="AO44" s="97">
        <f>SUMPRODUCT(MMULT('M2'!$M44:$AZ44,'M1'!AO$10:AO$49))</f>
        <v/>
      </c>
      <c r="AP44" s="97">
        <f>SUMPRODUCT(MMULT('M2'!$M44:$AZ44,'M1'!AP$10:AP$49))</f>
        <v/>
      </c>
      <c r="AQ44" s="97">
        <f>SUMPRODUCT(MMULT('M2'!$M44:$AZ44,'M1'!AQ$10:AQ$49))</f>
        <v/>
      </c>
      <c r="AR44" s="97">
        <f>SUMPRODUCT(MMULT('M2'!$M44:$AZ44,'M1'!AR$10:AR$49))</f>
        <v/>
      </c>
      <c r="AS44" s="97">
        <f>SUMPRODUCT(MMULT('M2'!$M44:$AZ44,'M1'!AS$10:AS$49))</f>
        <v/>
      </c>
      <c r="AT44" s="97">
        <f>SUMPRODUCT(MMULT('M2'!$M44:$AZ44,'M1'!AT$10:AT$49))</f>
        <v/>
      </c>
      <c r="AU44" s="97">
        <f>SUMPRODUCT(MMULT('M2'!$M44:$AZ44,'M1'!AU$10:AU$49))</f>
        <v/>
      </c>
      <c r="AV44" s="97">
        <f>SUMPRODUCT(MMULT('M2'!$M44:$AZ44,'M1'!AV$10:AV$49))</f>
        <v/>
      </c>
      <c r="AW44" s="97">
        <f>SUMPRODUCT(MMULT('M2'!$M44:$AZ44,'M1'!AW$10:AW$49))</f>
        <v/>
      </c>
      <c r="AX44" s="97">
        <f>SUMPRODUCT(MMULT('M2'!$M44:$AZ44,'M1'!AX$10:AX$49))</f>
        <v/>
      </c>
      <c r="AY44" s="97">
        <f>SUMPRODUCT(MMULT('M2'!$M44:$AZ44,'M1'!AY$10:AY$49))</f>
        <v/>
      </c>
      <c r="AZ44" s="97">
        <f>SUMPRODUCT(MMULT('M2'!$M44:$AZ44,'M1'!AZ$10:AZ$49))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SUMPRODUCT(MMULT('M2'!$M45:$AZ45,'M1'!M$10:M$49))</f>
        <v/>
      </c>
      <c r="N45" s="97">
        <f>SUMPRODUCT(MMULT('M2'!$M45:$AZ45,'M1'!N$10:N$49))</f>
        <v/>
      </c>
      <c r="O45" s="97">
        <f>SUMPRODUCT(MMULT('M2'!$M45:$AZ45,'M1'!O$10:O$49))</f>
        <v/>
      </c>
      <c r="P45" s="97">
        <f>SUMPRODUCT(MMULT('M2'!$M45:$AZ45,'M1'!P$10:P$49))</f>
        <v/>
      </c>
      <c r="Q45" s="97">
        <f>SUMPRODUCT(MMULT('M2'!$M45:$AZ45,'M1'!Q$10:Q$49))</f>
        <v/>
      </c>
      <c r="R45" s="97">
        <f>SUMPRODUCT(MMULT('M2'!$M45:$AZ45,'M1'!R$10:R$49))</f>
        <v/>
      </c>
      <c r="S45" s="97">
        <f>SUMPRODUCT(MMULT('M2'!$M45:$AZ45,'M1'!S$10:S$49))</f>
        <v/>
      </c>
      <c r="T45" s="97">
        <f>SUMPRODUCT(MMULT('M2'!$M45:$AZ45,'M1'!T$10:T$49))</f>
        <v/>
      </c>
      <c r="U45" s="97">
        <f>SUMPRODUCT(MMULT('M2'!$M45:$AZ45,'M1'!U$10:U$49))</f>
        <v/>
      </c>
      <c r="V45" s="97">
        <f>SUMPRODUCT(MMULT('M2'!$M45:$AZ45,'M1'!V$10:V$49))</f>
        <v/>
      </c>
      <c r="W45" s="97">
        <f>SUMPRODUCT(MMULT('M2'!$M45:$AZ45,'M1'!W$10:W$49))</f>
        <v/>
      </c>
      <c r="X45" s="97">
        <f>SUMPRODUCT(MMULT('M2'!$M45:$AZ45,'M1'!X$10:X$49))</f>
        <v/>
      </c>
      <c r="Y45" s="97">
        <f>SUMPRODUCT(MMULT('M2'!$M45:$AZ45,'M1'!Y$10:Y$49))</f>
        <v/>
      </c>
      <c r="Z45" s="97">
        <f>SUMPRODUCT(MMULT('M2'!$M45:$AZ45,'M1'!Z$10:Z$49))</f>
        <v/>
      </c>
      <c r="AA45" s="97">
        <f>SUMPRODUCT(MMULT('M2'!$M45:$AZ45,'M1'!AA$10:AA$49))</f>
        <v/>
      </c>
      <c r="AB45" s="97">
        <f>SUMPRODUCT(MMULT('M2'!$M45:$AZ45,'M1'!AB$10:AB$49))</f>
        <v/>
      </c>
      <c r="AC45" s="97">
        <f>SUMPRODUCT(MMULT('M2'!$M45:$AZ45,'M1'!AC$10:AC$49))</f>
        <v/>
      </c>
      <c r="AD45" s="97">
        <f>SUMPRODUCT(MMULT('M2'!$M45:$AZ45,'M1'!AD$10:AD$49))</f>
        <v/>
      </c>
      <c r="AE45" s="97">
        <f>SUMPRODUCT(MMULT('M2'!$M45:$AZ45,'M1'!AE$10:AE$49))</f>
        <v/>
      </c>
      <c r="AF45" s="97">
        <f>SUMPRODUCT(MMULT('M2'!$M45:$AZ45,'M1'!AF$10:AF$49))</f>
        <v/>
      </c>
      <c r="AG45" s="97">
        <f>SUMPRODUCT(MMULT('M2'!$M45:$AZ45,'M1'!AG$10:AG$49))</f>
        <v/>
      </c>
      <c r="AH45" s="97">
        <f>SUMPRODUCT(MMULT('M2'!$M45:$AZ45,'M1'!AH$10:AH$49))</f>
        <v/>
      </c>
      <c r="AI45" s="97">
        <f>SUMPRODUCT(MMULT('M2'!$M45:$AZ45,'M1'!AI$10:AI$49))</f>
        <v/>
      </c>
      <c r="AJ45" s="97">
        <f>SUMPRODUCT(MMULT('M2'!$M45:$AZ45,'M1'!AJ$10:AJ$49))</f>
        <v/>
      </c>
      <c r="AK45" s="97">
        <f>SUMPRODUCT(MMULT('M2'!$M45:$AZ45,'M1'!AK$10:AK$49))</f>
        <v/>
      </c>
      <c r="AL45" s="97">
        <f>SUMPRODUCT(MMULT('M2'!$M45:$AZ45,'M1'!AL$10:AL$49))</f>
        <v/>
      </c>
      <c r="AM45" s="97">
        <f>SUMPRODUCT(MMULT('M2'!$M45:$AZ45,'M1'!AM$10:AM$49))</f>
        <v/>
      </c>
      <c r="AN45" s="97">
        <f>SUMPRODUCT(MMULT('M2'!$M45:$AZ45,'M1'!AN$10:AN$49))</f>
        <v/>
      </c>
      <c r="AO45" s="97">
        <f>SUMPRODUCT(MMULT('M2'!$M45:$AZ45,'M1'!AO$10:AO$49))</f>
        <v/>
      </c>
      <c r="AP45" s="97">
        <f>SUMPRODUCT(MMULT('M2'!$M45:$AZ45,'M1'!AP$10:AP$49))</f>
        <v/>
      </c>
      <c r="AQ45" s="97">
        <f>SUMPRODUCT(MMULT('M2'!$M45:$AZ45,'M1'!AQ$10:AQ$49))</f>
        <v/>
      </c>
      <c r="AR45" s="97">
        <f>SUMPRODUCT(MMULT('M2'!$M45:$AZ45,'M1'!AR$10:AR$49))</f>
        <v/>
      </c>
      <c r="AS45" s="97">
        <f>SUMPRODUCT(MMULT('M2'!$M45:$AZ45,'M1'!AS$10:AS$49))</f>
        <v/>
      </c>
      <c r="AT45" s="97">
        <f>SUMPRODUCT(MMULT('M2'!$M45:$AZ45,'M1'!AT$10:AT$49))</f>
        <v/>
      </c>
      <c r="AU45" s="97">
        <f>SUMPRODUCT(MMULT('M2'!$M45:$AZ45,'M1'!AU$10:AU$49))</f>
        <v/>
      </c>
      <c r="AV45" s="97">
        <f>SUMPRODUCT(MMULT('M2'!$M45:$AZ45,'M1'!AV$10:AV$49))</f>
        <v/>
      </c>
      <c r="AW45" s="97">
        <f>SUMPRODUCT(MMULT('M2'!$M45:$AZ45,'M1'!AW$10:AW$49))</f>
        <v/>
      </c>
      <c r="AX45" s="97">
        <f>SUMPRODUCT(MMULT('M2'!$M45:$AZ45,'M1'!AX$10:AX$49))</f>
        <v/>
      </c>
      <c r="AY45" s="97">
        <f>SUMPRODUCT(MMULT('M2'!$M45:$AZ45,'M1'!AY$10:AY$49))</f>
        <v/>
      </c>
      <c r="AZ45" s="97">
        <f>SUMPRODUCT(MMULT('M2'!$M45:$AZ45,'M1'!AZ$10:AZ$49))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SUMPRODUCT(MMULT('M2'!$M46:$AZ46,'M1'!M$10:M$49))</f>
        <v/>
      </c>
      <c r="N46" s="97">
        <f>SUMPRODUCT(MMULT('M2'!$M46:$AZ46,'M1'!N$10:N$49))</f>
        <v/>
      </c>
      <c r="O46" s="97">
        <f>SUMPRODUCT(MMULT('M2'!$M46:$AZ46,'M1'!O$10:O$49))</f>
        <v/>
      </c>
      <c r="P46" s="97">
        <f>SUMPRODUCT(MMULT('M2'!$M46:$AZ46,'M1'!P$10:P$49))</f>
        <v/>
      </c>
      <c r="Q46" s="97">
        <f>SUMPRODUCT(MMULT('M2'!$M46:$AZ46,'M1'!Q$10:Q$49))</f>
        <v/>
      </c>
      <c r="R46" s="97">
        <f>SUMPRODUCT(MMULT('M2'!$M46:$AZ46,'M1'!R$10:R$49))</f>
        <v/>
      </c>
      <c r="S46" s="97">
        <f>SUMPRODUCT(MMULT('M2'!$M46:$AZ46,'M1'!S$10:S$49))</f>
        <v/>
      </c>
      <c r="T46" s="97">
        <f>SUMPRODUCT(MMULT('M2'!$M46:$AZ46,'M1'!T$10:T$49))</f>
        <v/>
      </c>
      <c r="U46" s="97">
        <f>SUMPRODUCT(MMULT('M2'!$M46:$AZ46,'M1'!U$10:U$49))</f>
        <v/>
      </c>
      <c r="V46" s="97">
        <f>SUMPRODUCT(MMULT('M2'!$M46:$AZ46,'M1'!V$10:V$49))</f>
        <v/>
      </c>
      <c r="W46" s="97">
        <f>SUMPRODUCT(MMULT('M2'!$M46:$AZ46,'M1'!W$10:W$49))</f>
        <v/>
      </c>
      <c r="X46" s="97">
        <f>SUMPRODUCT(MMULT('M2'!$M46:$AZ46,'M1'!X$10:X$49))</f>
        <v/>
      </c>
      <c r="Y46" s="97">
        <f>SUMPRODUCT(MMULT('M2'!$M46:$AZ46,'M1'!Y$10:Y$49))</f>
        <v/>
      </c>
      <c r="Z46" s="97">
        <f>SUMPRODUCT(MMULT('M2'!$M46:$AZ46,'M1'!Z$10:Z$49))</f>
        <v/>
      </c>
      <c r="AA46" s="97">
        <f>SUMPRODUCT(MMULT('M2'!$M46:$AZ46,'M1'!AA$10:AA$49))</f>
        <v/>
      </c>
      <c r="AB46" s="97">
        <f>SUMPRODUCT(MMULT('M2'!$M46:$AZ46,'M1'!AB$10:AB$49))</f>
        <v/>
      </c>
      <c r="AC46" s="97">
        <f>SUMPRODUCT(MMULT('M2'!$M46:$AZ46,'M1'!AC$10:AC$49))</f>
        <v/>
      </c>
      <c r="AD46" s="97">
        <f>SUMPRODUCT(MMULT('M2'!$M46:$AZ46,'M1'!AD$10:AD$49))</f>
        <v/>
      </c>
      <c r="AE46" s="97">
        <f>SUMPRODUCT(MMULT('M2'!$M46:$AZ46,'M1'!AE$10:AE$49))</f>
        <v/>
      </c>
      <c r="AF46" s="97">
        <f>SUMPRODUCT(MMULT('M2'!$M46:$AZ46,'M1'!AF$10:AF$49))</f>
        <v/>
      </c>
      <c r="AG46" s="97">
        <f>SUMPRODUCT(MMULT('M2'!$M46:$AZ46,'M1'!AG$10:AG$49))</f>
        <v/>
      </c>
      <c r="AH46" s="97">
        <f>SUMPRODUCT(MMULT('M2'!$M46:$AZ46,'M1'!AH$10:AH$49))</f>
        <v/>
      </c>
      <c r="AI46" s="97">
        <f>SUMPRODUCT(MMULT('M2'!$M46:$AZ46,'M1'!AI$10:AI$49))</f>
        <v/>
      </c>
      <c r="AJ46" s="97">
        <f>SUMPRODUCT(MMULT('M2'!$M46:$AZ46,'M1'!AJ$10:AJ$49))</f>
        <v/>
      </c>
      <c r="AK46" s="97">
        <f>SUMPRODUCT(MMULT('M2'!$M46:$AZ46,'M1'!AK$10:AK$49))</f>
        <v/>
      </c>
      <c r="AL46" s="97">
        <f>SUMPRODUCT(MMULT('M2'!$M46:$AZ46,'M1'!AL$10:AL$49))</f>
        <v/>
      </c>
      <c r="AM46" s="97">
        <f>SUMPRODUCT(MMULT('M2'!$M46:$AZ46,'M1'!AM$10:AM$49))</f>
        <v/>
      </c>
      <c r="AN46" s="97">
        <f>SUMPRODUCT(MMULT('M2'!$M46:$AZ46,'M1'!AN$10:AN$49))</f>
        <v/>
      </c>
      <c r="AO46" s="97">
        <f>SUMPRODUCT(MMULT('M2'!$M46:$AZ46,'M1'!AO$10:AO$49))</f>
        <v/>
      </c>
      <c r="AP46" s="97">
        <f>SUMPRODUCT(MMULT('M2'!$M46:$AZ46,'M1'!AP$10:AP$49))</f>
        <v/>
      </c>
      <c r="AQ46" s="97">
        <f>SUMPRODUCT(MMULT('M2'!$M46:$AZ46,'M1'!AQ$10:AQ$49))</f>
        <v/>
      </c>
      <c r="AR46" s="97">
        <f>SUMPRODUCT(MMULT('M2'!$M46:$AZ46,'M1'!AR$10:AR$49))</f>
        <v/>
      </c>
      <c r="AS46" s="97">
        <f>SUMPRODUCT(MMULT('M2'!$M46:$AZ46,'M1'!AS$10:AS$49))</f>
        <v/>
      </c>
      <c r="AT46" s="97">
        <f>SUMPRODUCT(MMULT('M2'!$M46:$AZ46,'M1'!AT$10:AT$49))</f>
        <v/>
      </c>
      <c r="AU46" s="97">
        <f>SUMPRODUCT(MMULT('M2'!$M46:$AZ46,'M1'!AU$10:AU$49))</f>
        <v/>
      </c>
      <c r="AV46" s="97">
        <f>SUMPRODUCT(MMULT('M2'!$M46:$AZ46,'M1'!AV$10:AV$49))</f>
        <v/>
      </c>
      <c r="AW46" s="97">
        <f>SUMPRODUCT(MMULT('M2'!$M46:$AZ46,'M1'!AW$10:AW$49))</f>
        <v/>
      </c>
      <c r="AX46" s="97">
        <f>SUMPRODUCT(MMULT('M2'!$M46:$AZ46,'M1'!AX$10:AX$49))</f>
        <v/>
      </c>
      <c r="AY46" s="97">
        <f>SUMPRODUCT(MMULT('M2'!$M46:$AZ46,'M1'!AY$10:AY$49))</f>
        <v/>
      </c>
      <c r="AZ46" s="97">
        <f>SUMPRODUCT(MMULT('M2'!$M46:$AZ46,'M1'!AZ$10:AZ$49))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SUMPRODUCT(MMULT('M2'!$M47:$AZ47,'M1'!M$10:M$49))</f>
        <v/>
      </c>
      <c r="N47" s="97">
        <f>SUMPRODUCT(MMULT('M2'!$M47:$AZ47,'M1'!N$10:N$49))</f>
        <v/>
      </c>
      <c r="O47" s="97">
        <f>SUMPRODUCT(MMULT('M2'!$M47:$AZ47,'M1'!O$10:O$49))</f>
        <v/>
      </c>
      <c r="P47" s="97">
        <f>SUMPRODUCT(MMULT('M2'!$M47:$AZ47,'M1'!P$10:P$49))</f>
        <v/>
      </c>
      <c r="Q47" s="97">
        <f>SUMPRODUCT(MMULT('M2'!$M47:$AZ47,'M1'!Q$10:Q$49))</f>
        <v/>
      </c>
      <c r="R47" s="97">
        <f>SUMPRODUCT(MMULT('M2'!$M47:$AZ47,'M1'!R$10:R$49))</f>
        <v/>
      </c>
      <c r="S47" s="97">
        <f>SUMPRODUCT(MMULT('M2'!$M47:$AZ47,'M1'!S$10:S$49))</f>
        <v/>
      </c>
      <c r="T47" s="97">
        <f>SUMPRODUCT(MMULT('M2'!$M47:$AZ47,'M1'!T$10:T$49))</f>
        <v/>
      </c>
      <c r="U47" s="97">
        <f>SUMPRODUCT(MMULT('M2'!$M47:$AZ47,'M1'!U$10:U$49))</f>
        <v/>
      </c>
      <c r="V47" s="97">
        <f>SUMPRODUCT(MMULT('M2'!$M47:$AZ47,'M1'!V$10:V$49))</f>
        <v/>
      </c>
      <c r="W47" s="97">
        <f>SUMPRODUCT(MMULT('M2'!$M47:$AZ47,'M1'!W$10:W$49))</f>
        <v/>
      </c>
      <c r="X47" s="97">
        <f>SUMPRODUCT(MMULT('M2'!$M47:$AZ47,'M1'!X$10:X$49))</f>
        <v/>
      </c>
      <c r="Y47" s="97">
        <f>SUMPRODUCT(MMULT('M2'!$M47:$AZ47,'M1'!Y$10:Y$49))</f>
        <v/>
      </c>
      <c r="Z47" s="97">
        <f>SUMPRODUCT(MMULT('M2'!$M47:$AZ47,'M1'!Z$10:Z$49))</f>
        <v/>
      </c>
      <c r="AA47" s="97">
        <f>SUMPRODUCT(MMULT('M2'!$M47:$AZ47,'M1'!AA$10:AA$49))</f>
        <v/>
      </c>
      <c r="AB47" s="97">
        <f>SUMPRODUCT(MMULT('M2'!$M47:$AZ47,'M1'!AB$10:AB$49))</f>
        <v/>
      </c>
      <c r="AC47" s="97">
        <f>SUMPRODUCT(MMULT('M2'!$M47:$AZ47,'M1'!AC$10:AC$49))</f>
        <v/>
      </c>
      <c r="AD47" s="97">
        <f>SUMPRODUCT(MMULT('M2'!$M47:$AZ47,'M1'!AD$10:AD$49))</f>
        <v/>
      </c>
      <c r="AE47" s="97">
        <f>SUMPRODUCT(MMULT('M2'!$M47:$AZ47,'M1'!AE$10:AE$49))</f>
        <v/>
      </c>
      <c r="AF47" s="97">
        <f>SUMPRODUCT(MMULT('M2'!$M47:$AZ47,'M1'!AF$10:AF$49))</f>
        <v/>
      </c>
      <c r="AG47" s="97">
        <f>SUMPRODUCT(MMULT('M2'!$M47:$AZ47,'M1'!AG$10:AG$49))</f>
        <v/>
      </c>
      <c r="AH47" s="97">
        <f>SUMPRODUCT(MMULT('M2'!$M47:$AZ47,'M1'!AH$10:AH$49))</f>
        <v/>
      </c>
      <c r="AI47" s="97">
        <f>SUMPRODUCT(MMULT('M2'!$M47:$AZ47,'M1'!AI$10:AI$49))</f>
        <v/>
      </c>
      <c r="AJ47" s="97">
        <f>SUMPRODUCT(MMULT('M2'!$M47:$AZ47,'M1'!AJ$10:AJ$49))</f>
        <v/>
      </c>
      <c r="AK47" s="97">
        <f>SUMPRODUCT(MMULT('M2'!$M47:$AZ47,'M1'!AK$10:AK$49))</f>
        <v/>
      </c>
      <c r="AL47" s="97">
        <f>SUMPRODUCT(MMULT('M2'!$M47:$AZ47,'M1'!AL$10:AL$49))</f>
        <v/>
      </c>
      <c r="AM47" s="97">
        <f>SUMPRODUCT(MMULT('M2'!$M47:$AZ47,'M1'!AM$10:AM$49))</f>
        <v/>
      </c>
      <c r="AN47" s="97">
        <f>SUMPRODUCT(MMULT('M2'!$M47:$AZ47,'M1'!AN$10:AN$49))</f>
        <v/>
      </c>
      <c r="AO47" s="97">
        <f>SUMPRODUCT(MMULT('M2'!$M47:$AZ47,'M1'!AO$10:AO$49))</f>
        <v/>
      </c>
      <c r="AP47" s="97">
        <f>SUMPRODUCT(MMULT('M2'!$M47:$AZ47,'M1'!AP$10:AP$49))</f>
        <v/>
      </c>
      <c r="AQ47" s="97">
        <f>SUMPRODUCT(MMULT('M2'!$M47:$AZ47,'M1'!AQ$10:AQ$49))</f>
        <v/>
      </c>
      <c r="AR47" s="97">
        <f>SUMPRODUCT(MMULT('M2'!$M47:$AZ47,'M1'!AR$10:AR$49))</f>
        <v/>
      </c>
      <c r="AS47" s="97">
        <f>SUMPRODUCT(MMULT('M2'!$M47:$AZ47,'M1'!AS$10:AS$49))</f>
        <v/>
      </c>
      <c r="AT47" s="97">
        <f>SUMPRODUCT(MMULT('M2'!$M47:$AZ47,'M1'!AT$10:AT$49))</f>
        <v/>
      </c>
      <c r="AU47" s="97">
        <f>SUMPRODUCT(MMULT('M2'!$M47:$AZ47,'M1'!AU$10:AU$49))</f>
        <v/>
      </c>
      <c r="AV47" s="97">
        <f>SUMPRODUCT(MMULT('M2'!$M47:$AZ47,'M1'!AV$10:AV$49))</f>
        <v/>
      </c>
      <c r="AW47" s="97">
        <f>SUMPRODUCT(MMULT('M2'!$M47:$AZ47,'M1'!AW$10:AW$49))</f>
        <v/>
      </c>
      <c r="AX47" s="97">
        <f>SUMPRODUCT(MMULT('M2'!$M47:$AZ47,'M1'!AX$10:AX$49))</f>
        <v/>
      </c>
      <c r="AY47" s="97">
        <f>SUMPRODUCT(MMULT('M2'!$M47:$AZ47,'M1'!AY$10:AY$49))</f>
        <v/>
      </c>
      <c r="AZ47" s="97">
        <f>SUMPRODUCT(MMULT('M2'!$M47:$AZ47,'M1'!AZ$10:AZ$49))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SUMPRODUCT(MMULT('M2'!$M48:$AZ48,'M1'!M$10:M$49))</f>
        <v/>
      </c>
      <c r="N48" s="97">
        <f>SUMPRODUCT(MMULT('M2'!$M48:$AZ48,'M1'!N$10:N$49))</f>
        <v/>
      </c>
      <c r="O48" s="97">
        <f>SUMPRODUCT(MMULT('M2'!$M48:$AZ48,'M1'!O$10:O$49))</f>
        <v/>
      </c>
      <c r="P48" s="97">
        <f>SUMPRODUCT(MMULT('M2'!$M48:$AZ48,'M1'!P$10:P$49))</f>
        <v/>
      </c>
      <c r="Q48" s="97">
        <f>SUMPRODUCT(MMULT('M2'!$M48:$AZ48,'M1'!Q$10:Q$49))</f>
        <v/>
      </c>
      <c r="R48" s="97">
        <f>SUMPRODUCT(MMULT('M2'!$M48:$AZ48,'M1'!R$10:R$49))</f>
        <v/>
      </c>
      <c r="S48" s="97">
        <f>SUMPRODUCT(MMULT('M2'!$M48:$AZ48,'M1'!S$10:S$49))</f>
        <v/>
      </c>
      <c r="T48" s="97">
        <f>SUMPRODUCT(MMULT('M2'!$M48:$AZ48,'M1'!T$10:T$49))</f>
        <v/>
      </c>
      <c r="U48" s="97">
        <f>SUMPRODUCT(MMULT('M2'!$M48:$AZ48,'M1'!U$10:U$49))</f>
        <v/>
      </c>
      <c r="V48" s="97">
        <f>SUMPRODUCT(MMULT('M2'!$M48:$AZ48,'M1'!V$10:V$49))</f>
        <v/>
      </c>
      <c r="W48" s="97">
        <f>SUMPRODUCT(MMULT('M2'!$M48:$AZ48,'M1'!W$10:W$49))</f>
        <v/>
      </c>
      <c r="X48" s="97">
        <f>SUMPRODUCT(MMULT('M2'!$M48:$AZ48,'M1'!X$10:X$49))</f>
        <v/>
      </c>
      <c r="Y48" s="97">
        <f>SUMPRODUCT(MMULT('M2'!$M48:$AZ48,'M1'!Y$10:Y$49))</f>
        <v/>
      </c>
      <c r="Z48" s="97">
        <f>SUMPRODUCT(MMULT('M2'!$M48:$AZ48,'M1'!Z$10:Z$49))</f>
        <v/>
      </c>
      <c r="AA48" s="97">
        <f>SUMPRODUCT(MMULT('M2'!$M48:$AZ48,'M1'!AA$10:AA$49))</f>
        <v/>
      </c>
      <c r="AB48" s="97">
        <f>SUMPRODUCT(MMULT('M2'!$M48:$AZ48,'M1'!AB$10:AB$49))</f>
        <v/>
      </c>
      <c r="AC48" s="97">
        <f>SUMPRODUCT(MMULT('M2'!$M48:$AZ48,'M1'!AC$10:AC$49))</f>
        <v/>
      </c>
      <c r="AD48" s="97">
        <f>SUMPRODUCT(MMULT('M2'!$M48:$AZ48,'M1'!AD$10:AD$49))</f>
        <v/>
      </c>
      <c r="AE48" s="97">
        <f>SUMPRODUCT(MMULT('M2'!$M48:$AZ48,'M1'!AE$10:AE$49))</f>
        <v/>
      </c>
      <c r="AF48" s="97">
        <f>SUMPRODUCT(MMULT('M2'!$M48:$AZ48,'M1'!AF$10:AF$49))</f>
        <v/>
      </c>
      <c r="AG48" s="97">
        <f>SUMPRODUCT(MMULT('M2'!$M48:$AZ48,'M1'!AG$10:AG$49))</f>
        <v/>
      </c>
      <c r="AH48" s="97">
        <f>SUMPRODUCT(MMULT('M2'!$M48:$AZ48,'M1'!AH$10:AH$49))</f>
        <v/>
      </c>
      <c r="AI48" s="97">
        <f>SUMPRODUCT(MMULT('M2'!$M48:$AZ48,'M1'!AI$10:AI$49))</f>
        <v/>
      </c>
      <c r="AJ48" s="97">
        <f>SUMPRODUCT(MMULT('M2'!$M48:$AZ48,'M1'!AJ$10:AJ$49))</f>
        <v/>
      </c>
      <c r="AK48" s="97">
        <f>SUMPRODUCT(MMULT('M2'!$M48:$AZ48,'M1'!AK$10:AK$49))</f>
        <v/>
      </c>
      <c r="AL48" s="97">
        <f>SUMPRODUCT(MMULT('M2'!$M48:$AZ48,'M1'!AL$10:AL$49))</f>
        <v/>
      </c>
      <c r="AM48" s="97">
        <f>SUMPRODUCT(MMULT('M2'!$M48:$AZ48,'M1'!AM$10:AM$49))</f>
        <v/>
      </c>
      <c r="AN48" s="97">
        <f>SUMPRODUCT(MMULT('M2'!$M48:$AZ48,'M1'!AN$10:AN$49))</f>
        <v/>
      </c>
      <c r="AO48" s="97">
        <f>SUMPRODUCT(MMULT('M2'!$M48:$AZ48,'M1'!AO$10:AO$49))</f>
        <v/>
      </c>
      <c r="AP48" s="97">
        <f>SUMPRODUCT(MMULT('M2'!$M48:$AZ48,'M1'!AP$10:AP$49))</f>
        <v/>
      </c>
      <c r="AQ48" s="97">
        <f>SUMPRODUCT(MMULT('M2'!$M48:$AZ48,'M1'!AQ$10:AQ$49))</f>
        <v/>
      </c>
      <c r="AR48" s="97">
        <f>SUMPRODUCT(MMULT('M2'!$M48:$AZ48,'M1'!AR$10:AR$49))</f>
        <v/>
      </c>
      <c r="AS48" s="97">
        <f>SUMPRODUCT(MMULT('M2'!$M48:$AZ48,'M1'!AS$10:AS$49))</f>
        <v/>
      </c>
      <c r="AT48" s="97">
        <f>SUMPRODUCT(MMULT('M2'!$M48:$AZ48,'M1'!AT$10:AT$49))</f>
        <v/>
      </c>
      <c r="AU48" s="97">
        <f>SUMPRODUCT(MMULT('M2'!$M48:$AZ48,'M1'!AU$10:AU$49))</f>
        <v/>
      </c>
      <c r="AV48" s="97">
        <f>SUMPRODUCT(MMULT('M2'!$M48:$AZ48,'M1'!AV$10:AV$49))</f>
        <v/>
      </c>
      <c r="AW48" s="97">
        <f>SUMPRODUCT(MMULT('M2'!$M48:$AZ48,'M1'!AW$10:AW$49))</f>
        <v/>
      </c>
      <c r="AX48" s="97">
        <f>SUMPRODUCT(MMULT('M2'!$M48:$AZ48,'M1'!AX$10:AX$49))</f>
        <v/>
      </c>
      <c r="AY48" s="97">
        <f>SUMPRODUCT(MMULT('M2'!$M48:$AZ48,'M1'!AY$10:AY$49))</f>
        <v/>
      </c>
      <c r="AZ48" s="97">
        <f>SUMPRODUCT(MMULT('M2'!$M48:$AZ48,'M1'!AZ$10:AZ$49))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SUMPRODUCT(MMULT('M2'!$M49:$AZ49,'M1'!M$10:M$49))</f>
        <v/>
      </c>
      <c r="N49" s="97">
        <f>SUMPRODUCT(MMULT('M2'!$M49:$AZ49,'M1'!N$10:N$49))</f>
        <v/>
      </c>
      <c r="O49" s="97">
        <f>SUMPRODUCT(MMULT('M2'!$M49:$AZ49,'M1'!O$10:O$49))</f>
        <v/>
      </c>
      <c r="P49" s="97">
        <f>SUMPRODUCT(MMULT('M2'!$M49:$AZ49,'M1'!P$10:P$49))</f>
        <v/>
      </c>
      <c r="Q49" s="97">
        <f>SUMPRODUCT(MMULT('M2'!$M49:$AZ49,'M1'!Q$10:Q$49))</f>
        <v/>
      </c>
      <c r="R49" s="97">
        <f>SUMPRODUCT(MMULT('M2'!$M49:$AZ49,'M1'!R$10:R$49))</f>
        <v/>
      </c>
      <c r="S49" s="97">
        <f>SUMPRODUCT(MMULT('M2'!$M49:$AZ49,'M1'!S$10:S$49))</f>
        <v/>
      </c>
      <c r="T49" s="97">
        <f>SUMPRODUCT(MMULT('M2'!$M49:$AZ49,'M1'!T$10:T$49))</f>
        <v/>
      </c>
      <c r="U49" s="97">
        <f>SUMPRODUCT(MMULT('M2'!$M49:$AZ49,'M1'!U$10:U$49))</f>
        <v/>
      </c>
      <c r="V49" s="97">
        <f>SUMPRODUCT(MMULT('M2'!$M49:$AZ49,'M1'!V$10:V$49))</f>
        <v/>
      </c>
      <c r="W49" s="97">
        <f>SUMPRODUCT(MMULT('M2'!$M49:$AZ49,'M1'!W$10:W$49))</f>
        <v/>
      </c>
      <c r="X49" s="97">
        <f>SUMPRODUCT(MMULT('M2'!$M49:$AZ49,'M1'!X$10:X$49))</f>
        <v/>
      </c>
      <c r="Y49" s="97">
        <f>SUMPRODUCT(MMULT('M2'!$M49:$AZ49,'M1'!Y$10:Y$49))</f>
        <v/>
      </c>
      <c r="Z49" s="97">
        <f>SUMPRODUCT(MMULT('M2'!$M49:$AZ49,'M1'!Z$10:Z$49))</f>
        <v/>
      </c>
      <c r="AA49" s="97">
        <f>SUMPRODUCT(MMULT('M2'!$M49:$AZ49,'M1'!AA$10:AA$49))</f>
        <v/>
      </c>
      <c r="AB49" s="97">
        <f>SUMPRODUCT(MMULT('M2'!$M49:$AZ49,'M1'!AB$10:AB$49))</f>
        <v/>
      </c>
      <c r="AC49" s="97">
        <f>SUMPRODUCT(MMULT('M2'!$M49:$AZ49,'M1'!AC$10:AC$49))</f>
        <v/>
      </c>
      <c r="AD49" s="97">
        <f>SUMPRODUCT(MMULT('M2'!$M49:$AZ49,'M1'!AD$10:AD$49))</f>
        <v/>
      </c>
      <c r="AE49" s="97">
        <f>SUMPRODUCT(MMULT('M2'!$M49:$AZ49,'M1'!AE$10:AE$49))</f>
        <v/>
      </c>
      <c r="AF49" s="97">
        <f>SUMPRODUCT(MMULT('M2'!$M49:$AZ49,'M1'!AF$10:AF$49))</f>
        <v/>
      </c>
      <c r="AG49" s="97">
        <f>SUMPRODUCT(MMULT('M2'!$M49:$AZ49,'M1'!AG$10:AG$49))</f>
        <v/>
      </c>
      <c r="AH49" s="97">
        <f>SUMPRODUCT(MMULT('M2'!$M49:$AZ49,'M1'!AH$10:AH$49))</f>
        <v/>
      </c>
      <c r="AI49" s="97">
        <f>SUMPRODUCT(MMULT('M2'!$M49:$AZ49,'M1'!AI$10:AI$49))</f>
        <v/>
      </c>
      <c r="AJ49" s="97">
        <f>SUMPRODUCT(MMULT('M2'!$M49:$AZ49,'M1'!AJ$10:AJ$49))</f>
        <v/>
      </c>
      <c r="AK49" s="97">
        <f>SUMPRODUCT(MMULT('M2'!$M49:$AZ49,'M1'!AK$10:AK$49))</f>
        <v/>
      </c>
      <c r="AL49" s="97">
        <f>SUMPRODUCT(MMULT('M2'!$M49:$AZ49,'M1'!AL$10:AL$49))</f>
        <v/>
      </c>
      <c r="AM49" s="97">
        <f>SUMPRODUCT(MMULT('M2'!$M49:$AZ49,'M1'!AM$10:AM$49))</f>
        <v/>
      </c>
      <c r="AN49" s="97">
        <f>SUMPRODUCT(MMULT('M2'!$M49:$AZ49,'M1'!AN$10:AN$49))</f>
        <v/>
      </c>
      <c r="AO49" s="97">
        <f>SUMPRODUCT(MMULT('M2'!$M49:$AZ49,'M1'!AO$10:AO$49))</f>
        <v/>
      </c>
      <c r="AP49" s="97">
        <f>SUMPRODUCT(MMULT('M2'!$M49:$AZ49,'M1'!AP$10:AP$49))</f>
        <v/>
      </c>
      <c r="AQ49" s="97">
        <f>SUMPRODUCT(MMULT('M2'!$M49:$AZ49,'M1'!AQ$10:AQ$49))</f>
        <v/>
      </c>
      <c r="AR49" s="97">
        <f>SUMPRODUCT(MMULT('M2'!$M49:$AZ49,'M1'!AR$10:AR$49))</f>
        <v/>
      </c>
      <c r="AS49" s="97">
        <f>SUMPRODUCT(MMULT('M2'!$M49:$AZ49,'M1'!AS$10:AS$49))</f>
        <v/>
      </c>
      <c r="AT49" s="97">
        <f>SUMPRODUCT(MMULT('M2'!$M49:$AZ49,'M1'!AT$10:AT$49))</f>
        <v/>
      </c>
      <c r="AU49" s="97">
        <f>SUMPRODUCT(MMULT('M2'!$M49:$AZ49,'M1'!AU$10:AU$49))</f>
        <v/>
      </c>
      <c r="AV49" s="97">
        <f>SUMPRODUCT(MMULT('M2'!$M49:$AZ49,'M1'!AV$10:AV$49))</f>
        <v/>
      </c>
      <c r="AW49" s="97">
        <f>SUMPRODUCT(MMULT('M2'!$M49:$AZ49,'M1'!AW$10:AW$49))</f>
        <v/>
      </c>
      <c r="AX49" s="97">
        <f>SUMPRODUCT(MMULT('M2'!$M49:$AZ49,'M1'!AX$10:AX$49))</f>
        <v/>
      </c>
      <c r="AY49" s="97">
        <f>SUMPRODUCT(MMULT('M2'!$M49:$AZ49,'M1'!AY$10:AY$49))</f>
        <v/>
      </c>
      <c r="AZ49" s="97">
        <f>SUMPRODUCT(MMULT('M2'!$M49:$AZ49,'M1'!AZ$10:AZ$49))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6.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C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2.5" customWidth="1" style="62" min="13" max="52"/>
  </cols>
  <sheetData>
    <row r="1" ht="30" customHeight="1" s="62">
      <c r="A1" s="65" t="inlineStr">
        <is>
          <t>M4  |  Recorridos de exactamente 4 vínculos</t>
        </is>
      </c>
    </row>
    <row r="2" ht="46" customHeight="1" s="62">
      <c r="A2" s="63" t="inlineStr">
        <is>
          <t>Cada celda suma productos de una fila de M3 por una columna de M (≡ M1). Los valores son pesos de recorridos, no personas ni porcentajes. Regla: M4 = M3 × M. No eleve cada celda al exponente 4; no multiplique M3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SUMPRODUCT(MMULT('M3'!$M10:$AZ10,'M1'!M$10:M$49))</f>
        <v/>
      </c>
      <c r="N10" s="97">
        <f>SUMPRODUCT(MMULT('M3'!$M10:$AZ10,'M1'!N$10:N$49))</f>
        <v/>
      </c>
      <c r="O10" s="97">
        <f>SUMPRODUCT(MMULT('M3'!$M10:$AZ10,'M1'!O$10:O$49))</f>
        <v/>
      </c>
      <c r="P10" s="97">
        <f>SUMPRODUCT(MMULT('M3'!$M10:$AZ10,'M1'!P$10:P$49))</f>
        <v/>
      </c>
      <c r="Q10" s="97">
        <f>SUMPRODUCT(MMULT('M3'!$M10:$AZ10,'M1'!Q$10:Q$49))</f>
        <v/>
      </c>
      <c r="R10" s="97">
        <f>SUMPRODUCT(MMULT('M3'!$M10:$AZ10,'M1'!R$10:R$49))</f>
        <v/>
      </c>
      <c r="S10" s="97">
        <f>SUMPRODUCT(MMULT('M3'!$M10:$AZ10,'M1'!S$10:S$49))</f>
        <v/>
      </c>
      <c r="T10" s="97">
        <f>SUMPRODUCT(MMULT('M3'!$M10:$AZ10,'M1'!T$10:T$49))</f>
        <v/>
      </c>
      <c r="U10" s="97">
        <f>SUMPRODUCT(MMULT('M3'!$M10:$AZ10,'M1'!U$10:U$49))</f>
        <v/>
      </c>
      <c r="V10" s="97">
        <f>SUMPRODUCT(MMULT('M3'!$M10:$AZ10,'M1'!V$10:V$49))</f>
        <v/>
      </c>
      <c r="W10" s="97">
        <f>SUMPRODUCT(MMULT('M3'!$M10:$AZ10,'M1'!W$10:W$49))</f>
        <v/>
      </c>
      <c r="X10" s="97">
        <f>SUMPRODUCT(MMULT('M3'!$M10:$AZ10,'M1'!X$10:X$49))</f>
        <v/>
      </c>
      <c r="Y10" s="97">
        <f>SUMPRODUCT(MMULT('M3'!$M10:$AZ10,'M1'!Y$10:Y$49))</f>
        <v/>
      </c>
      <c r="Z10" s="97">
        <f>SUMPRODUCT(MMULT('M3'!$M10:$AZ10,'M1'!Z$10:Z$49))</f>
        <v/>
      </c>
      <c r="AA10" s="97">
        <f>SUMPRODUCT(MMULT('M3'!$M10:$AZ10,'M1'!AA$10:AA$49))</f>
        <v/>
      </c>
      <c r="AB10" s="97">
        <f>SUMPRODUCT(MMULT('M3'!$M10:$AZ10,'M1'!AB$10:AB$49))</f>
        <v/>
      </c>
      <c r="AC10" s="97">
        <f>SUMPRODUCT(MMULT('M3'!$M10:$AZ10,'M1'!AC$10:AC$49))</f>
        <v/>
      </c>
      <c r="AD10" s="97">
        <f>SUMPRODUCT(MMULT('M3'!$M10:$AZ10,'M1'!AD$10:AD$49))</f>
        <v/>
      </c>
      <c r="AE10" s="97">
        <f>SUMPRODUCT(MMULT('M3'!$M10:$AZ10,'M1'!AE$10:AE$49))</f>
        <v/>
      </c>
      <c r="AF10" s="97">
        <f>SUMPRODUCT(MMULT('M3'!$M10:$AZ10,'M1'!AF$10:AF$49))</f>
        <v/>
      </c>
      <c r="AG10" s="97">
        <f>SUMPRODUCT(MMULT('M3'!$M10:$AZ10,'M1'!AG$10:AG$49))</f>
        <v/>
      </c>
      <c r="AH10" s="97">
        <f>SUMPRODUCT(MMULT('M3'!$M10:$AZ10,'M1'!AH$10:AH$49))</f>
        <v/>
      </c>
      <c r="AI10" s="97">
        <f>SUMPRODUCT(MMULT('M3'!$M10:$AZ10,'M1'!AI$10:AI$49))</f>
        <v/>
      </c>
      <c r="AJ10" s="97">
        <f>SUMPRODUCT(MMULT('M3'!$M10:$AZ10,'M1'!AJ$10:AJ$49))</f>
        <v/>
      </c>
      <c r="AK10" s="97">
        <f>SUMPRODUCT(MMULT('M3'!$M10:$AZ10,'M1'!AK$10:AK$49))</f>
        <v/>
      </c>
      <c r="AL10" s="97">
        <f>SUMPRODUCT(MMULT('M3'!$M10:$AZ10,'M1'!AL$10:AL$49))</f>
        <v/>
      </c>
      <c r="AM10" s="97">
        <f>SUMPRODUCT(MMULT('M3'!$M10:$AZ10,'M1'!AM$10:AM$49))</f>
        <v/>
      </c>
      <c r="AN10" s="97">
        <f>SUMPRODUCT(MMULT('M3'!$M10:$AZ10,'M1'!AN$10:AN$49))</f>
        <v/>
      </c>
      <c r="AO10" s="97">
        <f>SUMPRODUCT(MMULT('M3'!$M10:$AZ10,'M1'!AO$10:AO$49))</f>
        <v/>
      </c>
      <c r="AP10" s="97">
        <f>SUMPRODUCT(MMULT('M3'!$M10:$AZ10,'M1'!AP$10:AP$49))</f>
        <v/>
      </c>
      <c r="AQ10" s="97">
        <f>SUMPRODUCT(MMULT('M3'!$M10:$AZ10,'M1'!AQ$10:AQ$49))</f>
        <v/>
      </c>
      <c r="AR10" s="97">
        <f>SUMPRODUCT(MMULT('M3'!$M10:$AZ10,'M1'!AR$10:AR$49))</f>
        <v/>
      </c>
      <c r="AS10" s="97">
        <f>SUMPRODUCT(MMULT('M3'!$M10:$AZ10,'M1'!AS$10:AS$49))</f>
        <v/>
      </c>
      <c r="AT10" s="97">
        <f>SUMPRODUCT(MMULT('M3'!$M10:$AZ10,'M1'!AT$10:AT$49))</f>
        <v/>
      </c>
      <c r="AU10" s="97">
        <f>SUMPRODUCT(MMULT('M3'!$M10:$AZ10,'M1'!AU$10:AU$49))</f>
        <v/>
      </c>
      <c r="AV10" s="97">
        <f>SUMPRODUCT(MMULT('M3'!$M10:$AZ10,'M1'!AV$10:AV$49))</f>
        <v/>
      </c>
      <c r="AW10" s="97">
        <f>SUMPRODUCT(MMULT('M3'!$M10:$AZ10,'M1'!AW$10:AW$49))</f>
        <v/>
      </c>
      <c r="AX10" s="97">
        <f>SUMPRODUCT(MMULT('M3'!$M10:$AZ10,'M1'!AX$10:AX$49))</f>
        <v/>
      </c>
      <c r="AY10" s="97">
        <f>SUMPRODUCT(MMULT('M3'!$M10:$AZ10,'M1'!AY$10:AY$49))</f>
        <v/>
      </c>
      <c r="AZ10" s="97">
        <f>SUMPRODUCT(MMULT('M3'!$M10:$AZ10,'M1'!AZ$10:AZ$49))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SUMPRODUCT(MMULT('M3'!$M11:$AZ11,'M1'!M$10:M$49))</f>
        <v/>
      </c>
      <c r="N11" s="97">
        <f>SUMPRODUCT(MMULT('M3'!$M11:$AZ11,'M1'!N$10:N$49))</f>
        <v/>
      </c>
      <c r="O11" s="97">
        <f>SUMPRODUCT(MMULT('M3'!$M11:$AZ11,'M1'!O$10:O$49))</f>
        <v/>
      </c>
      <c r="P11" s="97">
        <f>SUMPRODUCT(MMULT('M3'!$M11:$AZ11,'M1'!P$10:P$49))</f>
        <v/>
      </c>
      <c r="Q11" s="97">
        <f>SUMPRODUCT(MMULT('M3'!$M11:$AZ11,'M1'!Q$10:Q$49))</f>
        <v/>
      </c>
      <c r="R11" s="97">
        <f>SUMPRODUCT(MMULT('M3'!$M11:$AZ11,'M1'!R$10:R$49))</f>
        <v/>
      </c>
      <c r="S11" s="97">
        <f>SUMPRODUCT(MMULT('M3'!$M11:$AZ11,'M1'!S$10:S$49))</f>
        <v/>
      </c>
      <c r="T11" s="97">
        <f>SUMPRODUCT(MMULT('M3'!$M11:$AZ11,'M1'!T$10:T$49))</f>
        <v/>
      </c>
      <c r="U11" s="97">
        <f>SUMPRODUCT(MMULT('M3'!$M11:$AZ11,'M1'!U$10:U$49))</f>
        <v/>
      </c>
      <c r="V11" s="97">
        <f>SUMPRODUCT(MMULT('M3'!$M11:$AZ11,'M1'!V$10:V$49))</f>
        <v/>
      </c>
      <c r="W11" s="97">
        <f>SUMPRODUCT(MMULT('M3'!$M11:$AZ11,'M1'!W$10:W$49))</f>
        <v/>
      </c>
      <c r="X11" s="97">
        <f>SUMPRODUCT(MMULT('M3'!$M11:$AZ11,'M1'!X$10:X$49))</f>
        <v/>
      </c>
      <c r="Y11" s="97">
        <f>SUMPRODUCT(MMULT('M3'!$M11:$AZ11,'M1'!Y$10:Y$49))</f>
        <v/>
      </c>
      <c r="Z11" s="97">
        <f>SUMPRODUCT(MMULT('M3'!$M11:$AZ11,'M1'!Z$10:Z$49))</f>
        <v/>
      </c>
      <c r="AA11" s="97">
        <f>SUMPRODUCT(MMULT('M3'!$M11:$AZ11,'M1'!AA$10:AA$49))</f>
        <v/>
      </c>
      <c r="AB11" s="97">
        <f>SUMPRODUCT(MMULT('M3'!$M11:$AZ11,'M1'!AB$10:AB$49))</f>
        <v/>
      </c>
      <c r="AC11" s="97">
        <f>SUMPRODUCT(MMULT('M3'!$M11:$AZ11,'M1'!AC$10:AC$49))</f>
        <v/>
      </c>
      <c r="AD11" s="97">
        <f>SUMPRODUCT(MMULT('M3'!$M11:$AZ11,'M1'!AD$10:AD$49))</f>
        <v/>
      </c>
      <c r="AE11" s="97">
        <f>SUMPRODUCT(MMULT('M3'!$M11:$AZ11,'M1'!AE$10:AE$49))</f>
        <v/>
      </c>
      <c r="AF11" s="97">
        <f>SUMPRODUCT(MMULT('M3'!$M11:$AZ11,'M1'!AF$10:AF$49))</f>
        <v/>
      </c>
      <c r="AG11" s="97">
        <f>SUMPRODUCT(MMULT('M3'!$M11:$AZ11,'M1'!AG$10:AG$49))</f>
        <v/>
      </c>
      <c r="AH11" s="97">
        <f>SUMPRODUCT(MMULT('M3'!$M11:$AZ11,'M1'!AH$10:AH$49))</f>
        <v/>
      </c>
      <c r="AI11" s="97">
        <f>SUMPRODUCT(MMULT('M3'!$M11:$AZ11,'M1'!AI$10:AI$49))</f>
        <v/>
      </c>
      <c r="AJ11" s="97">
        <f>SUMPRODUCT(MMULT('M3'!$M11:$AZ11,'M1'!AJ$10:AJ$49))</f>
        <v/>
      </c>
      <c r="AK11" s="97">
        <f>SUMPRODUCT(MMULT('M3'!$M11:$AZ11,'M1'!AK$10:AK$49))</f>
        <v/>
      </c>
      <c r="AL11" s="97">
        <f>SUMPRODUCT(MMULT('M3'!$M11:$AZ11,'M1'!AL$10:AL$49))</f>
        <v/>
      </c>
      <c r="AM11" s="97">
        <f>SUMPRODUCT(MMULT('M3'!$M11:$AZ11,'M1'!AM$10:AM$49))</f>
        <v/>
      </c>
      <c r="AN11" s="97">
        <f>SUMPRODUCT(MMULT('M3'!$M11:$AZ11,'M1'!AN$10:AN$49))</f>
        <v/>
      </c>
      <c r="AO11" s="97">
        <f>SUMPRODUCT(MMULT('M3'!$M11:$AZ11,'M1'!AO$10:AO$49))</f>
        <v/>
      </c>
      <c r="AP11" s="97">
        <f>SUMPRODUCT(MMULT('M3'!$M11:$AZ11,'M1'!AP$10:AP$49))</f>
        <v/>
      </c>
      <c r="AQ11" s="97">
        <f>SUMPRODUCT(MMULT('M3'!$M11:$AZ11,'M1'!AQ$10:AQ$49))</f>
        <v/>
      </c>
      <c r="AR11" s="97">
        <f>SUMPRODUCT(MMULT('M3'!$M11:$AZ11,'M1'!AR$10:AR$49))</f>
        <v/>
      </c>
      <c r="AS11" s="97">
        <f>SUMPRODUCT(MMULT('M3'!$M11:$AZ11,'M1'!AS$10:AS$49))</f>
        <v/>
      </c>
      <c r="AT11" s="97">
        <f>SUMPRODUCT(MMULT('M3'!$M11:$AZ11,'M1'!AT$10:AT$49))</f>
        <v/>
      </c>
      <c r="AU11" s="97">
        <f>SUMPRODUCT(MMULT('M3'!$M11:$AZ11,'M1'!AU$10:AU$49))</f>
        <v/>
      </c>
      <c r="AV11" s="97">
        <f>SUMPRODUCT(MMULT('M3'!$M11:$AZ11,'M1'!AV$10:AV$49))</f>
        <v/>
      </c>
      <c r="AW11" s="97">
        <f>SUMPRODUCT(MMULT('M3'!$M11:$AZ11,'M1'!AW$10:AW$49))</f>
        <v/>
      </c>
      <c r="AX11" s="97">
        <f>SUMPRODUCT(MMULT('M3'!$M11:$AZ11,'M1'!AX$10:AX$49))</f>
        <v/>
      </c>
      <c r="AY11" s="97">
        <f>SUMPRODUCT(MMULT('M3'!$M11:$AZ11,'M1'!AY$10:AY$49))</f>
        <v/>
      </c>
      <c r="AZ11" s="97">
        <f>SUMPRODUCT(MMULT('M3'!$M11:$AZ11,'M1'!AZ$10:AZ$49))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SUMPRODUCT(MMULT('M3'!$M12:$AZ12,'M1'!M$10:M$49))</f>
        <v/>
      </c>
      <c r="N12" s="97">
        <f>SUMPRODUCT(MMULT('M3'!$M12:$AZ12,'M1'!N$10:N$49))</f>
        <v/>
      </c>
      <c r="O12" s="97">
        <f>SUMPRODUCT(MMULT('M3'!$M12:$AZ12,'M1'!O$10:O$49))</f>
        <v/>
      </c>
      <c r="P12" s="97">
        <f>SUMPRODUCT(MMULT('M3'!$M12:$AZ12,'M1'!P$10:P$49))</f>
        <v/>
      </c>
      <c r="Q12" s="97">
        <f>SUMPRODUCT(MMULT('M3'!$M12:$AZ12,'M1'!Q$10:Q$49))</f>
        <v/>
      </c>
      <c r="R12" s="97">
        <f>SUMPRODUCT(MMULT('M3'!$M12:$AZ12,'M1'!R$10:R$49))</f>
        <v/>
      </c>
      <c r="S12" s="97">
        <f>SUMPRODUCT(MMULT('M3'!$M12:$AZ12,'M1'!S$10:S$49))</f>
        <v/>
      </c>
      <c r="T12" s="97">
        <f>SUMPRODUCT(MMULT('M3'!$M12:$AZ12,'M1'!T$10:T$49))</f>
        <v/>
      </c>
      <c r="U12" s="97">
        <f>SUMPRODUCT(MMULT('M3'!$M12:$AZ12,'M1'!U$10:U$49))</f>
        <v/>
      </c>
      <c r="V12" s="97">
        <f>SUMPRODUCT(MMULT('M3'!$M12:$AZ12,'M1'!V$10:V$49))</f>
        <v/>
      </c>
      <c r="W12" s="97">
        <f>SUMPRODUCT(MMULT('M3'!$M12:$AZ12,'M1'!W$10:W$49))</f>
        <v/>
      </c>
      <c r="X12" s="97">
        <f>SUMPRODUCT(MMULT('M3'!$M12:$AZ12,'M1'!X$10:X$49))</f>
        <v/>
      </c>
      <c r="Y12" s="97">
        <f>SUMPRODUCT(MMULT('M3'!$M12:$AZ12,'M1'!Y$10:Y$49))</f>
        <v/>
      </c>
      <c r="Z12" s="97">
        <f>SUMPRODUCT(MMULT('M3'!$M12:$AZ12,'M1'!Z$10:Z$49))</f>
        <v/>
      </c>
      <c r="AA12" s="97">
        <f>SUMPRODUCT(MMULT('M3'!$M12:$AZ12,'M1'!AA$10:AA$49))</f>
        <v/>
      </c>
      <c r="AB12" s="97">
        <f>SUMPRODUCT(MMULT('M3'!$M12:$AZ12,'M1'!AB$10:AB$49))</f>
        <v/>
      </c>
      <c r="AC12" s="97">
        <f>SUMPRODUCT(MMULT('M3'!$M12:$AZ12,'M1'!AC$10:AC$49))</f>
        <v/>
      </c>
      <c r="AD12" s="97">
        <f>SUMPRODUCT(MMULT('M3'!$M12:$AZ12,'M1'!AD$10:AD$49))</f>
        <v/>
      </c>
      <c r="AE12" s="97">
        <f>SUMPRODUCT(MMULT('M3'!$M12:$AZ12,'M1'!AE$10:AE$49))</f>
        <v/>
      </c>
      <c r="AF12" s="97">
        <f>SUMPRODUCT(MMULT('M3'!$M12:$AZ12,'M1'!AF$10:AF$49))</f>
        <v/>
      </c>
      <c r="AG12" s="97">
        <f>SUMPRODUCT(MMULT('M3'!$M12:$AZ12,'M1'!AG$10:AG$49))</f>
        <v/>
      </c>
      <c r="AH12" s="97">
        <f>SUMPRODUCT(MMULT('M3'!$M12:$AZ12,'M1'!AH$10:AH$49))</f>
        <v/>
      </c>
      <c r="AI12" s="97">
        <f>SUMPRODUCT(MMULT('M3'!$M12:$AZ12,'M1'!AI$10:AI$49))</f>
        <v/>
      </c>
      <c r="AJ12" s="97">
        <f>SUMPRODUCT(MMULT('M3'!$M12:$AZ12,'M1'!AJ$10:AJ$49))</f>
        <v/>
      </c>
      <c r="AK12" s="97">
        <f>SUMPRODUCT(MMULT('M3'!$M12:$AZ12,'M1'!AK$10:AK$49))</f>
        <v/>
      </c>
      <c r="AL12" s="97">
        <f>SUMPRODUCT(MMULT('M3'!$M12:$AZ12,'M1'!AL$10:AL$49))</f>
        <v/>
      </c>
      <c r="AM12" s="97">
        <f>SUMPRODUCT(MMULT('M3'!$M12:$AZ12,'M1'!AM$10:AM$49))</f>
        <v/>
      </c>
      <c r="AN12" s="97">
        <f>SUMPRODUCT(MMULT('M3'!$M12:$AZ12,'M1'!AN$10:AN$49))</f>
        <v/>
      </c>
      <c r="AO12" s="97">
        <f>SUMPRODUCT(MMULT('M3'!$M12:$AZ12,'M1'!AO$10:AO$49))</f>
        <v/>
      </c>
      <c r="AP12" s="97">
        <f>SUMPRODUCT(MMULT('M3'!$M12:$AZ12,'M1'!AP$10:AP$49))</f>
        <v/>
      </c>
      <c r="AQ12" s="97">
        <f>SUMPRODUCT(MMULT('M3'!$M12:$AZ12,'M1'!AQ$10:AQ$49))</f>
        <v/>
      </c>
      <c r="AR12" s="97">
        <f>SUMPRODUCT(MMULT('M3'!$M12:$AZ12,'M1'!AR$10:AR$49))</f>
        <v/>
      </c>
      <c r="AS12" s="97">
        <f>SUMPRODUCT(MMULT('M3'!$M12:$AZ12,'M1'!AS$10:AS$49))</f>
        <v/>
      </c>
      <c r="AT12" s="97">
        <f>SUMPRODUCT(MMULT('M3'!$M12:$AZ12,'M1'!AT$10:AT$49))</f>
        <v/>
      </c>
      <c r="AU12" s="97">
        <f>SUMPRODUCT(MMULT('M3'!$M12:$AZ12,'M1'!AU$10:AU$49))</f>
        <v/>
      </c>
      <c r="AV12" s="97">
        <f>SUMPRODUCT(MMULT('M3'!$M12:$AZ12,'M1'!AV$10:AV$49))</f>
        <v/>
      </c>
      <c r="AW12" s="97">
        <f>SUMPRODUCT(MMULT('M3'!$M12:$AZ12,'M1'!AW$10:AW$49))</f>
        <v/>
      </c>
      <c r="AX12" s="97">
        <f>SUMPRODUCT(MMULT('M3'!$M12:$AZ12,'M1'!AX$10:AX$49))</f>
        <v/>
      </c>
      <c r="AY12" s="97">
        <f>SUMPRODUCT(MMULT('M3'!$M12:$AZ12,'M1'!AY$10:AY$49))</f>
        <v/>
      </c>
      <c r="AZ12" s="97">
        <f>SUMPRODUCT(MMULT('M3'!$M12:$AZ12,'M1'!AZ$10:AZ$49))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SUMPRODUCT(MMULT('M3'!$M13:$AZ13,'M1'!M$10:M$49))</f>
        <v/>
      </c>
      <c r="N13" s="97">
        <f>SUMPRODUCT(MMULT('M3'!$M13:$AZ13,'M1'!N$10:N$49))</f>
        <v/>
      </c>
      <c r="O13" s="97">
        <f>SUMPRODUCT(MMULT('M3'!$M13:$AZ13,'M1'!O$10:O$49))</f>
        <v/>
      </c>
      <c r="P13" s="97">
        <f>SUMPRODUCT(MMULT('M3'!$M13:$AZ13,'M1'!P$10:P$49))</f>
        <v/>
      </c>
      <c r="Q13" s="97">
        <f>SUMPRODUCT(MMULT('M3'!$M13:$AZ13,'M1'!Q$10:Q$49))</f>
        <v/>
      </c>
      <c r="R13" s="97">
        <f>SUMPRODUCT(MMULT('M3'!$M13:$AZ13,'M1'!R$10:R$49))</f>
        <v/>
      </c>
      <c r="S13" s="97">
        <f>SUMPRODUCT(MMULT('M3'!$M13:$AZ13,'M1'!S$10:S$49))</f>
        <v/>
      </c>
      <c r="T13" s="97">
        <f>SUMPRODUCT(MMULT('M3'!$M13:$AZ13,'M1'!T$10:T$49))</f>
        <v/>
      </c>
      <c r="U13" s="97">
        <f>SUMPRODUCT(MMULT('M3'!$M13:$AZ13,'M1'!U$10:U$49))</f>
        <v/>
      </c>
      <c r="V13" s="97">
        <f>SUMPRODUCT(MMULT('M3'!$M13:$AZ13,'M1'!V$10:V$49))</f>
        <v/>
      </c>
      <c r="W13" s="97">
        <f>SUMPRODUCT(MMULT('M3'!$M13:$AZ13,'M1'!W$10:W$49))</f>
        <v/>
      </c>
      <c r="X13" s="97">
        <f>SUMPRODUCT(MMULT('M3'!$M13:$AZ13,'M1'!X$10:X$49))</f>
        <v/>
      </c>
      <c r="Y13" s="97">
        <f>SUMPRODUCT(MMULT('M3'!$M13:$AZ13,'M1'!Y$10:Y$49))</f>
        <v/>
      </c>
      <c r="Z13" s="97">
        <f>SUMPRODUCT(MMULT('M3'!$M13:$AZ13,'M1'!Z$10:Z$49))</f>
        <v/>
      </c>
      <c r="AA13" s="97">
        <f>SUMPRODUCT(MMULT('M3'!$M13:$AZ13,'M1'!AA$10:AA$49))</f>
        <v/>
      </c>
      <c r="AB13" s="97">
        <f>SUMPRODUCT(MMULT('M3'!$M13:$AZ13,'M1'!AB$10:AB$49))</f>
        <v/>
      </c>
      <c r="AC13" s="97">
        <f>SUMPRODUCT(MMULT('M3'!$M13:$AZ13,'M1'!AC$10:AC$49))</f>
        <v/>
      </c>
      <c r="AD13" s="97">
        <f>SUMPRODUCT(MMULT('M3'!$M13:$AZ13,'M1'!AD$10:AD$49))</f>
        <v/>
      </c>
      <c r="AE13" s="97">
        <f>SUMPRODUCT(MMULT('M3'!$M13:$AZ13,'M1'!AE$10:AE$49))</f>
        <v/>
      </c>
      <c r="AF13" s="97">
        <f>SUMPRODUCT(MMULT('M3'!$M13:$AZ13,'M1'!AF$10:AF$49))</f>
        <v/>
      </c>
      <c r="AG13" s="97">
        <f>SUMPRODUCT(MMULT('M3'!$M13:$AZ13,'M1'!AG$10:AG$49))</f>
        <v/>
      </c>
      <c r="AH13" s="97">
        <f>SUMPRODUCT(MMULT('M3'!$M13:$AZ13,'M1'!AH$10:AH$49))</f>
        <v/>
      </c>
      <c r="AI13" s="97">
        <f>SUMPRODUCT(MMULT('M3'!$M13:$AZ13,'M1'!AI$10:AI$49))</f>
        <v/>
      </c>
      <c r="AJ13" s="97">
        <f>SUMPRODUCT(MMULT('M3'!$M13:$AZ13,'M1'!AJ$10:AJ$49))</f>
        <v/>
      </c>
      <c r="AK13" s="97">
        <f>SUMPRODUCT(MMULT('M3'!$M13:$AZ13,'M1'!AK$10:AK$49))</f>
        <v/>
      </c>
      <c r="AL13" s="97">
        <f>SUMPRODUCT(MMULT('M3'!$M13:$AZ13,'M1'!AL$10:AL$49))</f>
        <v/>
      </c>
      <c r="AM13" s="97">
        <f>SUMPRODUCT(MMULT('M3'!$M13:$AZ13,'M1'!AM$10:AM$49))</f>
        <v/>
      </c>
      <c r="AN13" s="97">
        <f>SUMPRODUCT(MMULT('M3'!$M13:$AZ13,'M1'!AN$10:AN$49))</f>
        <v/>
      </c>
      <c r="AO13" s="97">
        <f>SUMPRODUCT(MMULT('M3'!$M13:$AZ13,'M1'!AO$10:AO$49))</f>
        <v/>
      </c>
      <c r="AP13" s="97">
        <f>SUMPRODUCT(MMULT('M3'!$M13:$AZ13,'M1'!AP$10:AP$49))</f>
        <v/>
      </c>
      <c r="AQ13" s="97">
        <f>SUMPRODUCT(MMULT('M3'!$M13:$AZ13,'M1'!AQ$10:AQ$49))</f>
        <v/>
      </c>
      <c r="AR13" s="97">
        <f>SUMPRODUCT(MMULT('M3'!$M13:$AZ13,'M1'!AR$10:AR$49))</f>
        <v/>
      </c>
      <c r="AS13" s="97">
        <f>SUMPRODUCT(MMULT('M3'!$M13:$AZ13,'M1'!AS$10:AS$49))</f>
        <v/>
      </c>
      <c r="AT13" s="97">
        <f>SUMPRODUCT(MMULT('M3'!$M13:$AZ13,'M1'!AT$10:AT$49))</f>
        <v/>
      </c>
      <c r="AU13" s="97">
        <f>SUMPRODUCT(MMULT('M3'!$M13:$AZ13,'M1'!AU$10:AU$49))</f>
        <v/>
      </c>
      <c r="AV13" s="97">
        <f>SUMPRODUCT(MMULT('M3'!$M13:$AZ13,'M1'!AV$10:AV$49))</f>
        <v/>
      </c>
      <c r="AW13" s="97">
        <f>SUMPRODUCT(MMULT('M3'!$M13:$AZ13,'M1'!AW$10:AW$49))</f>
        <v/>
      </c>
      <c r="AX13" s="97">
        <f>SUMPRODUCT(MMULT('M3'!$M13:$AZ13,'M1'!AX$10:AX$49))</f>
        <v/>
      </c>
      <c r="AY13" s="97">
        <f>SUMPRODUCT(MMULT('M3'!$M13:$AZ13,'M1'!AY$10:AY$49))</f>
        <v/>
      </c>
      <c r="AZ13" s="97">
        <f>SUMPRODUCT(MMULT('M3'!$M13:$AZ13,'M1'!AZ$10:AZ$49))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SUMPRODUCT(MMULT('M3'!$M14:$AZ14,'M1'!M$10:M$49))</f>
        <v/>
      </c>
      <c r="N14" s="97">
        <f>SUMPRODUCT(MMULT('M3'!$M14:$AZ14,'M1'!N$10:N$49))</f>
        <v/>
      </c>
      <c r="O14" s="97">
        <f>SUMPRODUCT(MMULT('M3'!$M14:$AZ14,'M1'!O$10:O$49))</f>
        <v/>
      </c>
      <c r="P14" s="97">
        <f>SUMPRODUCT(MMULT('M3'!$M14:$AZ14,'M1'!P$10:P$49))</f>
        <v/>
      </c>
      <c r="Q14" s="97">
        <f>SUMPRODUCT(MMULT('M3'!$M14:$AZ14,'M1'!Q$10:Q$49))</f>
        <v/>
      </c>
      <c r="R14" s="97">
        <f>SUMPRODUCT(MMULT('M3'!$M14:$AZ14,'M1'!R$10:R$49))</f>
        <v/>
      </c>
      <c r="S14" s="97">
        <f>SUMPRODUCT(MMULT('M3'!$M14:$AZ14,'M1'!S$10:S$49))</f>
        <v/>
      </c>
      <c r="T14" s="97">
        <f>SUMPRODUCT(MMULT('M3'!$M14:$AZ14,'M1'!T$10:T$49))</f>
        <v/>
      </c>
      <c r="U14" s="97">
        <f>SUMPRODUCT(MMULT('M3'!$M14:$AZ14,'M1'!U$10:U$49))</f>
        <v/>
      </c>
      <c r="V14" s="97">
        <f>SUMPRODUCT(MMULT('M3'!$M14:$AZ14,'M1'!V$10:V$49))</f>
        <v/>
      </c>
      <c r="W14" s="97">
        <f>SUMPRODUCT(MMULT('M3'!$M14:$AZ14,'M1'!W$10:W$49))</f>
        <v/>
      </c>
      <c r="X14" s="97">
        <f>SUMPRODUCT(MMULT('M3'!$M14:$AZ14,'M1'!X$10:X$49))</f>
        <v/>
      </c>
      <c r="Y14" s="97">
        <f>SUMPRODUCT(MMULT('M3'!$M14:$AZ14,'M1'!Y$10:Y$49))</f>
        <v/>
      </c>
      <c r="Z14" s="97">
        <f>SUMPRODUCT(MMULT('M3'!$M14:$AZ14,'M1'!Z$10:Z$49))</f>
        <v/>
      </c>
      <c r="AA14" s="97">
        <f>SUMPRODUCT(MMULT('M3'!$M14:$AZ14,'M1'!AA$10:AA$49))</f>
        <v/>
      </c>
      <c r="AB14" s="97">
        <f>SUMPRODUCT(MMULT('M3'!$M14:$AZ14,'M1'!AB$10:AB$49))</f>
        <v/>
      </c>
      <c r="AC14" s="97">
        <f>SUMPRODUCT(MMULT('M3'!$M14:$AZ14,'M1'!AC$10:AC$49))</f>
        <v/>
      </c>
      <c r="AD14" s="97">
        <f>SUMPRODUCT(MMULT('M3'!$M14:$AZ14,'M1'!AD$10:AD$49))</f>
        <v/>
      </c>
      <c r="AE14" s="97">
        <f>SUMPRODUCT(MMULT('M3'!$M14:$AZ14,'M1'!AE$10:AE$49))</f>
        <v/>
      </c>
      <c r="AF14" s="97">
        <f>SUMPRODUCT(MMULT('M3'!$M14:$AZ14,'M1'!AF$10:AF$49))</f>
        <v/>
      </c>
      <c r="AG14" s="97">
        <f>SUMPRODUCT(MMULT('M3'!$M14:$AZ14,'M1'!AG$10:AG$49))</f>
        <v/>
      </c>
      <c r="AH14" s="97">
        <f>SUMPRODUCT(MMULT('M3'!$M14:$AZ14,'M1'!AH$10:AH$49))</f>
        <v/>
      </c>
      <c r="AI14" s="97">
        <f>SUMPRODUCT(MMULT('M3'!$M14:$AZ14,'M1'!AI$10:AI$49))</f>
        <v/>
      </c>
      <c r="AJ14" s="97">
        <f>SUMPRODUCT(MMULT('M3'!$M14:$AZ14,'M1'!AJ$10:AJ$49))</f>
        <v/>
      </c>
      <c r="AK14" s="97">
        <f>SUMPRODUCT(MMULT('M3'!$M14:$AZ14,'M1'!AK$10:AK$49))</f>
        <v/>
      </c>
      <c r="AL14" s="97">
        <f>SUMPRODUCT(MMULT('M3'!$M14:$AZ14,'M1'!AL$10:AL$49))</f>
        <v/>
      </c>
      <c r="AM14" s="97">
        <f>SUMPRODUCT(MMULT('M3'!$M14:$AZ14,'M1'!AM$10:AM$49))</f>
        <v/>
      </c>
      <c r="AN14" s="97">
        <f>SUMPRODUCT(MMULT('M3'!$M14:$AZ14,'M1'!AN$10:AN$49))</f>
        <v/>
      </c>
      <c r="AO14" s="97">
        <f>SUMPRODUCT(MMULT('M3'!$M14:$AZ14,'M1'!AO$10:AO$49))</f>
        <v/>
      </c>
      <c r="AP14" s="97">
        <f>SUMPRODUCT(MMULT('M3'!$M14:$AZ14,'M1'!AP$10:AP$49))</f>
        <v/>
      </c>
      <c r="AQ14" s="97">
        <f>SUMPRODUCT(MMULT('M3'!$M14:$AZ14,'M1'!AQ$10:AQ$49))</f>
        <v/>
      </c>
      <c r="AR14" s="97">
        <f>SUMPRODUCT(MMULT('M3'!$M14:$AZ14,'M1'!AR$10:AR$49))</f>
        <v/>
      </c>
      <c r="AS14" s="97">
        <f>SUMPRODUCT(MMULT('M3'!$M14:$AZ14,'M1'!AS$10:AS$49))</f>
        <v/>
      </c>
      <c r="AT14" s="97">
        <f>SUMPRODUCT(MMULT('M3'!$M14:$AZ14,'M1'!AT$10:AT$49))</f>
        <v/>
      </c>
      <c r="AU14" s="97">
        <f>SUMPRODUCT(MMULT('M3'!$M14:$AZ14,'M1'!AU$10:AU$49))</f>
        <v/>
      </c>
      <c r="AV14" s="97">
        <f>SUMPRODUCT(MMULT('M3'!$M14:$AZ14,'M1'!AV$10:AV$49))</f>
        <v/>
      </c>
      <c r="AW14" s="97">
        <f>SUMPRODUCT(MMULT('M3'!$M14:$AZ14,'M1'!AW$10:AW$49))</f>
        <v/>
      </c>
      <c r="AX14" s="97">
        <f>SUMPRODUCT(MMULT('M3'!$M14:$AZ14,'M1'!AX$10:AX$49))</f>
        <v/>
      </c>
      <c r="AY14" s="97">
        <f>SUMPRODUCT(MMULT('M3'!$M14:$AZ14,'M1'!AY$10:AY$49))</f>
        <v/>
      </c>
      <c r="AZ14" s="97">
        <f>SUMPRODUCT(MMULT('M3'!$M14:$AZ14,'M1'!AZ$10:AZ$49))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SUMPRODUCT(MMULT('M3'!$M15:$AZ15,'M1'!M$10:M$49))</f>
        <v/>
      </c>
      <c r="N15" s="97">
        <f>SUMPRODUCT(MMULT('M3'!$M15:$AZ15,'M1'!N$10:N$49))</f>
        <v/>
      </c>
      <c r="O15" s="97">
        <f>SUMPRODUCT(MMULT('M3'!$M15:$AZ15,'M1'!O$10:O$49))</f>
        <v/>
      </c>
      <c r="P15" s="97">
        <f>SUMPRODUCT(MMULT('M3'!$M15:$AZ15,'M1'!P$10:P$49))</f>
        <v/>
      </c>
      <c r="Q15" s="97">
        <f>SUMPRODUCT(MMULT('M3'!$M15:$AZ15,'M1'!Q$10:Q$49))</f>
        <v/>
      </c>
      <c r="R15" s="97">
        <f>SUMPRODUCT(MMULT('M3'!$M15:$AZ15,'M1'!R$10:R$49))</f>
        <v/>
      </c>
      <c r="S15" s="97">
        <f>SUMPRODUCT(MMULT('M3'!$M15:$AZ15,'M1'!S$10:S$49))</f>
        <v/>
      </c>
      <c r="T15" s="97">
        <f>SUMPRODUCT(MMULT('M3'!$M15:$AZ15,'M1'!T$10:T$49))</f>
        <v/>
      </c>
      <c r="U15" s="97">
        <f>SUMPRODUCT(MMULT('M3'!$M15:$AZ15,'M1'!U$10:U$49))</f>
        <v/>
      </c>
      <c r="V15" s="97">
        <f>SUMPRODUCT(MMULT('M3'!$M15:$AZ15,'M1'!V$10:V$49))</f>
        <v/>
      </c>
      <c r="W15" s="97">
        <f>SUMPRODUCT(MMULT('M3'!$M15:$AZ15,'M1'!W$10:W$49))</f>
        <v/>
      </c>
      <c r="X15" s="97">
        <f>SUMPRODUCT(MMULT('M3'!$M15:$AZ15,'M1'!X$10:X$49))</f>
        <v/>
      </c>
      <c r="Y15" s="97">
        <f>SUMPRODUCT(MMULT('M3'!$M15:$AZ15,'M1'!Y$10:Y$49))</f>
        <v/>
      </c>
      <c r="Z15" s="97">
        <f>SUMPRODUCT(MMULT('M3'!$M15:$AZ15,'M1'!Z$10:Z$49))</f>
        <v/>
      </c>
      <c r="AA15" s="97">
        <f>SUMPRODUCT(MMULT('M3'!$M15:$AZ15,'M1'!AA$10:AA$49))</f>
        <v/>
      </c>
      <c r="AB15" s="97">
        <f>SUMPRODUCT(MMULT('M3'!$M15:$AZ15,'M1'!AB$10:AB$49))</f>
        <v/>
      </c>
      <c r="AC15" s="97">
        <f>SUMPRODUCT(MMULT('M3'!$M15:$AZ15,'M1'!AC$10:AC$49))</f>
        <v/>
      </c>
      <c r="AD15" s="97">
        <f>SUMPRODUCT(MMULT('M3'!$M15:$AZ15,'M1'!AD$10:AD$49))</f>
        <v/>
      </c>
      <c r="AE15" s="97">
        <f>SUMPRODUCT(MMULT('M3'!$M15:$AZ15,'M1'!AE$10:AE$49))</f>
        <v/>
      </c>
      <c r="AF15" s="97">
        <f>SUMPRODUCT(MMULT('M3'!$M15:$AZ15,'M1'!AF$10:AF$49))</f>
        <v/>
      </c>
      <c r="AG15" s="97">
        <f>SUMPRODUCT(MMULT('M3'!$M15:$AZ15,'M1'!AG$10:AG$49))</f>
        <v/>
      </c>
      <c r="AH15" s="97">
        <f>SUMPRODUCT(MMULT('M3'!$M15:$AZ15,'M1'!AH$10:AH$49))</f>
        <v/>
      </c>
      <c r="AI15" s="97">
        <f>SUMPRODUCT(MMULT('M3'!$M15:$AZ15,'M1'!AI$10:AI$49))</f>
        <v/>
      </c>
      <c r="AJ15" s="97">
        <f>SUMPRODUCT(MMULT('M3'!$M15:$AZ15,'M1'!AJ$10:AJ$49))</f>
        <v/>
      </c>
      <c r="AK15" s="97">
        <f>SUMPRODUCT(MMULT('M3'!$M15:$AZ15,'M1'!AK$10:AK$49))</f>
        <v/>
      </c>
      <c r="AL15" s="97">
        <f>SUMPRODUCT(MMULT('M3'!$M15:$AZ15,'M1'!AL$10:AL$49))</f>
        <v/>
      </c>
      <c r="AM15" s="97">
        <f>SUMPRODUCT(MMULT('M3'!$M15:$AZ15,'M1'!AM$10:AM$49))</f>
        <v/>
      </c>
      <c r="AN15" s="97">
        <f>SUMPRODUCT(MMULT('M3'!$M15:$AZ15,'M1'!AN$10:AN$49))</f>
        <v/>
      </c>
      <c r="AO15" s="97">
        <f>SUMPRODUCT(MMULT('M3'!$M15:$AZ15,'M1'!AO$10:AO$49))</f>
        <v/>
      </c>
      <c r="AP15" s="97">
        <f>SUMPRODUCT(MMULT('M3'!$M15:$AZ15,'M1'!AP$10:AP$49))</f>
        <v/>
      </c>
      <c r="AQ15" s="97">
        <f>SUMPRODUCT(MMULT('M3'!$M15:$AZ15,'M1'!AQ$10:AQ$49))</f>
        <v/>
      </c>
      <c r="AR15" s="97">
        <f>SUMPRODUCT(MMULT('M3'!$M15:$AZ15,'M1'!AR$10:AR$49))</f>
        <v/>
      </c>
      <c r="AS15" s="97">
        <f>SUMPRODUCT(MMULT('M3'!$M15:$AZ15,'M1'!AS$10:AS$49))</f>
        <v/>
      </c>
      <c r="AT15" s="97">
        <f>SUMPRODUCT(MMULT('M3'!$M15:$AZ15,'M1'!AT$10:AT$49))</f>
        <v/>
      </c>
      <c r="AU15" s="97">
        <f>SUMPRODUCT(MMULT('M3'!$M15:$AZ15,'M1'!AU$10:AU$49))</f>
        <v/>
      </c>
      <c r="AV15" s="97">
        <f>SUMPRODUCT(MMULT('M3'!$M15:$AZ15,'M1'!AV$10:AV$49))</f>
        <v/>
      </c>
      <c r="AW15" s="97">
        <f>SUMPRODUCT(MMULT('M3'!$M15:$AZ15,'M1'!AW$10:AW$49))</f>
        <v/>
      </c>
      <c r="AX15" s="97">
        <f>SUMPRODUCT(MMULT('M3'!$M15:$AZ15,'M1'!AX$10:AX$49))</f>
        <v/>
      </c>
      <c r="AY15" s="97">
        <f>SUMPRODUCT(MMULT('M3'!$M15:$AZ15,'M1'!AY$10:AY$49))</f>
        <v/>
      </c>
      <c r="AZ15" s="97">
        <f>SUMPRODUCT(MMULT('M3'!$M15:$AZ15,'M1'!AZ$10:AZ$49))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SUMPRODUCT(MMULT('M3'!$M16:$AZ16,'M1'!M$10:M$49))</f>
        <v/>
      </c>
      <c r="N16" s="97">
        <f>SUMPRODUCT(MMULT('M3'!$M16:$AZ16,'M1'!N$10:N$49))</f>
        <v/>
      </c>
      <c r="O16" s="97">
        <f>SUMPRODUCT(MMULT('M3'!$M16:$AZ16,'M1'!O$10:O$49))</f>
        <v/>
      </c>
      <c r="P16" s="97">
        <f>SUMPRODUCT(MMULT('M3'!$M16:$AZ16,'M1'!P$10:P$49))</f>
        <v/>
      </c>
      <c r="Q16" s="97">
        <f>SUMPRODUCT(MMULT('M3'!$M16:$AZ16,'M1'!Q$10:Q$49))</f>
        <v/>
      </c>
      <c r="R16" s="97">
        <f>SUMPRODUCT(MMULT('M3'!$M16:$AZ16,'M1'!R$10:R$49))</f>
        <v/>
      </c>
      <c r="S16" s="97">
        <f>SUMPRODUCT(MMULT('M3'!$M16:$AZ16,'M1'!S$10:S$49))</f>
        <v/>
      </c>
      <c r="T16" s="97">
        <f>SUMPRODUCT(MMULT('M3'!$M16:$AZ16,'M1'!T$10:T$49))</f>
        <v/>
      </c>
      <c r="U16" s="97">
        <f>SUMPRODUCT(MMULT('M3'!$M16:$AZ16,'M1'!U$10:U$49))</f>
        <v/>
      </c>
      <c r="V16" s="97">
        <f>SUMPRODUCT(MMULT('M3'!$M16:$AZ16,'M1'!V$10:V$49))</f>
        <v/>
      </c>
      <c r="W16" s="97">
        <f>SUMPRODUCT(MMULT('M3'!$M16:$AZ16,'M1'!W$10:W$49))</f>
        <v/>
      </c>
      <c r="X16" s="97">
        <f>SUMPRODUCT(MMULT('M3'!$M16:$AZ16,'M1'!X$10:X$49))</f>
        <v/>
      </c>
      <c r="Y16" s="97">
        <f>SUMPRODUCT(MMULT('M3'!$M16:$AZ16,'M1'!Y$10:Y$49))</f>
        <v/>
      </c>
      <c r="Z16" s="97">
        <f>SUMPRODUCT(MMULT('M3'!$M16:$AZ16,'M1'!Z$10:Z$49))</f>
        <v/>
      </c>
      <c r="AA16" s="97">
        <f>SUMPRODUCT(MMULT('M3'!$M16:$AZ16,'M1'!AA$10:AA$49))</f>
        <v/>
      </c>
      <c r="AB16" s="97">
        <f>SUMPRODUCT(MMULT('M3'!$M16:$AZ16,'M1'!AB$10:AB$49))</f>
        <v/>
      </c>
      <c r="AC16" s="97">
        <f>SUMPRODUCT(MMULT('M3'!$M16:$AZ16,'M1'!AC$10:AC$49))</f>
        <v/>
      </c>
      <c r="AD16" s="97">
        <f>SUMPRODUCT(MMULT('M3'!$M16:$AZ16,'M1'!AD$10:AD$49))</f>
        <v/>
      </c>
      <c r="AE16" s="97">
        <f>SUMPRODUCT(MMULT('M3'!$M16:$AZ16,'M1'!AE$10:AE$49))</f>
        <v/>
      </c>
      <c r="AF16" s="97">
        <f>SUMPRODUCT(MMULT('M3'!$M16:$AZ16,'M1'!AF$10:AF$49))</f>
        <v/>
      </c>
      <c r="AG16" s="97">
        <f>SUMPRODUCT(MMULT('M3'!$M16:$AZ16,'M1'!AG$10:AG$49))</f>
        <v/>
      </c>
      <c r="AH16" s="97">
        <f>SUMPRODUCT(MMULT('M3'!$M16:$AZ16,'M1'!AH$10:AH$49))</f>
        <v/>
      </c>
      <c r="AI16" s="97">
        <f>SUMPRODUCT(MMULT('M3'!$M16:$AZ16,'M1'!AI$10:AI$49))</f>
        <v/>
      </c>
      <c r="AJ16" s="97">
        <f>SUMPRODUCT(MMULT('M3'!$M16:$AZ16,'M1'!AJ$10:AJ$49))</f>
        <v/>
      </c>
      <c r="AK16" s="97">
        <f>SUMPRODUCT(MMULT('M3'!$M16:$AZ16,'M1'!AK$10:AK$49))</f>
        <v/>
      </c>
      <c r="AL16" s="97">
        <f>SUMPRODUCT(MMULT('M3'!$M16:$AZ16,'M1'!AL$10:AL$49))</f>
        <v/>
      </c>
      <c r="AM16" s="97">
        <f>SUMPRODUCT(MMULT('M3'!$M16:$AZ16,'M1'!AM$10:AM$49))</f>
        <v/>
      </c>
      <c r="AN16" s="97">
        <f>SUMPRODUCT(MMULT('M3'!$M16:$AZ16,'M1'!AN$10:AN$49))</f>
        <v/>
      </c>
      <c r="AO16" s="97">
        <f>SUMPRODUCT(MMULT('M3'!$M16:$AZ16,'M1'!AO$10:AO$49))</f>
        <v/>
      </c>
      <c r="AP16" s="97">
        <f>SUMPRODUCT(MMULT('M3'!$M16:$AZ16,'M1'!AP$10:AP$49))</f>
        <v/>
      </c>
      <c r="AQ16" s="97">
        <f>SUMPRODUCT(MMULT('M3'!$M16:$AZ16,'M1'!AQ$10:AQ$49))</f>
        <v/>
      </c>
      <c r="AR16" s="97">
        <f>SUMPRODUCT(MMULT('M3'!$M16:$AZ16,'M1'!AR$10:AR$49))</f>
        <v/>
      </c>
      <c r="AS16" s="97">
        <f>SUMPRODUCT(MMULT('M3'!$M16:$AZ16,'M1'!AS$10:AS$49))</f>
        <v/>
      </c>
      <c r="AT16" s="97">
        <f>SUMPRODUCT(MMULT('M3'!$M16:$AZ16,'M1'!AT$10:AT$49))</f>
        <v/>
      </c>
      <c r="AU16" s="97">
        <f>SUMPRODUCT(MMULT('M3'!$M16:$AZ16,'M1'!AU$10:AU$49))</f>
        <v/>
      </c>
      <c r="AV16" s="97">
        <f>SUMPRODUCT(MMULT('M3'!$M16:$AZ16,'M1'!AV$10:AV$49))</f>
        <v/>
      </c>
      <c r="AW16" s="97">
        <f>SUMPRODUCT(MMULT('M3'!$M16:$AZ16,'M1'!AW$10:AW$49))</f>
        <v/>
      </c>
      <c r="AX16" s="97">
        <f>SUMPRODUCT(MMULT('M3'!$M16:$AZ16,'M1'!AX$10:AX$49))</f>
        <v/>
      </c>
      <c r="AY16" s="97">
        <f>SUMPRODUCT(MMULT('M3'!$M16:$AZ16,'M1'!AY$10:AY$49))</f>
        <v/>
      </c>
      <c r="AZ16" s="97">
        <f>SUMPRODUCT(MMULT('M3'!$M16:$AZ16,'M1'!AZ$10:AZ$49))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SUMPRODUCT(MMULT('M3'!$M17:$AZ17,'M1'!M$10:M$49))</f>
        <v/>
      </c>
      <c r="N17" s="97">
        <f>SUMPRODUCT(MMULT('M3'!$M17:$AZ17,'M1'!N$10:N$49))</f>
        <v/>
      </c>
      <c r="O17" s="97">
        <f>SUMPRODUCT(MMULT('M3'!$M17:$AZ17,'M1'!O$10:O$49))</f>
        <v/>
      </c>
      <c r="P17" s="97">
        <f>SUMPRODUCT(MMULT('M3'!$M17:$AZ17,'M1'!P$10:P$49))</f>
        <v/>
      </c>
      <c r="Q17" s="97">
        <f>SUMPRODUCT(MMULT('M3'!$M17:$AZ17,'M1'!Q$10:Q$49))</f>
        <v/>
      </c>
      <c r="R17" s="97">
        <f>SUMPRODUCT(MMULT('M3'!$M17:$AZ17,'M1'!R$10:R$49))</f>
        <v/>
      </c>
      <c r="S17" s="97">
        <f>SUMPRODUCT(MMULT('M3'!$M17:$AZ17,'M1'!S$10:S$49))</f>
        <v/>
      </c>
      <c r="T17" s="97">
        <f>SUMPRODUCT(MMULT('M3'!$M17:$AZ17,'M1'!T$10:T$49))</f>
        <v/>
      </c>
      <c r="U17" s="97">
        <f>SUMPRODUCT(MMULT('M3'!$M17:$AZ17,'M1'!U$10:U$49))</f>
        <v/>
      </c>
      <c r="V17" s="97">
        <f>SUMPRODUCT(MMULT('M3'!$M17:$AZ17,'M1'!V$10:V$49))</f>
        <v/>
      </c>
      <c r="W17" s="97">
        <f>SUMPRODUCT(MMULT('M3'!$M17:$AZ17,'M1'!W$10:W$49))</f>
        <v/>
      </c>
      <c r="X17" s="97">
        <f>SUMPRODUCT(MMULT('M3'!$M17:$AZ17,'M1'!X$10:X$49))</f>
        <v/>
      </c>
      <c r="Y17" s="97">
        <f>SUMPRODUCT(MMULT('M3'!$M17:$AZ17,'M1'!Y$10:Y$49))</f>
        <v/>
      </c>
      <c r="Z17" s="97">
        <f>SUMPRODUCT(MMULT('M3'!$M17:$AZ17,'M1'!Z$10:Z$49))</f>
        <v/>
      </c>
      <c r="AA17" s="97">
        <f>SUMPRODUCT(MMULT('M3'!$M17:$AZ17,'M1'!AA$10:AA$49))</f>
        <v/>
      </c>
      <c r="AB17" s="97">
        <f>SUMPRODUCT(MMULT('M3'!$M17:$AZ17,'M1'!AB$10:AB$49))</f>
        <v/>
      </c>
      <c r="AC17" s="97">
        <f>SUMPRODUCT(MMULT('M3'!$M17:$AZ17,'M1'!AC$10:AC$49))</f>
        <v/>
      </c>
      <c r="AD17" s="97">
        <f>SUMPRODUCT(MMULT('M3'!$M17:$AZ17,'M1'!AD$10:AD$49))</f>
        <v/>
      </c>
      <c r="AE17" s="97">
        <f>SUMPRODUCT(MMULT('M3'!$M17:$AZ17,'M1'!AE$10:AE$49))</f>
        <v/>
      </c>
      <c r="AF17" s="97">
        <f>SUMPRODUCT(MMULT('M3'!$M17:$AZ17,'M1'!AF$10:AF$49))</f>
        <v/>
      </c>
      <c r="AG17" s="97">
        <f>SUMPRODUCT(MMULT('M3'!$M17:$AZ17,'M1'!AG$10:AG$49))</f>
        <v/>
      </c>
      <c r="AH17" s="97">
        <f>SUMPRODUCT(MMULT('M3'!$M17:$AZ17,'M1'!AH$10:AH$49))</f>
        <v/>
      </c>
      <c r="AI17" s="97">
        <f>SUMPRODUCT(MMULT('M3'!$M17:$AZ17,'M1'!AI$10:AI$49))</f>
        <v/>
      </c>
      <c r="AJ17" s="97">
        <f>SUMPRODUCT(MMULT('M3'!$M17:$AZ17,'M1'!AJ$10:AJ$49))</f>
        <v/>
      </c>
      <c r="AK17" s="97">
        <f>SUMPRODUCT(MMULT('M3'!$M17:$AZ17,'M1'!AK$10:AK$49))</f>
        <v/>
      </c>
      <c r="AL17" s="97">
        <f>SUMPRODUCT(MMULT('M3'!$M17:$AZ17,'M1'!AL$10:AL$49))</f>
        <v/>
      </c>
      <c r="AM17" s="97">
        <f>SUMPRODUCT(MMULT('M3'!$M17:$AZ17,'M1'!AM$10:AM$49))</f>
        <v/>
      </c>
      <c r="AN17" s="97">
        <f>SUMPRODUCT(MMULT('M3'!$M17:$AZ17,'M1'!AN$10:AN$49))</f>
        <v/>
      </c>
      <c r="AO17" s="97">
        <f>SUMPRODUCT(MMULT('M3'!$M17:$AZ17,'M1'!AO$10:AO$49))</f>
        <v/>
      </c>
      <c r="AP17" s="97">
        <f>SUMPRODUCT(MMULT('M3'!$M17:$AZ17,'M1'!AP$10:AP$49))</f>
        <v/>
      </c>
      <c r="AQ17" s="97">
        <f>SUMPRODUCT(MMULT('M3'!$M17:$AZ17,'M1'!AQ$10:AQ$49))</f>
        <v/>
      </c>
      <c r="AR17" s="97">
        <f>SUMPRODUCT(MMULT('M3'!$M17:$AZ17,'M1'!AR$10:AR$49))</f>
        <v/>
      </c>
      <c r="AS17" s="97">
        <f>SUMPRODUCT(MMULT('M3'!$M17:$AZ17,'M1'!AS$10:AS$49))</f>
        <v/>
      </c>
      <c r="AT17" s="97">
        <f>SUMPRODUCT(MMULT('M3'!$M17:$AZ17,'M1'!AT$10:AT$49))</f>
        <v/>
      </c>
      <c r="AU17" s="97">
        <f>SUMPRODUCT(MMULT('M3'!$M17:$AZ17,'M1'!AU$10:AU$49))</f>
        <v/>
      </c>
      <c r="AV17" s="97">
        <f>SUMPRODUCT(MMULT('M3'!$M17:$AZ17,'M1'!AV$10:AV$49))</f>
        <v/>
      </c>
      <c r="AW17" s="97">
        <f>SUMPRODUCT(MMULT('M3'!$M17:$AZ17,'M1'!AW$10:AW$49))</f>
        <v/>
      </c>
      <c r="AX17" s="97">
        <f>SUMPRODUCT(MMULT('M3'!$M17:$AZ17,'M1'!AX$10:AX$49))</f>
        <v/>
      </c>
      <c r="AY17" s="97">
        <f>SUMPRODUCT(MMULT('M3'!$M17:$AZ17,'M1'!AY$10:AY$49))</f>
        <v/>
      </c>
      <c r="AZ17" s="97">
        <f>SUMPRODUCT(MMULT('M3'!$M17:$AZ17,'M1'!AZ$10:AZ$49))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SUMPRODUCT(MMULT('M3'!$M18:$AZ18,'M1'!M$10:M$49))</f>
        <v/>
      </c>
      <c r="N18" s="97">
        <f>SUMPRODUCT(MMULT('M3'!$M18:$AZ18,'M1'!N$10:N$49))</f>
        <v/>
      </c>
      <c r="O18" s="97">
        <f>SUMPRODUCT(MMULT('M3'!$M18:$AZ18,'M1'!O$10:O$49))</f>
        <v/>
      </c>
      <c r="P18" s="97">
        <f>SUMPRODUCT(MMULT('M3'!$M18:$AZ18,'M1'!P$10:P$49))</f>
        <v/>
      </c>
      <c r="Q18" s="97">
        <f>SUMPRODUCT(MMULT('M3'!$M18:$AZ18,'M1'!Q$10:Q$49))</f>
        <v/>
      </c>
      <c r="R18" s="97">
        <f>SUMPRODUCT(MMULT('M3'!$M18:$AZ18,'M1'!R$10:R$49))</f>
        <v/>
      </c>
      <c r="S18" s="97">
        <f>SUMPRODUCT(MMULT('M3'!$M18:$AZ18,'M1'!S$10:S$49))</f>
        <v/>
      </c>
      <c r="T18" s="97">
        <f>SUMPRODUCT(MMULT('M3'!$M18:$AZ18,'M1'!T$10:T$49))</f>
        <v/>
      </c>
      <c r="U18" s="97">
        <f>SUMPRODUCT(MMULT('M3'!$M18:$AZ18,'M1'!U$10:U$49))</f>
        <v/>
      </c>
      <c r="V18" s="97">
        <f>SUMPRODUCT(MMULT('M3'!$M18:$AZ18,'M1'!V$10:V$49))</f>
        <v/>
      </c>
      <c r="W18" s="97">
        <f>SUMPRODUCT(MMULT('M3'!$M18:$AZ18,'M1'!W$10:W$49))</f>
        <v/>
      </c>
      <c r="X18" s="97">
        <f>SUMPRODUCT(MMULT('M3'!$M18:$AZ18,'M1'!X$10:X$49))</f>
        <v/>
      </c>
      <c r="Y18" s="97">
        <f>SUMPRODUCT(MMULT('M3'!$M18:$AZ18,'M1'!Y$10:Y$49))</f>
        <v/>
      </c>
      <c r="Z18" s="97">
        <f>SUMPRODUCT(MMULT('M3'!$M18:$AZ18,'M1'!Z$10:Z$49))</f>
        <v/>
      </c>
      <c r="AA18" s="97">
        <f>SUMPRODUCT(MMULT('M3'!$M18:$AZ18,'M1'!AA$10:AA$49))</f>
        <v/>
      </c>
      <c r="AB18" s="97">
        <f>SUMPRODUCT(MMULT('M3'!$M18:$AZ18,'M1'!AB$10:AB$49))</f>
        <v/>
      </c>
      <c r="AC18" s="97">
        <f>SUMPRODUCT(MMULT('M3'!$M18:$AZ18,'M1'!AC$10:AC$49))</f>
        <v/>
      </c>
      <c r="AD18" s="97">
        <f>SUMPRODUCT(MMULT('M3'!$M18:$AZ18,'M1'!AD$10:AD$49))</f>
        <v/>
      </c>
      <c r="AE18" s="97">
        <f>SUMPRODUCT(MMULT('M3'!$M18:$AZ18,'M1'!AE$10:AE$49))</f>
        <v/>
      </c>
      <c r="AF18" s="97">
        <f>SUMPRODUCT(MMULT('M3'!$M18:$AZ18,'M1'!AF$10:AF$49))</f>
        <v/>
      </c>
      <c r="AG18" s="97">
        <f>SUMPRODUCT(MMULT('M3'!$M18:$AZ18,'M1'!AG$10:AG$49))</f>
        <v/>
      </c>
      <c r="AH18" s="97">
        <f>SUMPRODUCT(MMULT('M3'!$M18:$AZ18,'M1'!AH$10:AH$49))</f>
        <v/>
      </c>
      <c r="AI18" s="97">
        <f>SUMPRODUCT(MMULT('M3'!$M18:$AZ18,'M1'!AI$10:AI$49))</f>
        <v/>
      </c>
      <c r="AJ18" s="97">
        <f>SUMPRODUCT(MMULT('M3'!$M18:$AZ18,'M1'!AJ$10:AJ$49))</f>
        <v/>
      </c>
      <c r="AK18" s="97">
        <f>SUMPRODUCT(MMULT('M3'!$M18:$AZ18,'M1'!AK$10:AK$49))</f>
        <v/>
      </c>
      <c r="AL18" s="97">
        <f>SUMPRODUCT(MMULT('M3'!$M18:$AZ18,'M1'!AL$10:AL$49))</f>
        <v/>
      </c>
      <c r="AM18" s="97">
        <f>SUMPRODUCT(MMULT('M3'!$M18:$AZ18,'M1'!AM$10:AM$49))</f>
        <v/>
      </c>
      <c r="AN18" s="97">
        <f>SUMPRODUCT(MMULT('M3'!$M18:$AZ18,'M1'!AN$10:AN$49))</f>
        <v/>
      </c>
      <c r="AO18" s="97">
        <f>SUMPRODUCT(MMULT('M3'!$M18:$AZ18,'M1'!AO$10:AO$49))</f>
        <v/>
      </c>
      <c r="AP18" s="97">
        <f>SUMPRODUCT(MMULT('M3'!$M18:$AZ18,'M1'!AP$10:AP$49))</f>
        <v/>
      </c>
      <c r="AQ18" s="97">
        <f>SUMPRODUCT(MMULT('M3'!$M18:$AZ18,'M1'!AQ$10:AQ$49))</f>
        <v/>
      </c>
      <c r="AR18" s="97">
        <f>SUMPRODUCT(MMULT('M3'!$M18:$AZ18,'M1'!AR$10:AR$49))</f>
        <v/>
      </c>
      <c r="AS18" s="97">
        <f>SUMPRODUCT(MMULT('M3'!$M18:$AZ18,'M1'!AS$10:AS$49))</f>
        <v/>
      </c>
      <c r="AT18" s="97">
        <f>SUMPRODUCT(MMULT('M3'!$M18:$AZ18,'M1'!AT$10:AT$49))</f>
        <v/>
      </c>
      <c r="AU18" s="97">
        <f>SUMPRODUCT(MMULT('M3'!$M18:$AZ18,'M1'!AU$10:AU$49))</f>
        <v/>
      </c>
      <c r="AV18" s="97">
        <f>SUMPRODUCT(MMULT('M3'!$M18:$AZ18,'M1'!AV$10:AV$49))</f>
        <v/>
      </c>
      <c r="AW18" s="97">
        <f>SUMPRODUCT(MMULT('M3'!$M18:$AZ18,'M1'!AW$10:AW$49))</f>
        <v/>
      </c>
      <c r="AX18" s="97">
        <f>SUMPRODUCT(MMULT('M3'!$M18:$AZ18,'M1'!AX$10:AX$49))</f>
        <v/>
      </c>
      <c r="AY18" s="97">
        <f>SUMPRODUCT(MMULT('M3'!$M18:$AZ18,'M1'!AY$10:AY$49))</f>
        <v/>
      </c>
      <c r="AZ18" s="97">
        <f>SUMPRODUCT(MMULT('M3'!$M18:$AZ18,'M1'!AZ$10:AZ$49))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SUMPRODUCT(MMULT('M3'!$M19:$AZ19,'M1'!M$10:M$49))</f>
        <v/>
      </c>
      <c r="N19" s="97">
        <f>SUMPRODUCT(MMULT('M3'!$M19:$AZ19,'M1'!N$10:N$49))</f>
        <v/>
      </c>
      <c r="O19" s="97">
        <f>SUMPRODUCT(MMULT('M3'!$M19:$AZ19,'M1'!O$10:O$49))</f>
        <v/>
      </c>
      <c r="P19" s="97">
        <f>SUMPRODUCT(MMULT('M3'!$M19:$AZ19,'M1'!P$10:P$49))</f>
        <v/>
      </c>
      <c r="Q19" s="97">
        <f>SUMPRODUCT(MMULT('M3'!$M19:$AZ19,'M1'!Q$10:Q$49))</f>
        <v/>
      </c>
      <c r="R19" s="97">
        <f>SUMPRODUCT(MMULT('M3'!$M19:$AZ19,'M1'!R$10:R$49))</f>
        <v/>
      </c>
      <c r="S19" s="97">
        <f>SUMPRODUCT(MMULT('M3'!$M19:$AZ19,'M1'!S$10:S$49))</f>
        <v/>
      </c>
      <c r="T19" s="97">
        <f>SUMPRODUCT(MMULT('M3'!$M19:$AZ19,'M1'!T$10:T$49))</f>
        <v/>
      </c>
      <c r="U19" s="97">
        <f>SUMPRODUCT(MMULT('M3'!$M19:$AZ19,'M1'!U$10:U$49))</f>
        <v/>
      </c>
      <c r="V19" s="97">
        <f>SUMPRODUCT(MMULT('M3'!$M19:$AZ19,'M1'!V$10:V$49))</f>
        <v/>
      </c>
      <c r="W19" s="97">
        <f>SUMPRODUCT(MMULT('M3'!$M19:$AZ19,'M1'!W$10:W$49))</f>
        <v/>
      </c>
      <c r="X19" s="97">
        <f>SUMPRODUCT(MMULT('M3'!$M19:$AZ19,'M1'!X$10:X$49))</f>
        <v/>
      </c>
      <c r="Y19" s="97">
        <f>SUMPRODUCT(MMULT('M3'!$M19:$AZ19,'M1'!Y$10:Y$49))</f>
        <v/>
      </c>
      <c r="Z19" s="97">
        <f>SUMPRODUCT(MMULT('M3'!$M19:$AZ19,'M1'!Z$10:Z$49))</f>
        <v/>
      </c>
      <c r="AA19" s="97">
        <f>SUMPRODUCT(MMULT('M3'!$M19:$AZ19,'M1'!AA$10:AA$49))</f>
        <v/>
      </c>
      <c r="AB19" s="97">
        <f>SUMPRODUCT(MMULT('M3'!$M19:$AZ19,'M1'!AB$10:AB$49))</f>
        <v/>
      </c>
      <c r="AC19" s="97">
        <f>SUMPRODUCT(MMULT('M3'!$M19:$AZ19,'M1'!AC$10:AC$49))</f>
        <v/>
      </c>
      <c r="AD19" s="97">
        <f>SUMPRODUCT(MMULT('M3'!$M19:$AZ19,'M1'!AD$10:AD$49))</f>
        <v/>
      </c>
      <c r="AE19" s="97">
        <f>SUMPRODUCT(MMULT('M3'!$M19:$AZ19,'M1'!AE$10:AE$49))</f>
        <v/>
      </c>
      <c r="AF19" s="97">
        <f>SUMPRODUCT(MMULT('M3'!$M19:$AZ19,'M1'!AF$10:AF$49))</f>
        <v/>
      </c>
      <c r="AG19" s="97">
        <f>SUMPRODUCT(MMULT('M3'!$M19:$AZ19,'M1'!AG$10:AG$49))</f>
        <v/>
      </c>
      <c r="AH19" s="97">
        <f>SUMPRODUCT(MMULT('M3'!$M19:$AZ19,'M1'!AH$10:AH$49))</f>
        <v/>
      </c>
      <c r="AI19" s="97">
        <f>SUMPRODUCT(MMULT('M3'!$M19:$AZ19,'M1'!AI$10:AI$49))</f>
        <v/>
      </c>
      <c r="AJ19" s="97">
        <f>SUMPRODUCT(MMULT('M3'!$M19:$AZ19,'M1'!AJ$10:AJ$49))</f>
        <v/>
      </c>
      <c r="AK19" s="97">
        <f>SUMPRODUCT(MMULT('M3'!$M19:$AZ19,'M1'!AK$10:AK$49))</f>
        <v/>
      </c>
      <c r="AL19" s="97">
        <f>SUMPRODUCT(MMULT('M3'!$M19:$AZ19,'M1'!AL$10:AL$49))</f>
        <v/>
      </c>
      <c r="AM19" s="97">
        <f>SUMPRODUCT(MMULT('M3'!$M19:$AZ19,'M1'!AM$10:AM$49))</f>
        <v/>
      </c>
      <c r="AN19" s="97">
        <f>SUMPRODUCT(MMULT('M3'!$M19:$AZ19,'M1'!AN$10:AN$49))</f>
        <v/>
      </c>
      <c r="AO19" s="97">
        <f>SUMPRODUCT(MMULT('M3'!$M19:$AZ19,'M1'!AO$10:AO$49))</f>
        <v/>
      </c>
      <c r="AP19" s="97">
        <f>SUMPRODUCT(MMULT('M3'!$M19:$AZ19,'M1'!AP$10:AP$49))</f>
        <v/>
      </c>
      <c r="AQ19" s="97">
        <f>SUMPRODUCT(MMULT('M3'!$M19:$AZ19,'M1'!AQ$10:AQ$49))</f>
        <v/>
      </c>
      <c r="AR19" s="97">
        <f>SUMPRODUCT(MMULT('M3'!$M19:$AZ19,'M1'!AR$10:AR$49))</f>
        <v/>
      </c>
      <c r="AS19" s="97">
        <f>SUMPRODUCT(MMULT('M3'!$M19:$AZ19,'M1'!AS$10:AS$49))</f>
        <v/>
      </c>
      <c r="AT19" s="97">
        <f>SUMPRODUCT(MMULT('M3'!$M19:$AZ19,'M1'!AT$10:AT$49))</f>
        <v/>
      </c>
      <c r="AU19" s="97">
        <f>SUMPRODUCT(MMULT('M3'!$M19:$AZ19,'M1'!AU$10:AU$49))</f>
        <v/>
      </c>
      <c r="AV19" s="97">
        <f>SUMPRODUCT(MMULT('M3'!$M19:$AZ19,'M1'!AV$10:AV$49))</f>
        <v/>
      </c>
      <c r="AW19" s="97">
        <f>SUMPRODUCT(MMULT('M3'!$M19:$AZ19,'M1'!AW$10:AW$49))</f>
        <v/>
      </c>
      <c r="AX19" s="97">
        <f>SUMPRODUCT(MMULT('M3'!$M19:$AZ19,'M1'!AX$10:AX$49))</f>
        <v/>
      </c>
      <c r="AY19" s="97">
        <f>SUMPRODUCT(MMULT('M3'!$M19:$AZ19,'M1'!AY$10:AY$49))</f>
        <v/>
      </c>
      <c r="AZ19" s="97">
        <f>SUMPRODUCT(MMULT('M3'!$M19:$AZ19,'M1'!AZ$10:AZ$49))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SUMPRODUCT(MMULT('M3'!$M20:$AZ20,'M1'!M$10:M$49))</f>
        <v/>
      </c>
      <c r="N20" s="97">
        <f>SUMPRODUCT(MMULT('M3'!$M20:$AZ20,'M1'!N$10:N$49))</f>
        <v/>
      </c>
      <c r="O20" s="97">
        <f>SUMPRODUCT(MMULT('M3'!$M20:$AZ20,'M1'!O$10:O$49))</f>
        <v/>
      </c>
      <c r="P20" s="97">
        <f>SUMPRODUCT(MMULT('M3'!$M20:$AZ20,'M1'!P$10:P$49))</f>
        <v/>
      </c>
      <c r="Q20" s="97">
        <f>SUMPRODUCT(MMULT('M3'!$M20:$AZ20,'M1'!Q$10:Q$49))</f>
        <v/>
      </c>
      <c r="R20" s="97">
        <f>SUMPRODUCT(MMULT('M3'!$M20:$AZ20,'M1'!R$10:R$49))</f>
        <v/>
      </c>
      <c r="S20" s="97">
        <f>SUMPRODUCT(MMULT('M3'!$M20:$AZ20,'M1'!S$10:S$49))</f>
        <v/>
      </c>
      <c r="T20" s="97">
        <f>SUMPRODUCT(MMULT('M3'!$M20:$AZ20,'M1'!T$10:T$49))</f>
        <v/>
      </c>
      <c r="U20" s="97">
        <f>SUMPRODUCT(MMULT('M3'!$M20:$AZ20,'M1'!U$10:U$49))</f>
        <v/>
      </c>
      <c r="V20" s="97">
        <f>SUMPRODUCT(MMULT('M3'!$M20:$AZ20,'M1'!V$10:V$49))</f>
        <v/>
      </c>
      <c r="W20" s="97">
        <f>SUMPRODUCT(MMULT('M3'!$M20:$AZ20,'M1'!W$10:W$49))</f>
        <v/>
      </c>
      <c r="X20" s="97">
        <f>SUMPRODUCT(MMULT('M3'!$M20:$AZ20,'M1'!X$10:X$49))</f>
        <v/>
      </c>
      <c r="Y20" s="97">
        <f>SUMPRODUCT(MMULT('M3'!$M20:$AZ20,'M1'!Y$10:Y$49))</f>
        <v/>
      </c>
      <c r="Z20" s="97">
        <f>SUMPRODUCT(MMULT('M3'!$M20:$AZ20,'M1'!Z$10:Z$49))</f>
        <v/>
      </c>
      <c r="AA20" s="97">
        <f>SUMPRODUCT(MMULT('M3'!$M20:$AZ20,'M1'!AA$10:AA$49))</f>
        <v/>
      </c>
      <c r="AB20" s="97">
        <f>SUMPRODUCT(MMULT('M3'!$M20:$AZ20,'M1'!AB$10:AB$49))</f>
        <v/>
      </c>
      <c r="AC20" s="97">
        <f>SUMPRODUCT(MMULT('M3'!$M20:$AZ20,'M1'!AC$10:AC$49))</f>
        <v/>
      </c>
      <c r="AD20" s="97">
        <f>SUMPRODUCT(MMULT('M3'!$M20:$AZ20,'M1'!AD$10:AD$49))</f>
        <v/>
      </c>
      <c r="AE20" s="97">
        <f>SUMPRODUCT(MMULT('M3'!$M20:$AZ20,'M1'!AE$10:AE$49))</f>
        <v/>
      </c>
      <c r="AF20" s="97">
        <f>SUMPRODUCT(MMULT('M3'!$M20:$AZ20,'M1'!AF$10:AF$49))</f>
        <v/>
      </c>
      <c r="AG20" s="97">
        <f>SUMPRODUCT(MMULT('M3'!$M20:$AZ20,'M1'!AG$10:AG$49))</f>
        <v/>
      </c>
      <c r="AH20" s="97">
        <f>SUMPRODUCT(MMULT('M3'!$M20:$AZ20,'M1'!AH$10:AH$49))</f>
        <v/>
      </c>
      <c r="AI20" s="97">
        <f>SUMPRODUCT(MMULT('M3'!$M20:$AZ20,'M1'!AI$10:AI$49))</f>
        <v/>
      </c>
      <c r="AJ20" s="97">
        <f>SUMPRODUCT(MMULT('M3'!$M20:$AZ20,'M1'!AJ$10:AJ$49))</f>
        <v/>
      </c>
      <c r="AK20" s="97">
        <f>SUMPRODUCT(MMULT('M3'!$M20:$AZ20,'M1'!AK$10:AK$49))</f>
        <v/>
      </c>
      <c r="AL20" s="97">
        <f>SUMPRODUCT(MMULT('M3'!$M20:$AZ20,'M1'!AL$10:AL$49))</f>
        <v/>
      </c>
      <c r="AM20" s="97">
        <f>SUMPRODUCT(MMULT('M3'!$M20:$AZ20,'M1'!AM$10:AM$49))</f>
        <v/>
      </c>
      <c r="AN20" s="97">
        <f>SUMPRODUCT(MMULT('M3'!$M20:$AZ20,'M1'!AN$10:AN$49))</f>
        <v/>
      </c>
      <c r="AO20" s="97">
        <f>SUMPRODUCT(MMULT('M3'!$M20:$AZ20,'M1'!AO$10:AO$49))</f>
        <v/>
      </c>
      <c r="AP20" s="97">
        <f>SUMPRODUCT(MMULT('M3'!$M20:$AZ20,'M1'!AP$10:AP$49))</f>
        <v/>
      </c>
      <c r="AQ20" s="97">
        <f>SUMPRODUCT(MMULT('M3'!$M20:$AZ20,'M1'!AQ$10:AQ$49))</f>
        <v/>
      </c>
      <c r="AR20" s="97">
        <f>SUMPRODUCT(MMULT('M3'!$M20:$AZ20,'M1'!AR$10:AR$49))</f>
        <v/>
      </c>
      <c r="AS20" s="97">
        <f>SUMPRODUCT(MMULT('M3'!$M20:$AZ20,'M1'!AS$10:AS$49))</f>
        <v/>
      </c>
      <c r="AT20" s="97">
        <f>SUMPRODUCT(MMULT('M3'!$M20:$AZ20,'M1'!AT$10:AT$49))</f>
        <v/>
      </c>
      <c r="AU20" s="97">
        <f>SUMPRODUCT(MMULT('M3'!$M20:$AZ20,'M1'!AU$10:AU$49))</f>
        <v/>
      </c>
      <c r="AV20" s="97">
        <f>SUMPRODUCT(MMULT('M3'!$M20:$AZ20,'M1'!AV$10:AV$49))</f>
        <v/>
      </c>
      <c r="AW20" s="97">
        <f>SUMPRODUCT(MMULT('M3'!$M20:$AZ20,'M1'!AW$10:AW$49))</f>
        <v/>
      </c>
      <c r="AX20" s="97">
        <f>SUMPRODUCT(MMULT('M3'!$M20:$AZ20,'M1'!AX$10:AX$49))</f>
        <v/>
      </c>
      <c r="AY20" s="97">
        <f>SUMPRODUCT(MMULT('M3'!$M20:$AZ20,'M1'!AY$10:AY$49))</f>
        <v/>
      </c>
      <c r="AZ20" s="97">
        <f>SUMPRODUCT(MMULT('M3'!$M20:$AZ20,'M1'!AZ$10:AZ$49))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SUMPRODUCT(MMULT('M3'!$M21:$AZ21,'M1'!M$10:M$49))</f>
        <v/>
      </c>
      <c r="N21" s="97">
        <f>SUMPRODUCT(MMULT('M3'!$M21:$AZ21,'M1'!N$10:N$49))</f>
        <v/>
      </c>
      <c r="O21" s="97">
        <f>SUMPRODUCT(MMULT('M3'!$M21:$AZ21,'M1'!O$10:O$49))</f>
        <v/>
      </c>
      <c r="P21" s="97">
        <f>SUMPRODUCT(MMULT('M3'!$M21:$AZ21,'M1'!P$10:P$49))</f>
        <v/>
      </c>
      <c r="Q21" s="97">
        <f>SUMPRODUCT(MMULT('M3'!$M21:$AZ21,'M1'!Q$10:Q$49))</f>
        <v/>
      </c>
      <c r="R21" s="97">
        <f>SUMPRODUCT(MMULT('M3'!$M21:$AZ21,'M1'!R$10:R$49))</f>
        <v/>
      </c>
      <c r="S21" s="97">
        <f>SUMPRODUCT(MMULT('M3'!$M21:$AZ21,'M1'!S$10:S$49))</f>
        <v/>
      </c>
      <c r="T21" s="97">
        <f>SUMPRODUCT(MMULT('M3'!$M21:$AZ21,'M1'!T$10:T$49))</f>
        <v/>
      </c>
      <c r="U21" s="97">
        <f>SUMPRODUCT(MMULT('M3'!$M21:$AZ21,'M1'!U$10:U$49))</f>
        <v/>
      </c>
      <c r="V21" s="97">
        <f>SUMPRODUCT(MMULT('M3'!$M21:$AZ21,'M1'!V$10:V$49))</f>
        <v/>
      </c>
      <c r="W21" s="97">
        <f>SUMPRODUCT(MMULT('M3'!$M21:$AZ21,'M1'!W$10:W$49))</f>
        <v/>
      </c>
      <c r="X21" s="97">
        <f>SUMPRODUCT(MMULT('M3'!$M21:$AZ21,'M1'!X$10:X$49))</f>
        <v/>
      </c>
      <c r="Y21" s="97">
        <f>SUMPRODUCT(MMULT('M3'!$M21:$AZ21,'M1'!Y$10:Y$49))</f>
        <v/>
      </c>
      <c r="Z21" s="97">
        <f>SUMPRODUCT(MMULT('M3'!$M21:$AZ21,'M1'!Z$10:Z$49))</f>
        <v/>
      </c>
      <c r="AA21" s="97">
        <f>SUMPRODUCT(MMULT('M3'!$M21:$AZ21,'M1'!AA$10:AA$49))</f>
        <v/>
      </c>
      <c r="AB21" s="97">
        <f>SUMPRODUCT(MMULT('M3'!$M21:$AZ21,'M1'!AB$10:AB$49))</f>
        <v/>
      </c>
      <c r="AC21" s="97">
        <f>SUMPRODUCT(MMULT('M3'!$M21:$AZ21,'M1'!AC$10:AC$49))</f>
        <v/>
      </c>
      <c r="AD21" s="97">
        <f>SUMPRODUCT(MMULT('M3'!$M21:$AZ21,'M1'!AD$10:AD$49))</f>
        <v/>
      </c>
      <c r="AE21" s="97">
        <f>SUMPRODUCT(MMULT('M3'!$M21:$AZ21,'M1'!AE$10:AE$49))</f>
        <v/>
      </c>
      <c r="AF21" s="97">
        <f>SUMPRODUCT(MMULT('M3'!$M21:$AZ21,'M1'!AF$10:AF$49))</f>
        <v/>
      </c>
      <c r="AG21" s="97">
        <f>SUMPRODUCT(MMULT('M3'!$M21:$AZ21,'M1'!AG$10:AG$49))</f>
        <v/>
      </c>
      <c r="AH21" s="97">
        <f>SUMPRODUCT(MMULT('M3'!$M21:$AZ21,'M1'!AH$10:AH$49))</f>
        <v/>
      </c>
      <c r="AI21" s="97">
        <f>SUMPRODUCT(MMULT('M3'!$M21:$AZ21,'M1'!AI$10:AI$49))</f>
        <v/>
      </c>
      <c r="AJ21" s="97">
        <f>SUMPRODUCT(MMULT('M3'!$M21:$AZ21,'M1'!AJ$10:AJ$49))</f>
        <v/>
      </c>
      <c r="AK21" s="97">
        <f>SUMPRODUCT(MMULT('M3'!$M21:$AZ21,'M1'!AK$10:AK$49))</f>
        <v/>
      </c>
      <c r="AL21" s="97">
        <f>SUMPRODUCT(MMULT('M3'!$M21:$AZ21,'M1'!AL$10:AL$49))</f>
        <v/>
      </c>
      <c r="AM21" s="97">
        <f>SUMPRODUCT(MMULT('M3'!$M21:$AZ21,'M1'!AM$10:AM$49))</f>
        <v/>
      </c>
      <c r="AN21" s="97">
        <f>SUMPRODUCT(MMULT('M3'!$M21:$AZ21,'M1'!AN$10:AN$49))</f>
        <v/>
      </c>
      <c r="AO21" s="97">
        <f>SUMPRODUCT(MMULT('M3'!$M21:$AZ21,'M1'!AO$10:AO$49))</f>
        <v/>
      </c>
      <c r="AP21" s="97">
        <f>SUMPRODUCT(MMULT('M3'!$M21:$AZ21,'M1'!AP$10:AP$49))</f>
        <v/>
      </c>
      <c r="AQ21" s="97">
        <f>SUMPRODUCT(MMULT('M3'!$M21:$AZ21,'M1'!AQ$10:AQ$49))</f>
        <v/>
      </c>
      <c r="AR21" s="97">
        <f>SUMPRODUCT(MMULT('M3'!$M21:$AZ21,'M1'!AR$10:AR$49))</f>
        <v/>
      </c>
      <c r="AS21" s="97">
        <f>SUMPRODUCT(MMULT('M3'!$M21:$AZ21,'M1'!AS$10:AS$49))</f>
        <v/>
      </c>
      <c r="AT21" s="97">
        <f>SUMPRODUCT(MMULT('M3'!$M21:$AZ21,'M1'!AT$10:AT$49))</f>
        <v/>
      </c>
      <c r="AU21" s="97">
        <f>SUMPRODUCT(MMULT('M3'!$M21:$AZ21,'M1'!AU$10:AU$49))</f>
        <v/>
      </c>
      <c r="AV21" s="97">
        <f>SUMPRODUCT(MMULT('M3'!$M21:$AZ21,'M1'!AV$10:AV$49))</f>
        <v/>
      </c>
      <c r="AW21" s="97">
        <f>SUMPRODUCT(MMULT('M3'!$M21:$AZ21,'M1'!AW$10:AW$49))</f>
        <v/>
      </c>
      <c r="AX21" s="97">
        <f>SUMPRODUCT(MMULT('M3'!$M21:$AZ21,'M1'!AX$10:AX$49))</f>
        <v/>
      </c>
      <c r="AY21" s="97">
        <f>SUMPRODUCT(MMULT('M3'!$M21:$AZ21,'M1'!AY$10:AY$49))</f>
        <v/>
      </c>
      <c r="AZ21" s="97">
        <f>SUMPRODUCT(MMULT('M3'!$M21:$AZ21,'M1'!AZ$10:AZ$49))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SUMPRODUCT(MMULT('M3'!$M22:$AZ22,'M1'!M$10:M$49))</f>
        <v/>
      </c>
      <c r="N22" s="97">
        <f>SUMPRODUCT(MMULT('M3'!$M22:$AZ22,'M1'!N$10:N$49))</f>
        <v/>
      </c>
      <c r="O22" s="97">
        <f>SUMPRODUCT(MMULT('M3'!$M22:$AZ22,'M1'!O$10:O$49))</f>
        <v/>
      </c>
      <c r="P22" s="97">
        <f>SUMPRODUCT(MMULT('M3'!$M22:$AZ22,'M1'!P$10:P$49))</f>
        <v/>
      </c>
      <c r="Q22" s="97">
        <f>SUMPRODUCT(MMULT('M3'!$M22:$AZ22,'M1'!Q$10:Q$49))</f>
        <v/>
      </c>
      <c r="R22" s="97">
        <f>SUMPRODUCT(MMULT('M3'!$M22:$AZ22,'M1'!R$10:R$49))</f>
        <v/>
      </c>
      <c r="S22" s="97">
        <f>SUMPRODUCT(MMULT('M3'!$M22:$AZ22,'M1'!S$10:S$49))</f>
        <v/>
      </c>
      <c r="T22" s="97">
        <f>SUMPRODUCT(MMULT('M3'!$M22:$AZ22,'M1'!T$10:T$49))</f>
        <v/>
      </c>
      <c r="U22" s="97">
        <f>SUMPRODUCT(MMULT('M3'!$M22:$AZ22,'M1'!U$10:U$49))</f>
        <v/>
      </c>
      <c r="V22" s="97">
        <f>SUMPRODUCT(MMULT('M3'!$M22:$AZ22,'M1'!V$10:V$49))</f>
        <v/>
      </c>
      <c r="W22" s="97">
        <f>SUMPRODUCT(MMULT('M3'!$M22:$AZ22,'M1'!W$10:W$49))</f>
        <v/>
      </c>
      <c r="X22" s="97">
        <f>SUMPRODUCT(MMULT('M3'!$M22:$AZ22,'M1'!X$10:X$49))</f>
        <v/>
      </c>
      <c r="Y22" s="97">
        <f>SUMPRODUCT(MMULT('M3'!$M22:$AZ22,'M1'!Y$10:Y$49))</f>
        <v/>
      </c>
      <c r="Z22" s="97">
        <f>SUMPRODUCT(MMULT('M3'!$M22:$AZ22,'M1'!Z$10:Z$49))</f>
        <v/>
      </c>
      <c r="AA22" s="97">
        <f>SUMPRODUCT(MMULT('M3'!$M22:$AZ22,'M1'!AA$10:AA$49))</f>
        <v/>
      </c>
      <c r="AB22" s="97">
        <f>SUMPRODUCT(MMULT('M3'!$M22:$AZ22,'M1'!AB$10:AB$49))</f>
        <v/>
      </c>
      <c r="AC22" s="97">
        <f>SUMPRODUCT(MMULT('M3'!$M22:$AZ22,'M1'!AC$10:AC$49))</f>
        <v/>
      </c>
      <c r="AD22" s="97">
        <f>SUMPRODUCT(MMULT('M3'!$M22:$AZ22,'M1'!AD$10:AD$49))</f>
        <v/>
      </c>
      <c r="AE22" s="97">
        <f>SUMPRODUCT(MMULT('M3'!$M22:$AZ22,'M1'!AE$10:AE$49))</f>
        <v/>
      </c>
      <c r="AF22" s="97">
        <f>SUMPRODUCT(MMULT('M3'!$M22:$AZ22,'M1'!AF$10:AF$49))</f>
        <v/>
      </c>
      <c r="AG22" s="97">
        <f>SUMPRODUCT(MMULT('M3'!$M22:$AZ22,'M1'!AG$10:AG$49))</f>
        <v/>
      </c>
      <c r="AH22" s="97">
        <f>SUMPRODUCT(MMULT('M3'!$M22:$AZ22,'M1'!AH$10:AH$49))</f>
        <v/>
      </c>
      <c r="AI22" s="97">
        <f>SUMPRODUCT(MMULT('M3'!$M22:$AZ22,'M1'!AI$10:AI$49))</f>
        <v/>
      </c>
      <c r="AJ22" s="97">
        <f>SUMPRODUCT(MMULT('M3'!$M22:$AZ22,'M1'!AJ$10:AJ$49))</f>
        <v/>
      </c>
      <c r="AK22" s="97">
        <f>SUMPRODUCT(MMULT('M3'!$M22:$AZ22,'M1'!AK$10:AK$49))</f>
        <v/>
      </c>
      <c r="AL22" s="97">
        <f>SUMPRODUCT(MMULT('M3'!$M22:$AZ22,'M1'!AL$10:AL$49))</f>
        <v/>
      </c>
      <c r="AM22" s="97">
        <f>SUMPRODUCT(MMULT('M3'!$M22:$AZ22,'M1'!AM$10:AM$49))</f>
        <v/>
      </c>
      <c r="AN22" s="97">
        <f>SUMPRODUCT(MMULT('M3'!$M22:$AZ22,'M1'!AN$10:AN$49))</f>
        <v/>
      </c>
      <c r="AO22" s="97">
        <f>SUMPRODUCT(MMULT('M3'!$M22:$AZ22,'M1'!AO$10:AO$49))</f>
        <v/>
      </c>
      <c r="AP22" s="97">
        <f>SUMPRODUCT(MMULT('M3'!$M22:$AZ22,'M1'!AP$10:AP$49))</f>
        <v/>
      </c>
      <c r="AQ22" s="97">
        <f>SUMPRODUCT(MMULT('M3'!$M22:$AZ22,'M1'!AQ$10:AQ$49))</f>
        <v/>
      </c>
      <c r="AR22" s="97">
        <f>SUMPRODUCT(MMULT('M3'!$M22:$AZ22,'M1'!AR$10:AR$49))</f>
        <v/>
      </c>
      <c r="AS22" s="97">
        <f>SUMPRODUCT(MMULT('M3'!$M22:$AZ22,'M1'!AS$10:AS$49))</f>
        <v/>
      </c>
      <c r="AT22" s="97">
        <f>SUMPRODUCT(MMULT('M3'!$M22:$AZ22,'M1'!AT$10:AT$49))</f>
        <v/>
      </c>
      <c r="AU22" s="97">
        <f>SUMPRODUCT(MMULT('M3'!$M22:$AZ22,'M1'!AU$10:AU$49))</f>
        <v/>
      </c>
      <c r="AV22" s="97">
        <f>SUMPRODUCT(MMULT('M3'!$M22:$AZ22,'M1'!AV$10:AV$49))</f>
        <v/>
      </c>
      <c r="AW22" s="97">
        <f>SUMPRODUCT(MMULT('M3'!$M22:$AZ22,'M1'!AW$10:AW$49))</f>
        <v/>
      </c>
      <c r="AX22" s="97">
        <f>SUMPRODUCT(MMULT('M3'!$M22:$AZ22,'M1'!AX$10:AX$49))</f>
        <v/>
      </c>
      <c r="AY22" s="97">
        <f>SUMPRODUCT(MMULT('M3'!$M22:$AZ22,'M1'!AY$10:AY$49))</f>
        <v/>
      </c>
      <c r="AZ22" s="97">
        <f>SUMPRODUCT(MMULT('M3'!$M22:$AZ22,'M1'!AZ$10:AZ$49))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SUMPRODUCT(MMULT('M3'!$M23:$AZ23,'M1'!M$10:M$49))</f>
        <v/>
      </c>
      <c r="N23" s="97">
        <f>SUMPRODUCT(MMULT('M3'!$M23:$AZ23,'M1'!N$10:N$49))</f>
        <v/>
      </c>
      <c r="O23" s="97">
        <f>SUMPRODUCT(MMULT('M3'!$M23:$AZ23,'M1'!O$10:O$49))</f>
        <v/>
      </c>
      <c r="P23" s="97">
        <f>SUMPRODUCT(MMULT('M3'!$M23:$AZ23,'M1'!P$10:P$49))</f>
        <v/>
      </c>
      <c r="Q23" s="97">
        <f>SUMPRODUCT(MMULT('M3'!$M23:$AZ23,'M1'!Q$10:Q$49))</f>
        <v/>
      </c>
      <c r="R23" s="97">
        <f>SUMPRODUCT(MMULT('M3'!$M23:$AZ23,'M1'!R$10:R$49))</f>
        <v/>
      </c>
      <c r="S23" s="97">
        <f>SUMPRODUCT(MMULT('M3'!$M23:$AZ23,'M1'!S$10:S$49))</f>
        <v/>
      </c>
      <c r="T23" s="97">
        <f>SUMPRODUCT(MMULT('M3'!$M23:$AZ23,'M1'!T$10:T$49))</f>
        <v/>
      </c>
      <c r="U23" s="97">
        <f>SUMPRODUCT(MMULT('M3'!$M23:$AZ23,'M1'!U$10:U$49))</f>
        <v/>
      </c>
      <c r="V23" s="97">
        <f>SUMPRODUCT(MMULT('M3'!$M23:$AZ23,'M1'!V$10:V$49))</f>
        <v/>
      </c>
      <c r="W23" s="97">
        <f>SUMPRODUCT(MMULT('M3'!$M23:$AZ23,'M1'!W$10:W$49))</f>
        <v/>
      </c>
      <c r="X23" s="97">
        <f>SUMPRODUCT(MMULT('M3'!$M23:$AZ23,'M1'!X$10:X$49))</f>
        <v/>
      </c>
      <c r="Y23" s="97">
        <f>SUMPRODUCT(MMULT('M3'!$M23:$AZ23,'M1'!Y$10:Y$49))</f>
        <v/>
      </c>
      <c r="Z23" s="97">
        <f>SUMPRODUCT(MMULT('M3'!$M23:$AZ23,'M1'!Z$10:Z$49))</f>
        <v/>
      </c>
      <c r="AA23" s="97">
        <f>SUMPRODUCT(MMULT('M3'!$M23:$AZ23,'M1'!AA$10:AA$49))</f>
        <v/>
      </c>
      <c r="AB23" s="97">
        <f>SUMPRODUCT(MMULT('M3'!$M23:$AZ23,'M1'!AB$10:AB$49))</f>
        <v/>
      </c>
      <c r="AC23" s="97">
        <f>SUMPRODUCT(MMULT('M3'!$M23:$AZ23,'M1'!AC$10:AC$49))</f>
        <v/>
      </c>
      <c r="AD23" s="97">
        <f>SUMPRODUCT(MMULT('M3'!$M23:$AZ23,'M1'!AD$10:AD$49))</f>
        <v/>
      </c>
      <c r="AE23" s="97">
        <f>SUMPRODUCT(MMULT('M3'!$M23:$AZ23,'M1'!AE$10:AE$49))</f>
        <v/>
      </c>
      <c r="AF23" s="97">
        <f>SUMPRODUCT(MMULT('M3'!$M23:$AZ23,'M1'!AF$10:AF$49))</f>
        <v/>
      </c>
      <c r="AG23" s="97">
        <f>SUMPRODUCT(MMULT('M3'!$M23:$AZ23,'M1'!AG$10:AG$49))</f>
        <v/>
      </c>
      <c r="AH23" s="97">
        <f>SUMPRODUCT(MMULT('M3'!$M23:$AZ23,'M1'!AH$10:AH$49))</f>
        <v/>
      </c>
      <c r="AI23" s="97">
        <f>SUMPRODUCT(MMULT('M3'!$M23:$AZ23,'M1'!AI$10:AI$49))</f>
        <v/>
      </c>
      <c r="AJ23" s="97">
        <f>SUMPRODUCT(MMULT('M3'!$M23:$AZ23,'M1'!AJ$10:AJ$49))</f>
        <v/>
      </c>
      <c r="AK23" s="97">
        <f>SUMPRODUCT(MMULT('M3'!$M23:$AZ23,'M1'!AK$10:AK$49))</f>
        <v/>
      </c>
      <c r="AL23" s="97">
        <f>SUMPRODUCT(MMULT('M3'!$M23:$AZ23,'M1'!AL$10:AL$49))</f>
        <v/>
      </c>
      <c r="AM23" s="97">
        <f>SUMPRODUCT(MMULT('M3'!$M23:$AZ23,'M1'!AM$10:AM$49))</f>
        <v/>
      </c>
      <c r="AN23" s="97">
        <f>SUMPRODUCT(MMULT('M3'!$M23:$AZ23,'M1'!AN$10:AN$49))</f>
        <v/>
      </c>
      <c r="AO23" s="97">
        <f>SUMPRODUCT(MMULT('M3'!$M23:$AZ23,'M1'!AO$10:AO$49))</f>
        <v/>
      </c>
      <c r="AP23" s="97">
        <f>SUMPRODUCT(MMULT('M3'!$M23:$AZ23,'M1'!AP$10:AP$49))</f>
        <v/>
      </c>
      <c r="AQ23" s="97">
        <f>SUMPRODUCT(MMULT('M3'!$M23:$AZ23,'M1'!AQ$10:AQ$49))</f>
        <v/>
      </c>
      <c r="AR23" s="97">
        <f>SUMPRODUCT(MMULT('M3'!$M23:$AZ23,'M1'!AR$10:AR$49))</f>
        <v/>
      </c>
      <c r="AS23" s="97">
        <f>SUMPRODUCT(MMULT('M3'!$M23:$AZ23,'M1'!AS$10:AS$49))</f>
        <v/>
      </c>
      <c r="AT23" s="97">
        <f>SUMPRODUCT(MMULT('M3'!$M23:$AZ23,'M1'!AT$10:AT$49))</f>
        <v/>
      </c>
      <c r="AU23" s="97">
        <f>SUMPRODUCT(MMULT('M3'!$M23:$AZ23,'M1'!AU$10:AU$49))</f>
        <v/>
      </c>
      <c r="AV23" s="97">
        <f>SUMPRODUCT(MMULT('M3'!$M23:$AZ23,'M1'!AV$10:AV$49))</f>
        <v/>
      </c>
      <c r="AW23" s="97">
        <f>SUMPRODUCT(MMULT('M3'!$M23:$AZ23,'M1'!AW$10:AW$49))</f>
        <v/>
      </c>
      <c r="AX23" s="97">
        <f>SUMPRODUCT(MMULT('M3'!$M23:$AZ23,'M1'!AX$10:AX$49))</f>
        <v/>
      </c>
      <c r="AY23" s="97">
        <f>SUMPRODUCT(MMULT('M3'!$M23:$AZ23,'M1'!AY$10:AY$49))</f>
        <v/>
      </c>
      <c r="AZ23" s="97">
        <f>SUMPRODUCT(MMULT('M3'!$M23:$AZ23,'M1'!AZ$10:AZ$49))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SUMPRODUCT(MMULT('M3'!$M24:$AZ24,'M1'!M$10:M$49))</f>
        <v/>
      </c>
      <c r="N24" s="97">
        <f>SUMPRODUCT(MMULT('M3'!$M24:$AZ24,'M1'!N$10:N$49))</f>
        <v/>
      </c>
      <c r="O24" s="97">
        <f>SUMPRODUCT(MMULT('M3'!$M24:$AZ24,'M1'!O$10:O$49))</f>
        <v/>
      </c>
      <c r="P24" s="97">
        <f>SUMPRODUCT(MMULT('M3'!$M24:$AZ24,'M1'!P$10:P$49))</f>
        <v/>
      </c>
      <c r="Q24" s="97">
        <f>SUMPRODUCT(MMULT('M3'!$M24:$AZ24,'M1'!Q$10:Q$49))</f>
        <v/>
      </c>
      <c r="R24" s="97">
        <f>SUMPRODUCT(MMULT('M3'!$M24:$AZ24,'M1'!R$10:R$49))</f>
        <v/>
      </c>
      <c r="S24" s="97">
        <f>SUMPRODUCT(MMULT('M3'!$M24:$AZ24,'M1'!S$10:S$49))</f>
        <v/>
      </c>
      <c r="T24" s="97">
        <f>SUMPRODUCT(MMULT('M3'!$M24:$AZ24,'M1'!T$10:T$49))</f>
        <v/>
      </c>
      <c r="U24" s="97">
        <f>SUMPRODUCT(MMULT('M3'!$M24:$AZ24,'M1'!U$10:U$49))</f>
        <v/>
      </c>
      <c r="V24" s="97">
        <f>SUMPRODUCT(MMULT('M3'!$M24:$AZ24,'M1'!V$10:V$49))</f>
        <v/>
      </c>
      <c r="W24" s="97">
        <f>SUMPRODUCT(MMULT('M3'!$M24:$AZ24,'M1'!W$10:W$49))</f>
        <v/>
      </c>
      <c r="X24" s="97">
        <f>SUMPRODUCT(MMULT('M3'!$M24:$AZ24,'M1'!X$10:X$49))</f>
        <v/>
      </c>
      <c r="Y24" s="97">
        <f>SUMPRODUCT(MMULT('M3'!$M24:$AZ24,'M1'!Y$10:Y$49))</f>
        <v/>
      </c>
      <c r="Z24" s="97">
        <f>SUMPRODUCT(MMULT('M3'!$M24:$AZ24,'M1'!Z$10:Z$49))</f>
        <v/>
      </c>
      <c r="AA24" s="97">
        <f>SUMPRODUCT(MMULT('M3'!$M24:$AZ24,'M1'!AA$10:AA$49))</f>
        <v/>
      </c>
      <c r="AB24" s="97">
        <f>SUMPRODUCT(MMULT('M3'!$M24:$AZ24,'M1'!AB$10:AB$49))</f>
        <v/>
      </c>
      <c r="AC24" s="97">
        <f>SUMPRODUCT(MMULT('M3'!$M24:$AZ24,'M1'!AC$10:AC$49))</f>
        <v/>
      </c>
      <c r="AD24" s="97">
        <f>SUMPRODUCT(MMULT('M3'!$M24:$AZ24,'M1'!AD$10:AD$49))</f>
        <v/>
      </c>
      <c r="AE24" s="97">
        <f>SUMPRODUCT(MMULT('M3'!$M24:$AZ24,'M1'!AE$10:AE$49))</f>
        <v/>
      </c>
      <c r="AF24" s="97">
        <f>SUMPRODUCT(MMULT('M3'!$M24:$AZ24,'M1'!AF$10:AF$49))</f>
        <v/>
      </c>
      <c r="AG24" s="97">
        <f>SUMPRODUCT(MMULT('M3'!$M24:$AZ24,'M1'!AG$10:AG$49))</f>
        <v/>
      </c>
      <c r="AH24" s="97">
        <f>SUMPRODUCT(MMULT('M3'!$M24:$AZ24,'M1'!AH$10:AH$49))</f>
        <v/>
      </c>
      <c r="AI24" s="97">
        <f>SUMPRODUCT(MMULT('M3'!$M24:$AZ24,'M1'!AI$10:AI$49))</f>
        <v/>
      </c>
      <c r="AJ24" s="97">
        <f>SUMPRODUCT(MMULT('M3'!$M24:$AZ24,'M1'!AJ$10:AJ$49))</f>
        <v/>
      </c>
      <c r="AK24" s="97">
        <f>SUMPRODUCT(MMULT('M3'!$M24:$AZ24,'M1'!AK$10:AK$49))</f>
        <v/>
      </c>
      <c r="AL24" s="97">
        <f>SUMPRODUCT(MMULT('M3'!$M24:$AZ24,'M1'!AL$10:AL$49))</f>
        <v/>
      </c>
      <c r="AM24" s="97">
        <f>SUMPRODUCT(MMULT('M3'!$M24:$AZ24,'M1'!AM$10:AM$49))</f>
        <v/>
      </c>
      <c r="AN24" s="97">
        <f>SUMPRODUCT(MMULT('M3'!$M24:$AZ24,'M1'!AN$10:AN$49))</f>
        <v/>
      </c>
      <c r="AO24" s="97">
        <f>SUMPRODUCT(MMULT('M3'!$M24:$AZ24,'M1'!AO$10:AO$49))</f>
        <v/>
      </c>
      <c r="AP24" s="97">
        <f>SUMPRODUCT(MMULT('M3'!$M24:$AZ24,'M1'!AP$10:AP$49))</f>
        <v/>
      </c>
      <c r="AQ24" s="97">
        <f>SUMPRODUCT(MMULT('M3'!$M24:$AZ24,'M1'!AQ$10:AQ$49))</f>
        <v/>
      </c>
      <c r="AR24" s="97">
        <f>SUMPRODUCT(MMULT('M3'!$M24:$AZ24,'M1'!AR$10:AR$49))</f>
        <v/>
      </c>
      <c r="AS24" s="97">
        <f>SUMPRODUCT(MMULT('M3'!$M24:$AZ24,'M1'!AS$10:AS$49))</f>
        <v/>
      </c>
      <c r="AT24" s="97">
        <f>SUMPRODUCT(MMULT('M3'!$M24:$AZ24,'M1'!AT$10:AT$49))</f>
        <v/>
      </c>
      <c r="AU24" s="97">
        <f>SUMPRODUCT(MMULT('M3'!$M24:$AZ24,'M1'!AU$10:AU$49))</f>
        <v/>
      </c>
      <c r="AV24" s="97">
        <f>SUMPRODUCT(MMULT('M3'!$M24:$AZ24,'M1'!AV$10:AV$49))</f>
        <v/>
      </c>
      <c r="AW24" s="97">
        <f>SUMPRODUCT(MMULT('M3'!$M24:$AZ24,'M1'!AW$10:AW$49))</f>
        <v/>
      </c>
      <c r="AX24" s="97">
        <f>SUMPRODUCT(MMULT('M3'!$M24:$AZ24,'M1'!AX$10:AX$49))</f>
        <v/>
      </c>
      <c r="AY24" s="97">
        <f>SUMPRODUCT(MMULT('M3'!$M24:$AZ24,'M1'!AY$10:AY$49))</f>
        <v/>
      </c>
      <c r="AZ24" s="97">
        <f>SUMPRODUCT(MMULT('M3'!$M24:$AZ24,'M1'!AZ$10:AZ$49))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SUMPRODUCT(MMULT('M3'!$M25:$AZ25,'M1'!M$10:M$49))</f>
        <v/>
      </c>
      <c r="N25" s="97">
        <f>SUMPRODUCT(MMULT('M3'!$M25:$AZ25,'M1'!N$10:N$49))</f>
        <v/>
      </c>
      <c r="O25" s="97">
        <f>SUMPRODUCT(MMULT('M3'!$M25:$AZ25,'M1'!O$10:O$49))</f>
        <v/>
      </c>
      <c r="P25" s="97">
        <f>SUMPRODUCT(MMULT('M3'!$M25:$AZ25,'M1'!P$10:P$49))</f>
        <v/>
      </c>
      <c r="Q25" s="97">
        <f>SUMPRODUCT(MMULT('M3'!$M25:$AZ25,'M1'!Q$10:Q$49))</f>
        <v/>
      </c>
      <c r="R25" s="97">
        <f>SUMPRODUCT(MMULT('M3'!$M25:$AZ25,'M1'!R$10:R$49))</f>
        <v/>
      </c>
      <c r="S25" s="97">
        <f>SUMPRODUCT(MMULT('M3'!$M25:$AZ25,'M1'!S$10:S$49))</f>
        <v/>
      </c>
      <c r="T25" s="97">
        <f>SUMPRODUCT(MMULT('M3'!$M25:$AZ25,'M1'!T$10:T$49))</f>
        <v/>
      </c>
      <c r="U25" s="97">
        <f>SUMPRODUCT(MMULT('M3'!$M25:$AZ25,'M1'!U$10:U$49))</f>
        <v/>
      </c>
      <c r="V25" s="97">
        <f>SUMPRODUCT(MMULT('M3'!$M25:$AZ25,'M1'!V$10:V$49))</f>
        <v/>
      </c>
      <c r="W25" s="97">
        <f>SUMPRODUCT(MMULT('M3'!$M25:$AZ25,'M1'!W$10:W$49))</f>
        <v/>
      </c>
      <c r="X25" s="97">
        <f>SUMPRODUCT(MMULT('M3'!$M25:$AZ25,'M1'!X$10:X$49))</f>
        <v/>
      </c>
      <c r="Y25" s="97">
        <f>SUMPRODUCT(MMULT('M3'!$M25:$AZ25,'M1'!Y$10:Y$49))</f>
        <v/>
      </c>
      <c r="Z25" s="97">
        <f>SUMPRODUCT(MMULT('M3'!$M25:$AZ25,'M1'!Z$10:Z$49))</f>
        <v/>
      </c>
      <c r="AA25" s="97">
        <f>SUMPRODUCT(MMULT('M3'!$M25:$AZ25,'M1'!AA$10:AA$49))</f>
        <v/>
      </c>
      <c r="AB25" s="97">
        <f>SUMPRODUCT(MMULT('M3'!$M25:$AZ25,'M1'!AB$10:AB$49))</f>
        <v/>
      </c>
      <c r="AC25" s="97">
        <f>SUMPRODUCT(MMULT('M3'!$M25:$AZ25,'M1'!AC$10:AC$49))</f>
        <v/>
      </c>
      <c r="AD25" s="97">
        <f>SUMPRODUCT(MMULT('M3'!$M25:$AZ25,'M1'!AD$10:AD$49))</f>
        <v/>
      </c>
      <c r="AE25" s="97">
        <f>SUMPRODUCT(MMULT('M3'!$M25:$AZ25,'M1'!AE$10:AE$49))</f>
        <v/>
      </c>
      <c r="AF25" s="97">
        <f>SUMPRODUCT(MMULT('M3'!$M25:$AZ25,'M1'!AF$10:AF$49))</f>
        <v/>
      </c>
      <c r="AG25" s="97">
        <f>SUMPRODUCT(MMULT('M3'!$M25:$AZ25,'M1'!AG$10:AG$49))</f>
        <v/>
      </c>
      <c r="AH25" s="97">
        <f>SUMPRODUCT(MMULT('M3'!$M25:$AZ25,'M1'!AH$10:AH$49))</f>
        <v/>
      </c>
      <c r="AI25" s="97">
        <f>SUMPRODUCT(MMULT('M3'!$M25:$AZ25,'M1'!AI$10:AI$49))</f>
        <v/>
      </c>
      <c r="AJ25" s="97">
        <f>SUMPRODUCT(MMULT('M3'!$M25:$AZ25,'M1'!AJ$10:AJ$49))</f>
        <v/>
      </c>
      <c r="AK25" s="97">
        <f>SUMPRODUCT(MMULT('M3'!$M25:$AZ25,'M1'!AK$10:AK$49))</f>
        <v/>
      </c>
      <c r="AL25" s="97">
        <f>SUMPRODUCT(MMULT('M3'!$M25:$AZ25,'M1'!AL$10:AL$49))</f>
        <v/>
      </c>
      <c r="AM25" s="97">
        <f>SUMPRODUCT(MMULT('M3'!$M25:$AZ25,'M1'!AM$10:AM$49))</f>
        <v/>
      </c>
      <c r="AN25" s="97">
        <f>SUMPRODUCT(MMULT('M3'!$M25:$AZ25,'M1'!AN$10:AN$49))</f>
        <v/>
      </c>
      <c r="AO25" s="97">
        <f>SUMPRODUCT(MMULT('M3'!$M25:$AZ25,'M1'!AO$10:AO$49))</f>
        <v/>
      </c>
      <c r="AP25" s="97">
        <f>SUMPRODUCT(MMULT('M3'!$M25:$AZ25,'M1'!AP$10:AP$49))</f>
        <v/>
      </c>
      <c r="AQ25" s="97">
        <f>SUMPRODUCT(MMULT('M3'!$M25:$AZ25,'M1'!AQ$10:AQ$49))</f>
        <v/>
      </c>
      <c r="AR25" s="97">
        <f>SUMPRODUCT(MMULT('M3'!$M25:$AZ25,'M1'!AR$10:AR$49))</f>
        <v/>
      </c>
      <c r="AS25" s="97">
        <f>SUMPRODUCT(MMULT('M3'!$M25:$AZ25,'M1'!AS$10:AS$49))</f>
        <v/>
      </c>
      <c r="AT25" s="97">
        <f>SUMPRODUCT(MMULT('M3'!$M25:$AZ25,'M1'!AT$10:AT$49))</f>
        <v/>
      </c>
      <c r="AU25" s="97">
        <f>SUMPRODUCT(MMULT('M3'!$M25:$AZ25,'M1'!AU$10:AU$49))</f>
        <v/>
      </c>
      <c r="AV25" s="97">
        <f>SUMPRODUCT(MMULT('M3'!$M25:$AZ25,'M1'!AV$10:AV$49))</f>
        <v/>
      </c>
      <c r="AW25" s="97">
        <f>SUMPRODUCT(MMULT('M3'!$M25:$AZ25,'M1'!AW$10:AW$49))</f>
        <v/>
      </c>
      <c r="AX25" s="97">
        <f>SUMPRODUCT(MMULT('M3'!$M25:$AZ25,'M1'!AX$10:AX$49))</f>
        <v/>
      </c>
      <c r="AY25" s="97">
        <f>SUMPRODUCT(MMULT('M3'!$M25:$AZ25,'M1'!AY$10:AY$49))</f>
        <v/>
      </c>
      <c r="AZ25" s="97">
        <f>SUMPRODUCT(MMULT('M3'!$M25:$AZ25,'M1'!AZ$10:AZ$49))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SUMPRODUCT(MMULT('M3'!$M26:$AZ26,'M1'!M$10:M$49))</f>
        <v/>
      </c>
      <c r="N26" s="97">
        <f>SUMPRODUCT(MMULT('M3'!$M26:$AZ26,'M1'!N$10:N$49))</f>
        <v/>
      </c>
      <c r="O26" s="97">
        <f>SUMPRODUCT(MMULT('M3'!$M26:$AZ26,'M1'!O$10:O$49))</f>
        <v/>
      </c>
      <c r="P26" s="97">
        <f>SUMPRODUCT(MMULT('M3'!$M26:$AZ26,'M1'!P$10:P$49))</f>
        <v/>
      </c>
      <c r="Q26" s="97">
        <f>SUMPRODUCT(MMULT('M3'!$M26:$AZ26,'M1'!Q$10:Q$49))</f>
        <v/>
      </c>
      <c r="R26" s="97">
        <f>SUMPRODUCT(MMULT('M3'!$M26:$AZ26,'M1'!R$10:R$49))</f>
        <v/>
      </c>
      <c r="S26" s="97">
        <f>SUMPRODUCT(MMULT('M3'!$M26:$AZ26,'M1'!S$10:S$49))</f>
        <v/>
      </c>
      <c r="T26" s="97">
        <f>SUMPRODUCT(MMULT('M3'!$M26:$AZ26,'M1'!T$10:T$49))</f>
        <v/>
      </c>
      <c r="U26" s="97">
        <f>SUMPRODUCT(MMULT('M3'!$M26:$AZ26,'M1'!U$10:U$49))</f>
        <v/>
      </c>
      <c r="V26" s="97">
        <f>SUMPRODUCT(MMULT('M3'!$M26:$AZ26,'M1'!V$10:V$49))</f>
        <v/>
      </c>
      <c r="W26" s="97">
        <f>SUMPRODUCT(MMULT('M3'!$M26:$AZ26,'M1'!W$10:W$49))</f>
        <v/>
      </c>
      <c r="X26" s="97">
        <f>SUMPRODUCT(MMULT('M3'!$M26:$AZ26,'M1'!X$10:X$49))</f>
        <v/>
      </c>
      <c r="Y26" s="97">
        <f>SUMPRODUCT(MMULT('M3'!$M26:$AZ26,'M1'!Y$10:Y$49))</f>
        <v/>
      </c>
      <c r="Z26" s="97">
        <f>SUMPRODUCT(MMULT('M3'!$M26:$AZ26,'M1'!Z$10:Z$49))</f>
        <v/>
      </c>
      <c r="AA26" s="97">
        <f>SUMPRODUCT(MMULT('M3'!$M26:$AZ26,'M1'!AA$10:AA$49))</f>
        <v/>
      </c>
      <c r="AB26" s="97">
        <f>SUMPRODUCT(MMULT('M3'!$M26:$AZ26,'M1'!AB$10:AB$49))</f>
        <v/>
      </c>
      <c r="AC26" s="97">
        <f>SUMPRODUCT(MMULT('M3'!$M26:$AZ26,'M1'!AC$10:AC$49))</f>
        <v/>
      </c>
      <c r="AD26" s="97">
        <f>SUMPRODUCT(MMULT('M3'!$M26:$AZ26,'M1'!AD$10:AD$49))</f>
        <v/>
      </c>
      <c r="AE26" s="97">
        <f>SUMPRODUCT(MMULT('M3'!$M26:$AZ26,'M1'!AE$10:AE$49))</f>
        <v/>
      </c>
      <c r="AF26" s="97">
        <f>SUMPRODUCT(MMULT('M3'!$M26:$AZ26,'M1'!AF$10:AF$49))</f>
        <v/>
      </c>
      <c r="AG26" s="97">
        <f>SUMPRODUCT(MMULT('M3'!$M26:$AZ26,'M1'!AG$10:AG$49))</f>
        <v/>
      </c>
      <c r="AH26" s="97">
        <f>SUMPRODUCT(MMULT('M3'!$M26:$AZ26,'M1'!AH$10:AH$49))</f>
        <v/>
      </c>
      <c r="AI26" s="97">
        <f>SUMPRODUCT(MMULT('M3'!$M26:$AZ26,'M1'!AI$10:AI$49))</f>
        <v/>
      </c>
      <c r="AJ26" s="97">
        <f>SUMPRODUCT(MMULT('M3'!$M26:$AZ26,'M1'!AJ$10:AJ$49))</f>
        <v/>
      </c>
      <c r="AK26" s="97">
        <f>SUMPRODUCT(MMULT('M3'!$M26:$AZ26,'M1'!AK$10:AK$49))</f>
        <v/>
      </c>
      <c r="AL26" s="97">
        <f>SUMPRODUCT(MMULT('M3'!$M26:$AZ26,'M1'!AL$10:AL$49))</f>
        <v/>
      </c>
      <c r="AM26" s="97">
        <f>SUMPRODUCT(MMULT('M3'!$M26:$AZ26,'M1'!AM$10:AM$49))</f>
        <v/>
      </c>
      <c r="AN26" s="97">
        <f>SUMPRODUCT(MMULT('M3'!$M26:$AZ26,'M1'!AN$10:AN$49))</f>
        <v/>
      </c>
      <c r="AO26" s="97">
        <f>SUMPRODUCT(MMULT('M3'!$M26:$AZ26,'M1'!AO$10:AO$49))</f>
        <v/>
      </c>
      <c r="AP26" s="97">
        <f>SUMPRODUCT(MMULT('M3'!$M26:$AZ26,'M1'!AP$10:AP$49))</f>
        <v/>
      </c>
      <c r="AQ26" s="97">
        <f>SUMPRODUCT(MMULT('M3'!$M26:$AZ26,'M1'!AQ$10:AQ$49))</f>
        <v/>
      </c>
      <c r="AR26" s="97">
        <f>SUMPRODUCT(MMULT('M3'!$M26:$AZ26,'M1'!AR$10:AR$49))</f>
        <v/>
      </c>
      <c r="AS26" s="97">
        <f>SUMPRODUCT(MMULT('M3'!$M26:$AZ26,'M1'!AS$10:AS$49))</f>
        <v/>
      </c>
      <c r="AT26" s="97">
        <f>SUMPRODUCT(MMULT('M3'!$M26:$AZ26,'M1'!AT$10:AT$49))</f>
        <v/>
      </c>
      <c r="AU26" s="97">
        <f>SUMPRODUCT(MMULT('M3'!$M26:$AZ26,'M1'!AU$10:AU$49))</f>
        <v/>
      </c>
      <c r="AV26" s="97">
        <f>SUMPRODUCT(MMULT('M3'!$M26:$AZ26,'M1'!AV$10:AV$49))</f>
        <v/>
      </c>
      <c r="AW26" s="97">
        <f>SUMPRODUCT(MMULT('M3'!$M26:$AZ26,'M1'!AW$10:AW$49))</f>
        <v/>
      </c>
      <c r="AX26" s="97">
        <f>SUMPRODUCT(MMULT('M3'!$M26:$AZ26,'M1'!AX$10:AX$49))</f>
        <v/>
      </c>
      <c r="AY26" s="97">
        <f>SUMPRODUCT(MMULT('M3'!$M26:$AZ26,'M1'!AY$10:AY$49))</f>
        <v/>
      </c>
      <c r="AZ26" s="97">
        <f>SUMPRODUCT(MMULT('M3'!$M26:$AZ26,'M1'!AZ$10:AZ$49))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SUMPRODUCT(MMULT('M3'!$M27:$AZ27,'M1'!M$10:M$49))</f>
        <v/>
      </c>
      <c r="N27" s="97">
        <f>SUMPRODUCT(MMULT('M3'!$M27:$AZ27,'M1'!N$10:N$49))</f>
        <v/>
      </c>
      <c r="O27" s="97">
        <f>SUMPRODUCT(MMULT('M3'!$M27:$AZ27,'M1'!O$10:O$49))</f>
        <v/>
      </c>
      <c r="P27" s="97">
        <f>SUMPRODUCT(MMULT('M3'!$M27:$AZ27,'M1'!P$10:P$49))</f>
        <v/>
      </c>
      <c r="Q27" s="97">
        <f>SUMPRODUCT(MMULT('M3'!$M27:$AZ27,'M1'!Q$10:Q$49))</f>
        <v/>
      </c>
      <c r="R27" s="97">
        <f>SUMPRODUCT(MMULT('M3'!$M27:$AZ27,'M1'!R$10:R$49))</f>
        <v/>
      </c>
      <c r="S27" s="97">
        <f>SUMPRODUCT(MMULT('M3'!$M27:$AZ27,'M1'!S$10:S$49))</f>
        <v/>
      </c>
      <c r="T27" s="97">
        <f>SUMPRODUCT(MMULT('M3'!$M27:$AZ27,'M1'!T$10:T$49))</f>
        <v/>
      </c>
      <c r="U27" s="97">
        <f>SUMPRODUCT(MMULT('M3'!$M27:$AZ27,'M1'!U$10:U$49))</f>
        <v/>
      </c>
      <c r="V27" s="97">
        <f>SUMPRODUCT(MMULT('M3'!$M27:$AZ27,'M1'!V$10:V$49))</f>
        <v/>
      </c>
      <c r="W27" s="97">
        <f>SUMPRODUCT(MMULT('M3'!$M27:$AZ27,'M1'!W$10:W$49))</f>
        <v/>
      </c>
      <c r="X27" s="97">
        <f>SUMPRODUCT(MMULT('M3'!$M27:$AZ27,'M1'!X$10:X$49))</f>
        <v/>
      </c>
      <c r="Y27" s="97">
        <f>SUMPRODUCT(MMULT('M3'!$M27:$AZ27,'M1'!Y$10:Y$49))</f>
        <v/>
      </c>
      <c r="Z27" s="97">
        <f>SUMPRODUCT(MMULT('M3'!$M27:$AZ27,'M1'!Z$10:Z$49))</f>
        <v/>
      </c>
      <c r="AA27" s="97">
        <f>SUMPRODUCT(MMULT('M3'!$M27:$AZ27,'M1'!AA$10:AA$49))</f>
        <v/>
      </c>
      <c r="AB27" s="97">
        <f>SUMPRODUCT(MMULT('M3'!$M27:$AZ27,'M1'!AB$10:AB$49))</f>
        <v/>
      </c>
      <c r="AC27" s="97">
        <f>SUMPRODUCT(MMULT('M3'!$M27:$AZ27,'M1'!AC$10:AC$49))</f>
        <v/>
      </c>
      <c r="AD27" s="97">
        <f>SUMPRODUCT(MMULT('M3'!$M27:$AZ27,'M1'!AD$10:AD$49))</f>
        <v/>
      </c>
      <c r="AE27" s="97">
        <f>SUMPRODUCT(MMULT('M3'!$M27:$AZ27,'M1'!AE$10:AE$49))</f>
        <v/>
      </c>
      <c r="AF27" s="97">
        <f>SUMPRODUCT(MMULT('M3'!$M27:$AZ27,'M1'!AF$10:AF$49))</f>
        <v/>
      </c>
      <c r="AG27" s="97">
        <f>SUMPRODUCT(MMULT('M3'!$M27:$AZ27,'M1'!AG$10:AG$49))</f>
        <v/>
      </c>
      <c r="AH27" s="97">
        <f>SUMPRODUCT(MMULT('M3'!$M27:$AZ27,'M1'!AH$10:AH$49))</f>
        <v/>
      </c>
      <c r="AI27" s="97">
        <f>SUMPRODUCT(MMULT('M3'!$M27:$AZ27,'M1'!AI$10:AI$49))</f>
        <v/>
      </c>
      <c r="AJ27" s="97">
        <f>SUMPRODUCT(MMULT('M3'!$M27:$AZ27,'M1'!AJ$10:AJ$49))</f>
        <v/>
      </c>
      <c r="AK27" s="97">
        <f>SUMPRODUCT(MMULT('M3'!$M27:$AZ27,'M1'!AK$10:AK$49))</f>
        <v/>
      </c>
      <c r="AL27" s="97">
        <f>SUMPRODUCT(MMULT('M3'!$M27:$AZ27,'M1'!AL$10:AL$49))</f>
        <v/>
      </c>
      <c r="AM27" s="97">
        <f>SUMPRODUCT(MMULT('M3'!$M27:$AZ27,'M1'!AM$10:AM$49))</f>
        <v/>
      </c>
      <c r="AN27" s="97">
        <f>SUMPRODUCT(MMULT('M3'!$M27:$AZ27,'M1'!AN$10:AN$49))</f>
        <v/>
      </c>
      <c r="AO27" s="97">
        <f>SUMPRODUCT(MMULT('M3'!$M27:$AZ27,'M1'!AO$10:AO$49))</f>
        <v/>
      </c>
      <c r="AP27" s="97">
        <f>SUMPRODUCT(MMULT('M3'!$M27:$AZ27,'M1'!AP$10:AP$49))</f>
        <v/>
      </c>
      <c r="AQ27" s="97">
        <f>SUMPRODUCT(MMULT('M3'!$M27:$AZ27,'M1'!AQ$10:AQ$49))</f>
        <v/>
      </c>
      <c r="AR27" s="97">
        <f>SUMPRODUCT(MMULT('M3'!$M27:$AZ27,'M1'!AR$10:AR$49))</f>
        <v/>
      </c>
      <c r="AS27" s="97">
        <f>SUMPRODUCT(MMULT('M3'!$M27:$AZ27,'M1'!AS$10:AS$49))</f>
        <v/>
      </c>
      <c r="AT27" s="97">
        <f>SUMPRODUCT(MMULT('M3'!$M27:$AZ27,'M1'!AT$10:AT$49))</f>
        <v/>
      </c>
      <c r="AU27" s="97">
        <f>SUMPRODUCT(MMULT('M3'!$M27:$AZ27,'M1'!AU$10:AU$49))</f>
        <v/>
      </c>
      <c r="AV27" s="97">
        <f>SUMPRODUCT(MMULT('M3'!$M27:$AZ27,'M1'!AV$10:AV$49))</f>
        <v/>
      </c>
      <c r="AW27" s="97">
        <f>SUMPRODUCT(MMULT('M3'!$M27:$AZ27,'M1'!AW$10:AW$49))</f>
        <v/>
      </c>
      <c r="AX27" s="97">
        <f>SUMPRODUCT(MMULT('M3'!$M27:$AZ27,'M1'!AX$10:AX$49))</f>
        <v/>
      </c>
      <c r="AY27" s="97">
        <f>SUMPRODUCT(MMULT('M3'!$M27:$AZ27,'M1'!AY$10:AY$49))</f>
        <v/>
      </c>
      <c r="AZ27" s="97">
        <f>SUMPRODUCT(MMULT('M3'!$M27:$AZ27,'M1'!AZ$10:AZ$49))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SUMPRODUCT(MMULT('M3'!$M28:$AZ28,'M1'!M$10:M$49))</f>
        <v/>
      </c>
      <c r="N28" s="97">
        <f>SUMPRODUCT(MMULT('M3'!$M28:$AZ28,'M1'!N$10:N$49))</f>
        <v/>
      </c>
      <c r="O28" s="97">
        <f>SUMPRODUCT(MMULT('M3'!$M28:$AZ28,'M1'!O$10:O$49))</f>
        <v/>
      </c>
      <c r="P28" s="97">
        <f>SUMPRODUCT(MMULT('M3'!$M28:$AZ28,'M1'!P$10:P$49))</f>
        <v/>
      </c>
      <c r="Q28" s="97">
        <f>SUMPRODUCT(MMULT('M3'!$M28:$AZ28,'M1'!Q$10:Q$49))</f>
        <v/>
      </c>
      <c r="R28" s="97">
        <f>SUMPRODUCT(MMULT('M3'!$M28:$AZ28,'M1'!R$10:R$49))</f>
        <v/>
      </c>
      <c r="S28" s="97">
        <f>SUMPRODUCT(MMULT('M3'!$M28:$AZ28,'M1'!S$10:S$49))</f>
        <v/>
      </c>
      <c r="T28" s="97">
        <f>SUMPRODUCT(MMULT('M3'!$M28:$AZ28,'M1'!T$10:T$49))</f>
        <v/>
      </c>
      <c r="U28" s="97">
        <f>SUMPRODUCT(MMULT('M3'!$M28:$AZ28,'M1'!U$10:U$49))</f>
        <v/>
      </c>
      <c r="V28" s="97">
        <f>SUMPRODUCT(MMULT('M3'!$M28:$AZ28,'M1'!V$10:V$49))</f>
        <v/>
      </c>
      <c r="W28" s="97">
        <f>SUMPRODUCT(MMULT('M3'!$M28:$AZ28,'M1'!W$10:W$49))</f>
        <v/>
      </c>
      <c r="X28" s="97">
        <f>SUMPRODUCT(MMULT('M3'!$M28:$AZ28,'M1'!X$10:X$49))</f>
        <v/>
      </c>
      <c r="Y28" s="97">
        <f>SUMPRODUCT(MMULT('M3'!$M28:$AZ28,'M1'!Y$10:Y$49))</f>
        <v/>
      </c>
      <c r="Z28" s="97">
        <f>SUMPRODUCT(MMULT('M3'!$M28:$AZ28,'M1'!Z$10:Z$49))</f>
        <v/>
      </c>
      <c r="AA28" s="97">
        <f>SUMPRODUCT(MMULT('M3'!$M28:$AZ28,'M1'!AA$10:AA$49))</f>
        <v/>
      </c>
      <c r="AB28" s="97">
        <f>SUMPRODUCT(MMULT('M3'!$M28:$AZ28,'M1'!AB$10:AB$49))</f>
        <v/>
      </c>
      <c r="AC28" s="97">
        <f>SUMPRODUCT(MMULT('M3'!$M28:$AZ28,'M1'!AC$10:AC$49))</f>
        <v/>
      </c>
      <c r="AD28" s="97">
        <f>SUMPRODUCT(MMULT('M3'!$M28:$AZ28,'M1'!AD$10:AD$49))</f>
        <v/>
      </c>
      <c r="AE28" s="97">
        <f>SUMPRODUCT(MMULT('M3'!$M28:$AZ28,'M1'!AE$10:AE$49))</f>
        <v/>
      </c>
      <c r="AF28" s="97">
        <f>SUMPRODUCT(MMULT('M3'!$M28:$AZ28,'M1'!AF$10:AF$49))</f>
        <v/>
      </c>
      <c r="AG28" s="97">
        <f>SUMPRODUCT(MMULT('M3'!$M28:$AZ28,'M1'!AG$10:AG$49))</f>
        <v/>
      </c>
      <c r="AH28" s="97">
        <f>SUMPRODUCT(MMULT('M3'!$M28:$AZ28,'M1'!AH$10:AH$49))</f>
        <v/>
      </c>
      <c r="AI28" s="97">
        <f>SUMPRODUCT(MMULT('M3'!$M28:$AZ28,'M1'!AI$10:AI$49))</f>
        <v/>
      </c>
      <c r="AJ28" s="97">
        <f>SUMPRODUCT(MMULT('M3'!$M28:$AZ28,'M1'!AJ$10:AJ$49))</f>
        <v/>
      </c>
      <c r="AK28" s="97">
        <f>SUMPRODUCT(MMULT('M3'!$M28:$AZ28,'M1'!AK$10:AK$49))</f>
        <v/>
      </c>
      <c r="AL28" s="97">
        <f>SUMPRODUCT(MMULT('M3'!$M28:$AZ28,'M1'!AL$10:AL$49))</f>
        <v/>
      </c>
      <c r="AM28" s="97">
        <f>SUMPRODUCT(MMULT('M3'!$M28:$AZ28,'M1'!AM$10:AM$49))</f>
        <v/>
      </c>
      <c r="AN28" s="97">
        <f>SUMPRODUCT(MMULT('M3'!$M28:$AZ28,'M1'!AN$10:AN$49))</f>
        <v/>
      </c>
      <c r="AO28" s="97">
        <f>SUMPRODUCT(MMULT('M3'!$M28:$AZ28,'M1'!AO$10:AO$49))</f>
        <v/>
      </c>
      <c r="AP28" s="97">
        <f>SUMPRODUCT(MMULT('M3'!$M28:$AZ28,'M1'!AP$10:AP$49))</f>
        <v/>
      </c>
      <c r="AQ28" s="97">
        <f>SUMPRODUCT(MMULT('M3'!$M28:$AZ28,'M1'!AQ$10:AQ$49))</f>
        <v/>
      </c>
      <c r="AR28" s="97">
        <f>SUMPRODUCT(MMULT('M3'!$M28:$AZ28,'M1'!AR$10:AR$49))</f>
        <v/>
      </c>
      <c r="AS28" s="97">
        <f>SUMPRODUCT(MMULT('M3'!$M28:$AZ28,'M1'!AS$10:AS$49))</f>
        <v/>
      </c>
      <c r="AT28" s="97">
        <f>SUMPRODUCT(MMULT('M3'!$M28:$AZ28,'M1'!AT$10:AT$49))</f>
        <v/>
      </c>
      <c r="AU28" s="97">
        <f>SUMPRODUCT(MMULT('M3'!$M28:$AZ28,'M1'!AU$10:AU$49))</f>
        <v/>
      </c>
      <c r="AV28" s="97">
        <f>SUMPRODUCT(MMULT('M3'!$M28:$AZ28,'M1'!AV$10:AV$49))</f>
        <v/>
      </c>
      <c r="AW28" s="97">
        <f>SUMPRODUCT(MMULT('M3'!$M28:$AZ28,'M1'!AW$10:AW$49))</f>
        <v/>
      </c>
      <c r="AX28" s="97">
        <f>SUMPRODUCT(MMULT('M3'!$M28:$AZ28,'M1'!AX$10:AX$49))</f>
        <v/>
      </c>
      <c r="AY28" s="97">
        <f>SUMPRODUCT(MMULT('M3'!$M28:$AZ28,'M1'!AY$10:AY$49))</f>
        <v/>
      </c>
      <c r="AZ28" s="97">
        <f>SUMPRODUCT(MMULT('M3'!$M28:$AZ28,'M1'!AZ$10:AZ$49))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SUMPRODUCT(MMULT('M3'!$M29:$AZ29,'M1'!M$10:M$49))</f>
        <v/>
      </c>
      <c r="N29" s="97">
        <f>SUMPRODUCT(MMULT('M3'!$M29:$AZ29,'M1'!N$10:N$49))</f>
        <v/>
      </c>
      <c r="O29" s="97">
        <f>SUMPRODUCT(MMULT('M3'!$M29:$AZ29,'M1'!O$10:O$49))</f>
        <v/>
      </c>
      <c r="P29" s="97">
        <f>SUMPRODUCT(MMULT('M3'!$M29:$AZ29,'M1'!P$10:P$49))</f>
        <v/>
      </c>
      <c r="Q29" s="97">
        <f>SUMPRODUCT(MMULT('M3'!$M29:$AZ29,'M1'!Q$10:Q$49))</f>
        <v/>
      </c>
      <c r="R29" s="97">
        <f>SUMPRODUCT(MMULT('M3'!$M29:$AZ29,'M1'!R$10:R$49))</f>
        <v/>
      </c>
      <c r="S29" s="97">
        <f>SUMPRODUCT(MMULT('M3'!$M29:$AZ29,'M1'!S$10:S$49))</f>
        <v/>
      </c>
      <c r="T29" s="97">
        <f>SUMPRODUCT(MMULT('M3'!$M29:$AZ29,'M1'!T$10:T$49))</f>
        <v/>
      </c>
      <c r="U29" s="97">
        <f>SUMPRODUCT(MMULT('M3'!$M29:$AZ29,'M1'!U$10:U$49))</f>
        <v/>
      </c>
      <c r="V29" s="97">
        <f>SUMPRODUCT(MMULT('M3'!$M29:$AZ29,'M1'!V$10:V$49))</f>
        <v/>
      </c>
      <c r="W29" s="97">
        <f>SUMPRODUCT(MMULT('M3'!$M29:$AZ29,'M1'!W$10:W$49))</f>
        <v/>
      </c>
      <c r="X29" s="97">
        <f>SUMPRODUCT(MMULT('M3'!$M29:$AZ29,'M1'!X$10:X$49))</f>
        <v/>
      </c>
      <c r="Y29" s="97">
        <f>SUMPRODUCT(MMULT('M3'!$M29:$AZ29,'M1'!Y$10:Y$49))</f>
        <v/>
      </c>
      <c r="Z29" s="97">
        <f>SUMPRODUCT(MMULT('M3'!$M29:$AZ29,'M1'!Z$10:Z$49))</f>
        <v/>
      </c>
      <c r="AA29" s="97">
        <f>SUMPRODUCT(MMULT('M3'!$M29:$AZ29,'M1'!AA$10:AA$49))</f>
        <v/>
      </c>
      <c r="AB29" s="97">
        <f>SUMPRODUCT(MMULT('M3'!$M29:$AZ29,'M1'!AB$10:AB$49))</f>
        <v/>
      </c>
      <c r="AC29" s="97">
        <f>SUMPRODUCT(MMULT('M3'!$M29:$AZ29,'M1'!AC$10:AC$49))</f>
        <v/>
      </c>
      <c r="AD29" s="97">
        <f>SUMPRODUCT(MMULT('M3'!$M29:$AZ29,'M1'!AD$10:AD$49))</f>
        <v/>
      </c>
      <c r="AE29" s="97">
        <f>SUMPRODUCT(MMULT('M3'!$M29:$AZ29,'M1'!AE$10:AE$49))</f>
        <v/>
      </c>
      <c r="AF29" s="97">
        <f>SUMPRODUCT(MMULT('M3'!$M29:$AZ29,'M1'!AF$10:AF$49))</f>
        <v/>
      </c>
      <c r="AG29" s="97">
        <f>SUMPRODUCT(MMULT('M3'!$M29:$AZ29,'M1'!AG$10:AG$49))</f>
        <v/>
      </c>
      <c r="AH29" s="97">
        <f>SUMPRODUCT(MMULT('M3'!$M29:$AZ29,'M1'!AH$10:AH$49))</f>
        <v/>
      </c>
      <c r="AI29" s="97">
        <f>SUMPRODUCT(MMULT('M3'!$M29:$AZ29,'M1'!AI$10:AI$49))</f>
        <v/>
      </c>
      <c r="AJ29" s="97">
        <f>SUMPRODUCT(MMULT('M3'!$M29:$AZ29,'M1'!AJ$10:AJ$49))</f>
        <v/>
      </c>
      <c r="AK29" s="97">
        <f>SUMPRODUCT(MMULT('M3'!$M29:$AZ29,'M1'!AK$10:AK$49))</f>
        <v/>
      </c>
      <c r="AL29" s="97">
        <f>SUMPRODUCT(MMULT('M3'!$M29:$AZ29,'M1'!AL$10:AL$49))</f>
        <v/>
      </c>
      <c r="AM29" s="97">
        <f>SUMPRODUCT(MMULT('M3'!$M29:$AZ29,'M1'!AM$10:AM$49))</f>
        <v/>
      </c>
      <c r="AN29" s="97">
        <f>SUMPRODUCT(MMULT('M3'!$M29:$AZ29,'M1'!AN$10:AN$49))</f>
        <v/>
      </c>
      <c r="AO29" s="97">
        <f>SUMPRODUCT(MMULT('M3'!$M29:$AZ29,'M1'!AO$10:AO$49))</f>
        <v/>
      </c>
      <c r="AP29" s="97">
        <f>SUMPRODUCT(MMULT('M3'!$M29:$AZ29,'M1'!AP$10:AP$49))</f>
        <v/>
      </c>
      <c r="AQ29" s="97">
        <f>SUMPRODUCT(MMULT('M3'!$M29:$AZ29,'M1'!AQ$10:AQ$49))</f>
        <v/>
      </c>
      <c r="AR29" s="97">
        <f>SUMPRODUCT(MMULT('M3'!$M29:$AZ29,'M1'!AR$10:AR$49))</f>
        <v/>
      </c>
      <c r="AS29" s="97">
        <f>SUMPRODUCT(MMULT('M3'!$M29:$AZ29,'M1'!AS$10:AS$49))</f>
        <v/>
      </c>
      <c r="AT29" s="97">
        <f>SUMPRODUCT(MMULT('M3'!$M29:$AZ29,'M1'!AT$10:AT$49))</f>
        <v/>
      </c>
      <c r="AU29" s="97">
        <f>SUMPRODUCT(MMULT('M3'!$M29:$AZ29,'M1'!AU$10:AU$49))</f>
        <v/>
      </c>
      <c r="AV29" s="97">
        <f>SUMPRODUCT(MMULT('M3'!$M29:$AZ29,'M1'!AV$10:AV$49))</f>
        <v/>
      </c>
      <c r="AW29" s="97">
        <f>SUMPRODUCT(MMULT('M3'!$M29:$AZ29,'M1'!AW$10:AW$49))</f>
        <v/>
      </c>
      <c r="AX29" s="97">
        <f>SUMPRODUCT(MMULT('M3'!$M29:$AZ29,'M1'!AX$10:AX$49))</f>
        <v/>
      </c>
      <c r="AY29" s="97">
        <f>SUMPRODUCT(MMULT('M3'!$M29:$AZ29,'M1'!AY$10:AY$49))</f>
        <v/>
      </c>
      <c r="AZ29" s="97">
        <f>SUMPRODUCT(MMULT('M3'!$M29:$AZ29,'M1'!AZ$10:AZ$49))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SUMPRODUCT(MMULT('M3'!$M30:$AZ30,'M1'!M$10:M$49))</f>
        <v/>
      </c>
      <c r="N30" s="97">
        <f>SUMPRODUCT(MMULT('M3'!$M30:$AZ30,'M1'!N$10:N$49))</f>
        <v/>
      </c>
      <c r="O30" s="97">
        <f>SUMPRODUCT(MMULT('M3'!$M30:$AZ30,'M1'!O$10:O$49))</f>
        <v/>
      </c>
      <c r="P30" s="97">
        <f>SUMPRODUCT(MMULT('M3'!$M30:$AZ30,'M1'!P$10:P$49))</f>
        <v/>
      </c>
      <c r="Q30" s="97">
        <f>SUMPRODUCT(MMULT('M3'!$M30:$AZ30,'M1'!Q$10:Q$49))</f>
        <v/>
      </c>
      <c r="R30" s="97">
        <f>SUMPRODUCT(MMULT('M3'!$M30:$AZ30,'M1'!R$10:R$49))</f>
        <v/>
      </c>
      <c r="S30" s="97">
        <f>SUMPRODUCT(MMULT('M3'!$M30:$AZ30,'M1'!S$10:S$49))</f>
        <v/>
      </c>
      <c r="T30" s="97">
        <f>SUMPRODUCT(MMULT('M3'!$M30:$AZ30,'M1'!T$10:T$49))</f>
        <v/>
      </c>
      <c r="U30" s="97">
        <f>SUMPRODUCT(MMULT('M3'!$M30:$AZ30,'M1'!U$10:U$49))</f>
        <v/>
      </c>
      <c r="V30" s="97">
        <f>SUMPRODUCT(MMULT('M3'!$M30:$AZ30,'M1'!V$10:V$49))</f>
        <v/>
      </c>
      <c r="W30" s="97">
        <f>SUMPRODUCT(MMULT('M3'!$M30:$AZ30,'M1'!W$10:W$49))</f>
        <v/>
      </c>
      <c r="X30" s="97">
        <f>SUMPRODUCT(MMULT('M3'!$M30:$AZ30,'M1'!X$10:X$49))</f>
        <v/>
      </c>
      <c r="Y30" s="97">
        <f>SUMPRODUCT(MMULT('M3'!$M30:$AZ30,'M1'!Y$10:Y$49))</f>
        <v/>
      </c>
      <c r="Z30" s="97">
        <f>SUMPRODUCT(MMULT('M3'!$M30:$AZ30,'M1'!Z$10:Z$49))</f>
        <v/>
      </c>
      <c r="AA30" s="97">
        <f>SUMPRODUCT(MMULT('M3'!$M30:$AZ30,'M1'!AA$10:AA$49))</f>
        <v/>
      </c>
      <c r="AB30" s="97">
        <f>SUMPRODUCT(MMULT('M3'!$M30:$AZ30,'M1'!AB$10:AB$49))</f>
        <v/>
      </c>
      <c r="AC30" s="97">
        <f>SUMPRODUCT(MMULT('M3'!$M30:$AZ30,'M1'!AC$10:AC$49))</f>
        <v/>
      </c>
      <c r="AD30" s="97">
        <f>SUMPRODUCT(MMULT('M3'!$M30:$AZ30,'M1'!AD$10:AD$49))</f>
        <v/>
      </c>
      <c r="AE30" s="97">
        <f>SUMPRODUCT(MMULT('M3'!$M30:$AZ30,'M1'!AE$10:AE$49))</f>
        <v/>
      </c>
      <c r="AF30" s="97">
        <f>SUMPRODUCT(MMULT('M3'!$M30:$AZ30,'M1'!AF$10:AF$49))</f>
        <v/>
      </c>
      <c r="AG30" s="97">
        <f>SUMPRODUCT(MMULT('M3'!$M30:$AZ30,'M1'!AG$10:AG$49))</f>
        <v/>
      </c>
      <c r="AH30" s="97">
        <f>SUMPRODUCT(MMULT('M3'!$M30:$AZ30,'M1'!AH$10:AH$49))</f>
        <v/>
      </c>
      <c r="AI30" s="97">
        <f>SUMPRODUCT(MMULT('M3'!$M30:$AZ30,'M1'!AI$10:AI$49))</f>
        <v/>
      </c>
      <c r="AJ30" s="97">
        <f>SUMPRODUCT(MMULT('M3'!$M30:$AZ30,'M1'!AJ$10:AJ$49))</f>
        <v/>
      </c>
      <c r="AK30" s="97">
        <f>SUMPRODUCT(MMULT('M3'!$M30:$AZ30,'M1'!AK$10:AK$49))</f>
        <v/>
      </c>
      <c r="AL30" s="97">
        <f>SUMPRODUCT(MMULT('M3'!$M30:$AZ30,'M1'!AL$10:AL$49))</f>
        <v/>
      </c>
      <c r="AM30" s="97">
        <f>SUMPRODUCT(MMULT('M3'!$M30:$AZ30,'M1'!AM$10:AM$49))</f>
        <v/>
      </c>
      <c r="AN30" s="97">
        <f>SUMPRODUCT(MMULT('M3'!$M30:$AZ30,'M1'!AN$10:AN$49))</f>
        <v/>
      </c>
      <c r="AO30" s="97">
        <f>SUMPRODUCT(MMULT('M3'!$M30:$AZ30,'M1'!AO$10:AO$49))</f>
        <v/>
      </c>
      <c r="AP30" s="97">
        <f>SUMPRODUCT(MMULT('M3'!$M30:$AZ30,'M1'!AP$10:AP$49))</f>
        <v/>
      </c>
      <c r="AQ30" s="97">
        <f>SUMPRODUCT(MMULT('M3'!$M30:$AZ30,'M1'!AQ$10:AQ$49))</f>
        <v/>
      </c>
      <c r="AR30" s="97">
        <f>SUMPRODUCT(MMULT('M3'!$M30:$AZ30,'M1'!AR$10:AR$49))</f>
        <v/>
      </c>
      <c r="AS30" s="97">
        <f>SUMPRODUCT(MMULT('M3'!$M30:$AZ30,'M1'!AS$10:AS$49))</f>
        <v/>
      </c>
      <c r="AT30" s="97">
        <f>SUMPRODUCT(MMULT('M3'!$M30:$AZ30,'M1'!AT$10:AT$49))</f>
        <v/>
      </c>
      <c r="AU30" s="97">
        <f>SUMPRODUCT(MMULT('M3'!$M30:$AZ30,'M1'!AU$10:AU$49))</f>
        <v/>
      </c>
      <c r="AV30" s="97">
        <f>SUMPRODUCT(MMULT('M3'!$M30:$AZ30,'M1'!AV$10:AV$49))</f>
        <v/>
      </c>
      <c r="AW30" s="97">
        <f>SUMPRODUCT(MMULT('M3'!$M30:$AZ30,'M1'!AW$10:AW$49))</f>
        <v/>
      </c>
      <c r="AX30" s="97">
        <f>SUMPRODUCT(MMULT('M3'!$M30:$AZ30,'M1'!AX$10:AX$49))</f>
        <v/>
      </c>
      <c r="AY30" s="97">
        <f>SUMPRODUCT(MMULT('M3'!$M30:$AZ30,'M1'!AY$10:AY$49))</f>
        <v/>
      </c>
      <c r="AZ30" s="97">
        <f>SUMPRODUCT(MMULT('M3'!$M30:$AZ30,'M1'!AZ$10:AZ$49))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SUMPRODUCT(MMULT('M3'!$M31:$AZ31,'M1'!M$10:M$49))</f>
        <v/>
      </c>
      <c r="N31" s="97">
        <f>SUMPRODUCT(MMULT('M3'!$M31:$AZ31,'M1'!N$10:N$49))</f>
        <v/>
      </c>
      <c r="O31" s="97">
        <f>SUMPRODUCT(MMULT('M3'!$M31:$AZ31,'M1'!O$10:O$49))</f>
        <v/>
      </c>
      <c r="P31" s="97">
        <f>SUMPRODUCT(MMULT('M3'!$M31:$AZ31,'M1'!P$10:P$49))</f>
        <v/>
      </c>
      <c r="Q31" s="97">
        <f>SUMPRODUCT(MMULT('M3'!$M31:$AZ31,'M1'!Q$10:Q$49))</f>
        <v/>
      </c>
      <c r="R31" s="97">
        <f>SUMPRODUCT(MMULT('M3'!$M31:$AZ31,'M1'!R$10:R$49))</f>
        <v/>
      </c>
      <c r="S31" s="97">
        <f>SUMPRODUCT(MMULT('M3'!$M31:$AZ31,'M1'!S$10:S$49))</f>
        <v/>
      </c>
      <c r="T31" s="97">
        <f>SUMPRODUCT(MMULT('M3'!$M31:$AZ31,'M1'!T$10:T$49))</f>
        <v/>
      </c>
      <c r="U31" s="97">
        <f>SUMPRODUCT(MMULT('M3'!$M31:$AZ31,'M1'!U$10:U$49))</f>
        <v/>
      </c>
      <c r="V31" s="97">
        <f>SUMPRODUCT(MMULT('M3'!$M31:$AZ31,'M1'!V$10:V$49))</f>
        <v/>
      </c>
      <c r="W31" s="97">
        <f>SUMPRODUCT(MMULT('M3'!$M31:$AZ31,'M1'!W$10:W$49))</f>
        <v/>
      </c>
      <c r="X31" s="97">
        <f>SUMPRODUCT(MMULT('M3'!$M31:$AZ31,'M1'!X$10:X$49))</f>
        <v/>
      </c>
      <c r="Y31" s="97">
        <f>SUMPRODUCT(MMULT('M3'!$M31:$AZ31,'M1'!Y$10:Y$49))</f>
        <v/>
      </c>
      <c r="Z31" s="97">
        <f>SUMPRODUCT(MMULT('M3'!$M31:$AZ31,'M1'!Z$10:Z$49))</f>
        <v/>
      </c>
      <c r="AA31" s="97">
        <f>SUMPRODUCT(MMULT('M3'!$M31:$AZ31,'M1'!AA$10:AA$49))</f>
        <v/>
      </c>
      <c r="AB31" s="97">
        <f>SUMPRODUCT(MMULT('M3'!$M31:$AZ31,'M1'!AB$10:AB$49))</f>
        <v/>
      </c>
      <c r="AC31" s="97">
        <f>SUMPRODUCT(MMULT('M3'!$M31:$AZ31,'M1'!AC$10:AC$49))</f>
        <v/>
      </c>
      <c r="AD31" s="97">
        <f>SUMPRODUCT(MMULT('M3'!$M31:$AZ31,'M1'!AD$10:AD$49))</f>
        <v/>
      </c>
      <c r="AE31" s="97">
        <f>SUMPRODUCT(MMULT('M3'!$M31:$AZ31,'M1'!AE$10:AE$49))</f>
        <v/>
      </c>
      <c r="AF31" s="97">
        <f>SUMPRODUCT(MMULT('M3'!$M31:$AZ31,'M1'!AF$10:AF$49))</f>
        <v/>
      </c>
      <c r="AG31" s="97">
        <f>SUMPRODUCT(MMULT('M3'!$M31:$AZ31,'M1'!AG$10:AG$49))</f>
        <v/>
      </c>
      <c r="AH31" s="97">
        <f>SUMPRODUCT(MMULT('M3'!$M31:$AZ31,'M1'!AH$10:AH$49))</f>
        <v/>
      </c>
      <c r="AI31" s="97">
        <f>SUMPRODUCT(MMULT('M3'!$M31:$AZ31,'M1'!AI$10:AI$49))</f>
        <v/>
      </c>
      <c r="AJ31" s="97">
        <f>SUMPRODUCT(MMULT('M3'!$M31:$AZ31,'M1'!AJ$10:AJ$49))</f>
        <v/>
      </c>
      <c r="AK31" s="97">
        <f>SUMPRODUCT(MMULT('M3'!$M31:$AZ31,'M1'!AK$10:AK$49))</f>
        <v/>
      </c>
      <c r="AL31" s="97">
        <f>SUMPRODUCT(MMULT('M3'!$M31:$AZ31,'M1'!AL$10:AL$49))</f>
        <v/>
      </c>
      <c r="AM31" s="97">
        <f>SUMPRODUCT(MMULT('M3'!$M31:$AZ31,'M1'!AM$10:AM$49))</f>
        <v/>
      </c>
      <c r="AN31" s="97">
        <f>SUMPRODUCT(MMULT('M3'!$M31:$AZ31,'M1'!AN$10:AN$49))</f>
        <v/>
      </c>
      <c r="AO31" s="97">
        <f>SUMPRODUCT(MMULT('M3'!$M31:$AZ31,'M1'!AO$10:AO$49))</f>
        <v/>
      </c>
      <c r="AP31" s="97">
        <f>SUMPRODUCT(MMULT('M3'!$M31:$AZ31,'M1'!AP$10:AP$49))</f>
        <v/>
      </c>
      <c r="AQ31" s="97">
        <f>SUMPRODUCT(MMULT('M3'!$M31:$AZ31,'M1'!AQ$10:AQ$49))</f>
        <v/>
      </c>
      <c r="AR31" s="97">
        <f>SUMPRODUCT(MMULT('M3'!$M31:$AZ31,'M1'!AR$10:AR$49))</f>
        <v/>
      </c>
      <c r="AS31" s="97">
        <f>SUMPRODUCT(MMULT('M3'!$M31:$AZ31,'M1'!AS$10:AS$49))</f>
        <v/>
      </c>
      <c r="AT31" s="97">
        <f>SUMPRODUCT(MMULT('M3'!$M31:$AZ31,'M1'!AT$10:AT$49))</f>
        <v/>
      </c>
      <c r="AU31" s="97">
        <f>SUMPRODUCT(MMULT('M3'!$M31:$AZ31,'M1'!AU$10:AU$49))</f>
        <v/>
      </c>
      <c r="AV31" s="97">
        <f>SUMPRODUCT(MMULT('M3'!$M31:$AZ31,'M1'!AV$10:AV$49))</f>
        <v/>
      </c>
      <c r="AW31" s="97">
        <f>SUMPRODUCT(MMULT('M3'!$M31:$AZ31,'M1'!AW$10:AW$49))</f>
        <v/>
      </c>
      <c r="AX31" s="97">
        <f>SUMPRODUCT(MMULT('M3'!$M31:$AZ31,'M1'!AX$10:AX$49))</f>
        <v/>
      </c>
      <c r="AY31" s="97">
        <f>SUMPRODUCT(MMULT('M3'!$M31:$AZ31,'M1'!AY$10:AY$49))</f>
        <v/>
      </c>
      <c r="AZ31" s="97">
        <f>SUMPRODUCT(MMULT('M3'!$M31:$AZ31,'M1'!AZ$10:AZ$49))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SUMPRODUCT(MMULT('M3'!$M32:$AZ32,'M1'!M$10:M$49))</f>
        <v/>
      </c>
      <c r="N32" s="97">
        <f>SUMPRODUCT(MMULT('M3'!$M32:$AZ32,'M1'!N$10:N$49))</f>
        <v/>
      </c>
      <c r="O32" s="97">
        <f>SUMPRODUCT(MMULT('M3'!$M32:$AZ32,'M1'!O$10:O$49))</f>
        <v/>
      </c>
      <c r="P32" s="97">
        <f>SUMPRODUCT(MMULT('M3'!$M32:$AZ32,'M1'!P$10:P$49))</f>
        <v/>
      </c>
      <c r="Q32" s="97">
        <f>SUMPRODUCT(MMULT('M3'!$M32:$AZ32,'M1'!Q$10:Q$49))</f>
        <v/>
      </c>
      <c r="R32" s="97">
        <f>SUMPRODUCT(MMULT('M3'!$M32:$AZ32,'M1'!R$10:R$49))</f>
        <v/>
      </c>
      <c r="S32" s="97">
        <f>SUMPRODUCT(MMULT('M3'!$M32:$AZ32,'M1'!S$10:S$49))</f>
        <v/>
      </c>
      <c r="T32" s="97">
        <f>SUMPRODUCT(MMULT('M3'!$M32:$AZ32,'M1'!T$10:T$49))</f>
        <v/>
      </c>
      <c r="U32" s="97">
        <f>SUMPRODUCT(MMULT('M3'!$M32:$AZ32,'M1'!U$10:U$49))</f>
        <v/>
      </c>
      <c r="V32" s="97">
        <f>SUMPRODUCT(MMULT('M3'!$M32:$AZ32,'M1'!V$10:V$49))</f>
        <v/>
      </c>
      <c r="W32" s="97">
        <f>SUMPRODUCT(MMULT('M3'!$M32:$AZ32,'M1'!W$10:W$49))</f>
        <v/>
      </c>
      <c r="X32" s="97">
        <f>SUMPRODUCT(MMULT('M3'!$M32:$AZ32,'M1'!X$10:X$49))</f>
        <v/>
      </c>
      <c r="Y32" s="97">
        <f>SUMPRODUCT(MMULT('M3'!$M32:$AZ32,'M1'!Y$10:Y$49))</f>
        <v/>
      </c>
      <c r="Z32" s="97">
        <f>SUMPRODUCT(MMULT('M3'!$M32:$AZ32,'M1'!Z$10:Z$49))</f>
        <v/>
      </c>
      <c r="AA32" s="97">
        <f>SUMPRODUCT(MMULT('M3'!$M32:$AZ32,'M1'!AA$10:AA$49))</f>
        <v/>
      </c>
      <c r="AB32" s="97">
        <f>SUMPRODUCT(MMULT('M3'!$M32:$AZ32,'M1'!AB$10:AB$49))</f>
        <v/>
      </c>
      <c r="AC32" s="97">
        <f>SUMPRODUCT(MMULT('M3'!$M32:$AZ32,'M1'!AC$10:AC$49))</f>
        <v/>
      </c>
      <c r="AD32" s="97">
        <f>SUMPRODUCT(MMULT('M3'!$M32:$AZ32,'M1'!AD$10:AD$49))</f>
        <v/>
      </c>
      <c r="AE32" s="97">
        <f>SUMPRODUCT(MMULT('M3'!$M32:$AZ32,'M1'!AE$10:AE$49))</f>
        <v/>
      </c>
      <c r="AF32" s="97">
        <f>SUMPRODUCT(MMULT('M3'!$M32:$AZ32,'M1'!AF$10:AF$49))</f>
        <v/>
      </c>
      <c r="AG32" s="97">
        <f>SUMPRODUCT(MMULT('M3'!$M32:$AZ32,'M1'!AG$10:AG$49))</f>
        <v/>
      </c>
      <c r="AH32" s="97">
        <f>SUMPRODUCT(MMULT('M3'!$M32:$AZ32,'M1'!AH$10:AH$49))</f>
        <v/>
      </c>
      <c r="AI32" s="97">
        <f>SUMPRODUCT(MMULT('M3'!$M32:$AZ32,'M1'!AI$10:AI$49))</f>
        <v/>
      </c>
      <c r="AJ32" s="97">
        <f>SUMPRODUCT(MMULT('M3'!$M32:$AZ32,'M1'!AJ$10:AJ$49))</f>
        <v/>
      </c>
      <c r="AK32" s="97">
        <f>SUMPRODUCT(MMULT('M3'!$M32:$AZ32,'M1'!AK$10:AK$49))</f>
        <v/>
      </c>
      <c r="AL32" s="97">
        <f>SUMPRODUCT(MMULT('M3'!$M32:$AZ32,'M1'!AL$10:AL$49))</f>
        <v/>
      </c>
      <c r="AM32" s="97">
        <f>SUMPRODUCT(MMULT('M3'!$M32:$AZ32,'M1'!AM$10:AM$49))</f>
        <v/>
      </c>
      <c r="AN32" s="97">
        <f>SUMPRODUCT(MMULT('M3'!$M32:$AZ32,'M1'!AN$10:AN$49))</f>
        <v/>
      </c>
      <c r="AO32" s="97">
        <f>SUMPRODUCT(MMULT('M3'!$M32:$AZ32,'M1'!AO$10:AO$49))</f>
        <v/>
      </c>
      <c r="AP32" s="97">
        <f>SUMPRODUCT(MMULT('M3'!$M32:$AZ32,'M1'!AP$10:AP$49))</f>
        <v/>
      </c>
      <c r="AQ32" s="97">
        <f>SUMPRODUCT(MMULT('M3'!$M32:$AZ32,'M1'!AQ$10:AQ$49))</f>
        <v/>
      </c>
      <c r="AR32" s="97">
        <f>SUMPRODUCT(MMULT('M3'!$M32:$AZ32,'M1'!AR$10:AR$49))</f>
        <v/>
      </c>
      <c r="AS32" s="97">
        <f>SUMPRODUCT(MMULT('M3'!$M32:$AZ32,'M1'!AS$10:AS$49))</f>
        <v/>
      </c>
      <c r="AT32" s="97">
        <f>SUMPRODUCT(MMULT('M3'!$M32:$AZ32,'M1'!AT$10:AT$49))</f>
        <v/>
      </c>
      <c r="AU32" s="97">
        <f>SUMPRODUCT(MMULT('M3'!$M32:$AZ32,'M1'!AU$10:AU$49))</f>
        <v/>
      </c>
      <c r="AV32" s="97">
        <f>SUMPRODUCT(MMULT('M3'!$M32:$AZ32,'M1'!AV$10:AV$49))</f>
        <v/>
      </c>
      <c r="AW32" s="97">
        <f>SUMPRODUCT(MMULT('M3'!$M32:$AZ32,'M1'!AW$10:AW$49))</f>
        <v/>
      </c>
      <c r="AX32" s="97">
        <f>SUMPRODUCT(MMULT('M3'!$M32:$AZ32,'M1'!AX$10:AX$49))</f>
        <v/>
      </c>
      <c r="AY32" s="97">
        <f>SUMPRODUCT(MMULT('M3'!$M32:$AZ32,'M1'!AY$10:AY$49))</f>
        <v/>
      </c>
      <c r="AZ32" s="97">
        <f>SUMPRODUCT(MMULT('M3'!$M32:$AZ32,'M1'!AZ$10:AZ$49))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SUMPRODUCT(MMULT('M3'!$M33:$AZ33,'M1'!M$10:M$49))</f>
        <v/>
      </c>
      <c r="N33" s="97">
        <f>SUMPRODUCT(MMULT('M3'!$M33:$AZ33,'M1'!N$10:N$49))</f>
        <v/>
      </c>
      <c r="O33" s="97">
        <f>SUMPRODUCT(MMULT('M3'!$M33:$AZ33,'M1'!O$10:O$49))</f>
        <v/>
      </c>
      <c r="P33" s="97">
        <f>SUMPRODUCT(MMULT('M3'!$M33:$AZ33,'M1'!P$10:P$49))</f>
        <v/>
      </c>
      <c r="Q33" s="97">
        <f>SUMPRODUCT(MMULT('M3'!$M33:$AZ33,'M1'!Q$10:Q$49))</f>
        <v/>
      </c>
      <c r="R33" s="97">
        <f>SUMPRODUCT(MMULT('M3'!$M33:$AZ33,'M1'!R$10:R$49))</f>
        <v/>
      </c>
      <c r="S33" s="97">
        <f>SUMPRODUCT(MMULT('M3'!$M33:$AZ33,'M1'!S$10:S$49))</f>
        <v/>
      </c>
      <c r="T33" s="97">
        <f>SUMPRODUCT(MMULT('M3'!$M33:$AZ33,'M1'!T$10:T$49))</f>
        <v/>
      </c>
      <c r="U33" s="97">
        <f>SUMPRODUCT(MMULT('M3'!$M33:$AZ33,'M1'!U$10:U$49))</f>
        <v/>
      </c>
      <c r="V33" s="97">
        <f>SUMPRODUCT(MMULT('M3'!$M33:$AZ33,'M1'!V$10:V$49))</f>
        <v/>
      </c>
      <c r="W33" s="97">
        <f>SUMPRODUCT(MMULT('M3'!$M33:$AZ33,'M1'!W$10:W$49))</f>
        <v/>
      </c>
      <c r="X33" s="97">
        <f>SUMPRODUCT(MMULT('M3'!$M33:$AZ33,'M1'!X$10:X$49))</f>
        <v/>
      </c>
      <c r="Y33" s="97">
        <f>SUMPRODUCT(MMULT('M3'!$M33:$AZ33,'M1'!Y$10:Y$49))</f>
        <v/>
      </c>
      <c r="Z33" s="97">
        <f>SUMPRODUCT(MMULT('M3'!$M33:$AZ33,'M1'!Z$10:Z$49))</f>
        <v/>
      </c>
      <c r="AA33" s="97">
        <f>SUMPRODUCT(MMULT('M3'!$M33:$AZ33,'M1'!AA$10:AA$49))</f>
        <v/>
      </c>
      <c r="AB33" s="97">
        <f>SUMPRODUCT(MMULT('M3'!$M33:$AZ33,'M1'!AB$10:AB$49))</f>
        <v/>
      </c>
      <c r="AC33" s="97">
        <f>SUMPRODUCT(MMULT('M3'!$M33:$AZ33,'M1'!AC$10:AC$49))</f>
        <v/>
      </c>
      <c r="AD33" s="97">
        <f>SUMPRODUCT(MMULT('M3'!$M33:$AZ33,'M1'!AD$10:AD$49))</f>
        <v/>
      </c>
      <c r="AE33" s="97">
        <f>SUMPRODUCT(MMULT('M3'!$M33:$AZ33,'M1'!AE$10:AE$49))</f>
        <v/>
      </c>
      <c r="AF33" s="97">
        <f>SUMPRODUCT(MMULT('M3'!$M33:$AZ33,'M1'!AF$10:AF$49))</f>
        <v/>
      </c>
      <c r="AG33" s="97">
        <f>SUMPRODUCT(MMULT('M3'!$M33:$AZ33,'M1'!AG$10:AG$49))</f>
        <v/>
      </c>
      <c r="AH33" s="97">
        <f>SUMPRODUCT(MMULT('M3'!$M33:$AZ33,'M1'!AH$10:AH$49))</f>
        <v/>
      </c>
      <c r="AI33" s="97">
        <f>SUMPRODUCT(MMULT('M3'!$M33:$AZ33,'M1'!AI$10:AI$49))</f>
        <v/>
      </c>
      <c r="AJ33" s="97">
        <f>SUMPRODUCT(MMULT('M3'!$M33:$AZ33,'M1'!AJ$10:AJ$49))</f>
        <v/>
      </c>
      <c r="AK33" s="97">
        <f>SUMPRODUCT(MMULT('M3'!$M33:$AZ33,'M1'!AK$10:AK$49))</f>
        <v/>
      </c>
      <c r="AL33" s="97">
        <f>SUMPRODUCT(MMULT('M3'!$M33:$AZ33,'M1'!AL$10:AL$49))</f>
        <v/>
      </c>
      <c r="AM33" s="97">
        <f>SUMPRODUCT(MMULT('M3'!$M33:$AZ33,'M1'!AM$10:AM$49))</f>
        <v/>
      </c>
      <c r="AN33" s="97">
        <f>SUMPRODUCT(MMULT('M3'!$M33:$AZ33,'M1'!AN$10:AN$49))</f>
        <v/>
      </c>
      <c r="AO33" s="97">
        <f>SUMPRODUCT(MMULT('M3'!$M33:$AZ33,'M1'!AO$10:AO$49))</f>
        <v/>
      </c>
      <c r="AP33" s="97">
        <f>SUMPRODUCT(MMULT('M3'!$M33:$AZ33,'M1'!AP$10:AP$49))</f>
        <v/>
      </c>
      <c r="AQ33" s="97">
        <f>SUMPRODUCT(MMULT('M3'!$M33:$AZ33,'M1'!AQ$10:AQ$49))</f>
        <v/>
      </c>
      <c r="AR33" s="97">
        <f>SUMPRODUCT(MMULT('M3'!$M33:$AZ33,'M1'!AR$10:AR$49))</f>
        <v/>
      </c>
      <c r="AS33" s="97">
        <f>SUMPRODUCT(MMULT('M3'!$M33:$AZ33,'M1'!AS$10:AS$49))</f>
        <v/>
      </c>
      <c r="AT33" s="97">
        <f>SUMPRODUCT(MMULT('M3'!$M33:$AZ33,'M1'!AT$10:AT$49))</f>
        <v/>
      </c>
      <c r="AU33" s="97">
        <f>SUMPRODUCT(MMULT('M3'!$M33:$AZ33,'M1'!AU$10:AU$49))</f>
        <v/>
      </c>
      <c r="AV33" s="97">
        <f>SUMPRODUCT(MMULT('M3'!$M33:$AZ33,'M1'!AV$10:AV$49))</f>
        <v/>
      </c>
      <c r="AW33" s="97">
        <f>SUMPRODUCT(MMULT('M3'!$M33:$AZ33,'M1'!AW$10:AW$49))</f>
        <v/>
      </c>
      <c r="AX33" s="97">
        <f>SUMPRODUCT(MMULT('M3'!$M33:$AZ33,'M1'!AX$10:AX$49))</f>
        <v/>
      </c>
      <c r="AY33" s="97">
        <f>SUMPRODUCT(MMULT('M3'!$M33:$AZ33,'M1'!AY$10:AY$49))</f>
        <v/>
      </c>
      <c r="AZ33" s="97">
        <f>SUMPRODUCT(MMULT('M3'!$M33:$AZ33,'M1'!AZ$10:AZ$49))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SUMPRODUCT(MMULT('M3'!$M34:$AZ34,'M1'!M$10:M$49))</f>
        <v/>
      </c>
      <c r="N34" s="97">
        <f>SUMPRODUCT(MMULT('M3'!$M34:$AZ34,'M1'!N$10:N$49))</f>
        <v/>
      </c>
      <c r="O34" s="97">
        <f>SUMPRODUCT(MMULT('M3'!$M34:$AZ34,'M1'!O$10:O$49))</f>
        <v/>
      </c>
      <c r="P34" s="97">
        <f>SUMPRODUCT(MMULT('M3'!$M34:$AZ34,'M1'!P$10:P$49))</f>
        <v/>
      </c>
      <c r="Q34" s="97">
        <f>SUMPRODUCT(MMULT('M3'!$M34:$AZ34,'M1'!Q$10:Q$49))</f>
        <v/>
      </c>
      <c r="R34" s="97">
        <f>SUMPRODUCT(MMULT('M3'!$M34:$AZ34,'M1'!R$10:R$49))</f>
        <v/>
      </c>
      <c r="S34" s="97">
        <f>SUMPRODUCT(MMULT('M3'!$M34:$AZ34,'M1'!S$10:S$49))</f>
        <v/>
      </c>
      <c r="T34" s="97">
        <f>SUMPRODUCT(MMULT('M3'!$M34:$AZ34,'M1'!T$10:T$49))</f>
        <v/>
      </c>
      <c r="U34" s="97">
        <f>SUMPRODUCT(MMULT('M3'!$M34:$AZ34,'M1'!U$10:U$49))</f>
        <v/>
      </c>
      <c r="V34" s="97">
        <f>SUMPRODUCT(MMULT('M3'!$M34:$AZ34,'M1'!V$10:V$49))</f>
        <v/>
      </c>
      <c r="W34" s="97">
        <f>SUMPRODUCT(MMULT('M3'!$M34:$AZ34,'M1'!W$10:W$49))</f>
        <v/>
      </c>
      <c r="X34" s="97">
        <f>SUMPRODUCT(MMULT('M3'!$M34:$AZ34,'M1'!X$10:X$49))</f>
        <v/>
      </c>
      <c r="Y34" s="97">
        <f>SUMPRODUCT(MMULT('M3'!$M34:$AZ34,'M1'!Y$10:Y$49))</f>
        <v/>
      </c>
      <c r="Z34" s="97">
        <f>SUMPRODUCT(MMULT('M3'!$M34:$AZ34,'M1'!Z$10:Z$49))</f>
        <v/>
      </c>
      <c r="AA34" s="97">
        <f>SUMPRODUCT(MMULT('M3'!$M34:$AZ34,'M1'!AA$10:AA$49))</f>
        <v/>
      </c>
      <c r="AB34" s="97">
        <f>SUMPRODUCT(MMULT('M3'!$M34:$AZ34,'M1'!AB$10:AB$49))</f>
        <v/>
      </c>
      <c r="AC34" s="97">
        <f>SUMPRODUCT(MMULT('M3'!$M34:$AZ34,'M1'!AC$10:AC$49))</f>
        <v/>
      </c>
      <c r="AD34" s="97">
        <f>SUMPRODUCT(MMULT('M3'!$M34:$AZ34,'M1'!AD$10:AD$49))</f>
        <v/>
      </c>
      <c r="AE34" s="97">
        <f>SUMPRODUCT(MMULT('M3'!$M34:$AZ34,'M1'!AE$10:AE$49))</f>
        <v/>
      </c>
      <c r="AF34" s="97">
        <f>SUMPRODUCT(MMULT('M3'!$M34:$AZ34,'M1'!AF$10:AF$49))</f>
        <v/>
      </c>
      <c r="AG34" s="97">
        <f>SUMPRODUCT(MMULT('M3'!$M34:$AZ34,'M1'!AG$10:AG$49))</f>
        <v/>
      </c>
      <c r="AH34" s="97">
        <f>SUMPRODUCT(MMULT('M3'!$M34:$AZ34,'M1'!AH$10:AH$49))</f>
        <v/>
      </c>
      <c r="AI34" s="97">
        <f>SUMPRODUCT(MMULT('M3'!$M34:$AZ34,'M1'!AI$10:AI$49))</f>
        <v/>
      </c>
      <c r="AJ34" s="97">
        <f>SUMPRODUCT(MMULT('M3'!$M34:$AZ34,'M1'!AJ$10:AJ$49))</f>
        <v/>
      </c>
      <c r="AK34" s="97">
        <f>SUMPRODUCT(MMULT('M3'!$M34:$AZ34,'M1'!AK$10:AK$49))</f>
        <v/>
      </c>
      <c r="AL34" s="97">
        <f>SUMPRODUCT(MMULT('M3'!$M34:$AZ34,'M1'!AL$10:AL$49))</f>
        <v/>
      </c>
      <c r="AM34" s="97">
        <f>SUMPRODUCT(MMULT('M3'!$M34:$AZ34,'M1'!AM$10:AM$49))</f>
        <v/>
      </c>
      <c r="AN34" s="97">
        <f>SUMPRODUCT(MMULT('M3'!$M34:$AZ34,'M1'!AN$10:AN$49))</f>
        <v/>
      </c>
      <c r="AO34" s="97">
        <f>SUMPRODUCT(MMULT('M3'!$M34:$AZ34,'M1'!AO$10:AO$49))</f>
        <v/>
      </c>
      <c r="AP34" s="97">
        <f>SUMPRODUCT(MMULT('M3'!$M34:$AZ34,'M1'!AP$10:AP$49))</f>
        <v/>
      </c>
      <c r="AQ34" s="97">
        <f>SUMPRODUCT(MMULT('M3'!$M34:$AZ34,'M1'!AQ$10:AQ$49))</f>
        <v/>
      </c>
      <c r="AR34" s="97">
        <f>SUMPRODUCT(MMULT('M3'!$M34:$AZ34,'M1'!AR$10:AR$49))</f>
        <v/>
      </c>
      <c r="AS34" s="97">
        <f>SUMPRODUCT(MMULT('M3'!$M34:$AZ34,'M1'!AS$10:AS$49))</f>
        <v/>
      </c>
      <c r="AT34" s="97">
        <f>SUMPRODUCT(MMULT('M3'!$M34:$AZ34,'M1'!AT$10:AT$49))</f>
        <v/>
      </c>
      <c r="AU34" s="97">
        <f>SUMPRODUCT(MMULT('M3'!$M34:$AZ34,'M1'!AU$10:AU$49))</f>
        <v/>
      </c>
      <c r="AV34" s="97">
        <f>SUMPRODUCT(MMULT('M3'!$M34:$AZ34,'M1'!AV$10:AV$49))</f>
        <v/>
      </c>
      <c r="AW34" s="97">
        <f>SUMPRODUCT(MMULT('M3'!$M34:$AZ34,'M1'!AW$10:AW$49))</f>
        <v/>
      </c>
      <c r="AX34" s="97">
        <f>SUMPRODUCT(MMULT('M3'!$M34:$AZ34,'M1'!AX$10:AX$49))</f>
        <v/>
      </c>
      <c r="AY34" s="97">
        <f>SUMPRODUCT(MMULT('M3'!$M34:$AZ34,'M1'!AY$10:AY$49))</f>
        <v/>
      </c>
      <c r="AZ34" s="97">
        <f>SUMPRODUCT(MMULT('M3'!$M34:$AZ34,'M1'!AZ$10:AZ$49))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SUMPRODUCT(MMULT('M3'!$M35:$AZ35,'M1'!M$10:M$49))</f>
        <v/>
      </c>
      <c r="N35" s="97">
        <f>SUMPRODUCT(MMULT('M3'!$M35:$AZ35,'M1'!N$10:N$49))</f>
        <v/>
      </c>
      <c r="O35" s="97">
        <f>SUMPRODUCT(MMULT('M3'!$M35:$AZ35,'M1'!O$10:O$49))</f>
        <v/>
      </c>
      <c r="P35" s="97">
        <f>SUMPRODUCT(MMULT('M3'!$M35:$AZ35,'M1'!P$10:P$49))</f>
        <v/>
      </c>
      <c r="Q35" s="97">
        <f>SUMPRODUCT(MMULT('M3'!$M35:$AZ35,'M1'!Q$10:Q$49))</f>
        <v/>
      </c>
      <c r="R35" s="97">
        <f>SUMPRODUCT(MMULT('M3'!$M35:$AZ35,'M1'!R$10:R$49))</f>
        <v/>
      </c>
      <c r="S35" s="97">
        <f>SUMPRODUCT(MMULT('M3'!$M35:$AZ35,'M1'!S$10:S$49))</f>
        <v/>
      </c>
      <c r="T35" s="97">
        <f>SUMPRODUCT(MMULT('M3'!$M35:$AZ35,'M1'!T$10:T$49))</f>
        <v/>
      </c>
      <c r="U35" s="97">
        <f>SUMPRODUCT(MMULT('M3'!$M35:$AZ35,'M1'!U$10:U$49))</f>
        <v/>
      </c>
      <c r="V35" s="97">
        <f>SUMPRODUCT(MMULT('M3'!$M35:$AZ35,'M1'!V$10:V$49))</f>
        <v/>
      </c>
      <c r="W35" s="97">
        <f>SUMPRODUCT(MMULT('M3'!$M35:$AZ35,'M1'!W$10:W$49))</f>
        <v/>
      </c>
      <c r="X35" s="97">
        <f>SUMPRODUCT(MMULT('M3'!$M35:$AZ35,'M1'!X$10:X$49))</f>
        <v/>
      </c>
      <c r="Y35" s="97">
        <f>SUMPRODUCT(MMULT('M3'!$M35:$AZ35,'M1'!Y$10:Y$49))</f>
        <v/>
      </c>
      <c r="Z35" s="97">
        <f>SUMPRODUCT(MMULT('M3'!$M35:$AZ35,'M1'!Z$10:Z$49))</f>
        <v/>
      </c>
      <c r="AA35" s="97">
        <f>SUMPRODUCT(MMULT('M3'!$M35:$AZ35,'M1'!AA$10:AA$49))</f>
        <v/>
      </c>
      <c r="AB35" s="97">
        <f>SUMPRODUCT(MMULT('M3'!$M35:$AZ35,'M1'!AB$10:AB$49))</f>
        <v/>
      </c>
      <c r="AC35" s="97">
        <f>SUMPRODUCT(MMULT('M3'!$M35:$AZ35,'M1'!AC$10:AC$49))</f>
        <v/>
      </c>
      <c r="AD35" s="97">
        <f>SUMPRODUCT(MMULT('M3'!$M35:$AZ35,'M1'!AD$10:AD$49))</f>
        <v/>
      </c>
      <c r="AE35" s="97">
        <f>SUMPRODUCT(MMULT('M3'!$M35:$AZ35,'M1'!AE$10:AE$49))</f>
        <v/>
      </c>
      <c r="AF35" s="97">
        <f>SUMPRODUCT(MMULT('M3'!$M35:$AZ35,'M1'!AF$10:AF$49))</f>
        <v/>
      </c>
      <c r="AG35" s="97">
        <f>SUMPRODUCT(MMULT('M3'!$M35:$AZ35,'M1'!AG$10:AG$49))</f>
        <v/>
      </c>
      <c r="AH35" s="97">
        <f>SUMPRODUCT(MMULT('M3'!$M35:$AZ35,'M1'!AH$10:AH$49))</f>
        <v/>
      </c>
      <c r="AI35" s="97">
        <f>SUMPRODUCT(MMULT('M3'!$M35:$AZ35,'M1'!AI$10:AI$49))</f>
        <v/>
      </c>
      <c r="AJ35" s="97">
        <f>SUMPRODUCT(MMULT('M3'!$M35:$AZ35,'M1'!AJ$10:AJ$49))</f>
        <v/>
      </c>
      <c r="AK35" s="97">
        <f>SUMPRODUCT(MMULT('M3'!$M35:$AZ35,'M1'!AK$10:AK$49))</f>
        <v/>
      </c>
      <c r="AL35" s="97">
        <f>SUMPRODUCT(MMULT('M3'!$M35:$AZ35,'M1'!AL$10:AL$49))</f>
        <v/>
      </c>
      <c r="AM35" s="97">
        <f>SUMPRODUCT(MMULT('M3'!$M35:$AZ35,'M1'!AM$10:AM$49))</f>
        <v/>
      </c>
      <c r="AN35" s="97">
        <f>SUMPRODUCT(MMULT('M3'!$M35:$AZ35,'M1'!AN$10:AN$49))</f>
        <v/>
      </c>
      <c r="AO35" s="97">
        <f>SUMPRODUCT(MMULT('M3'!$M35:$AZ35,'M1'!AO$10:AO$49))</f>
        <v/>
      </c>
      <c r="AP35" s="97">
        <f>SUMPRODUCT(MMULT('M3'!$M35:$AZ35,'M1'!AP$10:AP$49))</f>
        <v/>
      </c>
      <c r="AQ35" s="97">
        <f>SUMPRODUCT(MMULT('M3'!$M35:$AZ35,'M1'!AQ$10:AQ$49))</f>
        <v/>
      </c>
      <c r="AR35" s="97">
        <f>SUMPRODUCT(MMULT('M3'!$M35:$AZ35,'M1'!AR$10:AR$49))</f>
        <v/>
      </c>
      <c r="AS35" s="97">
        <f>SUMPRODUCT(MMULT('M3'!$M35:$AZ35,'M1'!AS$10:AS$49))</f>
        <v/>
      </c>
      <c r="AT35" s="97">
        <f>SUMPRODUCT(MMULT('M3'!$M35:$AZ35,'M1'!AT$10:AT$49))</f>
        <v/>
      </c>
      <c r="AU35" s="97">
        <f>SUMPRODUCT(MMULT('M3'!$M35:$AZ35,'M1'!AU$10:AU$49))</f>
        <v/>
      </c>
      <c r="AV35" s="97">
        <f>SUMPRODUCT(MMULT('M3'!$M35:$AZ35,'M1'!AV$10:AV$49))</f>
        <v/>
      </c>
      <c r="AW35" s="97">
        <f>SUMPRODUCT(MMULT('M3'!$M35:$AZ35,'M1'!AW$10:AW$49))</f>
        <v/>
      </c>
      <c r="AX35" s="97">
        <f>SUMPRODUCT(MMULT('M3'!$M35:$AZ35,'M1'!AX$10:AX$49))</f>
        <v/>
      </c>
      <c r="AY35" s="97">
        <f>SUMPRODUCT(MMULT('M3'!$M35:$AZ35,'M1'!AY$10:AY$49))</f>
        <v/>
      </c>
      <c r="AZ35" s="97">
        <f>SUMPRODUCT(MMULT('M3'!$M35:$AZ35,'M1'!AZ$10:AZ$49))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SUMPRODUCT(MMULT('M3'!$M36:$AZ36,'M1'!M$10:M$49))</f>
        <v/>
      </c>
      <c r="N36" s="97">
        <f>SUMPRODUCT(MMULT('M3'!$M36:$AZ36,'M1'!N$10:N$49))</f>
        <v/>
      </c>
      <c r="O36" s="97">
        <f>SUMPRODUCT(MMULT('M3'!$M36:$AZ36,'M1'!O$10:O$49))</f>
        <v/>
      </c>
      <c r="P36" s="97">
        <f>SUMPRODUCT(MMULT('M3'!$M36:$AZ36,'M1'!P$10:P$49))</f>
        <v/>
      </c>
      <c r="Q36" s="97">
        <f>SUMPRODUCT(MMULT('M3'!$M36:$AZ36,'M1'!Q$10:Q$49))</f>
        <v/>
      </c>
      <c r="R36" s="97">
        <f>SUMPRODUCT(MMULT('M3'!$M36:$AZ36,'M1'!R$10:R$49))</f>
        <v/>
      </c>
      <c r="S36" s="97">
        <f>SUMPRODUCT(MMULT('M3'!$M36:$AZ36,'M1'!S$10:S$49))</f>
        <v/>
      </c>
      <c r="T36" s="97">
        <f>SUMPRODUCT(MMULT('M3'!$M36:$AZ36,'M1'!T$10:T$49))</f>
        <v/>
      </c>
      <c r="U36" s="97">
        <f>SUMPRODUCT(MMULT('M3'!$M36:$AZ36,'M1'!U$10:U$49))</f>
        <v/>
      </c>
      <c r="V36" s="97">
        <f>SUMPRODUCT(MMULT('M3'!$M36:$AZ36,'M1'!V$10:V$49))</f>
        <v/>
      </c>
      <c r="W36" s="97">
        <f>SUMPRODUCT(MMULT('M3'!$M36:$AZ36,'M1'!W$10:W$49))</f>
        <v/>
      </c>
      <c r="X36" s="97">
        <f>SUMPRODUCT(MMULT('M3'!$M36:$AZ36,'M1'!X$10:X$49))</f>
        <v/>
      </c>
      <c r="Y36" s="97">
        <f>SUMPRODUCT(MMULT('M3'!$M36:$AZ36,'M1'!Y$10:Y$49))</f>
        <v/>
      </c>
      <c r="Z36" s="97">
        <f>SUMPRODUCT(MMULT('M3'!$M36:$AZ36,'M1'!Z$10:Z$49))</f>
        <v/>
      </c>
      <c r="AA36" s="97">
        <f>SUMPRODUCT(MMULT('M3'!$M36:$AZ36,'M1'!AA$10:AA$49))</f>
        <v/>
      </c>
      <c r="AB36" s="97">
        <f>SUMPRODUCT(MMULT('M3'!$M36:$AZ36,'M1'!AB$10:AB$49))</f>
        <v/>
      </c>
      <c r="AC36" s="97">
        <f>SUMPRODUCT(MMULT('M3'!$M36:$AZ36,'M1'!AC$10:AC$49))</f>
        <v/>
      </c>
      <c r="AD36" s="97">
        <f>SUMPRODUCT(MMULT('M3'!$M36:$AZ36,'M1'!AD$10:AD$49))</f>
        <v/>
      </c>
      <c r="AE36" s="97">
        <f>SUMPRODUCT(MMULT('M3'!$M36:$AZ36,'M1'!AE$10:AE$49))</f>
        <v/>
      </c>
      <c r="AF36" s="97">
        <f>SUMPRODUCT(MMULT('M3'!$M36:$AZ36,'M1'!AF$10:AF$49))</f>
        <v/>
      </c>
      <c r="AG36" s="97">
        <f>SUMPRODUCT(MMULT('M3'!$M36:$AZ36,'M1'!AG$10:AG$49))</f>
        <v/>
      </c>
      <c r="AH36" s="97">
        <f>SUMPRODUCT(MMULT('M3'!$M36:$AZ36,'M1'!AH$10:AH$49))</f>
        <v/>
      </c>
      <c r="AI36" s="97">
        <f>SUMPRODUCT(MMULT('M3'!$M36:$AZ36,'M1'!AI$10:AI$49))</f>
        <v/>
      </c>
      <c r="AJ36" s="97">
        <f>SUMPRODUCT(MMULT('M3'!$M36:$AZ36,'M1'!AJ$10:AJ$49))</f>
        <v/>
      </c>
      <c r="AK36" s="97">
        <f>SUMPRODUCT(MMULT('M3'!$M36:$AZ36,'M1'!AK$10:AK$49))</f>
        <v/>
      </c>
      <c r="AL36" s="97">
        <f>SUMPRODUCT(MMULT('M3'!$M36:$AZ36,'M1'!AL$10:AL$49))</f>
        <v/>
      </c>
      <c r="AM36" s="97">
        <f>SUMPRODUCT(MMULT('M3'!$M36:$AZ36,'M1'!AM$10:AM$49))</f>
        <v/>
      </c>
      <c r="AN36" s="97">
        <f>SUMPRODUCT(MMULT('M3'!$M36:$AZ36,'M1'!AN$10:AN$49))</f>
        <v/>
      </c>
      <c r="AO36" s="97">
        <f>SUMPRODUCT(MMULT('M3'!$M36:$AZ36,'M1'!AO$10:AO$49))</f>
        <v/>
      </c>
      <c r="AP36" s="97">
        <f>SUMPRODUCT(MMULT('M3'!$M36:$AZ36,'M1'!AP$10:AP$49))</f>
        <v/>
      </c>
      <c r="AQ36" s="97">
        <f>SUMPRODUCT(MMULT('M3'!$M36:$AZ36,'M1'!AQ$10:AQ$49))</f>
        <v/>
      </c>
      <c r="AR36" s="97">
        <f>SUMPRODUCT(MMULT('M3'!$M36:$AZ36,'M1'!AR$10:AR$49))</f>
        <v/>
      </c>
      <c r="AS36" s="97">
        <f>SUMPRODUCT(MMULT('M3'!$M36:$AZ36,'M1'!AS$10:AS$49))</f>
        <v/>
      </c>
      <c r="AT36" s="97">
        <f>SUMPRODUCT(MMULT('M3'!$M36:$AZ36,'M1'!AT$10:AT$49))</f>
        <v/>
      </c>
      <c r="AU36" s="97">
        <f>SUMPRODUCT(MMULT('M3'!$M36:$AZ36,'M1'!AU$10:AU$49))</f>
        <v/>
      </c>
      <c r="AV36" s="97">
        <f>SUMPRODUCT(MMULT('M3'!$M36:$AZ36,'M1'!AV$10:AV$49))</f>
        <v/>
      </c>
      <c r="AW36" s="97">
        <f>SUMPRODUCT(MMULT('M3'!$M36:$AZ36,'M1'!AW$10:AW$49))</f>
        <v/>
      </c>
      <c r="AX36" s="97">
        <f>SUMPRODUCT(MMULT('M3'!$M36:$AZ36,'M1'!AX$10:AX$49))</f>
        <v/>
      </c>
      <c r="AY36" s="97">
        <f>SUMPRODUCT(MMULT('M3'!$M36:$AZ36,'M1'!AY$10:AY$49))</f>
        <v/>
      </c>
      <c r="AZ36" s="97">
        <f>SUMPRODUCT(MMULT('M3'!$M36:$AZ36,'M1'!AZ$10:AZ$49))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SUMPRODUCT(MMULT('M3'!$M37:$AZ37,'M1'!M$10:M$49))</f>
        <v/>
      </c>
      <c r="N37" s="97">
        <f>SUMPRODUCT(MMULT('M3'!$M37:$AZ37,'M1'!N$10:N$49))</f>
        <v/>
      </c>
      <c r="O37" s="97">
        <f>SUMPRODUCT(MMULT('M3'!$M37:$AZ37,'M1'!O$10:O$49))</f>
        <v/>
      </c>
      <c r="P37" s="97">
        <f>SUMPRODUCT(MMULT('M3'!$M37:$AZ37,'M1'!P$10:P$49))</f>
        <v/>
      </c>
      <c r="Q37" s="97">
        <f>SUMPRODUCT(MMULT('M3'!$M37:$AZ37,'M1'!Q$10:Q$49))</f>
        <v/>
      </c>
      <c r="R37" s="97">
        <f>SUMPRODUCT(MMULT('M3'!$M37:$AZ37,'M1'!R$10:R$49))</f>
        <v/>
      </c>
      <c r="S37" s="97">
        <f>SUMPRODUCT(MMULT('M3'!$M37:$AZ37,'M1'!S$10:S$49))</f>
        <v/>
      </c>
      <c r="T37" s="97">
        <f>SUMPRODUCT(MMULT('M3'!$M37:$AZ37,'M1'!T$10:T$49))</f>
        <v/>
      </c>
      <c r="U37" s="97">
        <f>SUMPRODUCT(MMULT('M3'!$M37:$AZ37,'M1'!U$10:U$49))</f>
        <v/>
      </c>
      <c r="V37" s="97">
        <f>SUMPRODUCT(MMULT('M3'!$M37:$AZ37,'M1'!V$10:V$49))</f>
        <v/>
      </c>
      <c r="W37" s="97">
        <f>SUMPRODUCT(MMULT('M3'!$M37:$AZ37,'M1'!W$10:W$49))</f>
        <v/>
      </c>
      <c r="X37" s="97">
        <f>SUMPRODUCT(MMULT('M3'!$M37:$AZ37,'M1'!X$10:X$49))</f>
        <v/>
      </c>
      <c r="Y37" s="97">
        <f>SUMPRODUCT(MMULT('M3'!$M37:$AZ37,'M1'!Y$10:Y$49))</f>
        <v/>
      </c>
      <c r="Z37" s="97">
        <f>SUMPRODUCT(MMULT('M3'!$M37:$AZ37,'M1'!Z$10:Z$49))</f>
        <v/>
      </c>
      <c r="AA37" s="97">
        <f>SUMPRODUCT(MMULT('M3'!$M37:$AZ37,'M1'!AA$10:AA$49))</f>
        <v/>
      </c>
      <c r="AB37" s="97">
        <f>SUMPRODUCT(MMULT('M3'!$M37:$AZ37,'M1'!AB$10:AB$49))</f>
        <v/>
      </c>
      <c r="AC37" s="97">
        <f>SUMPRODUCT(MMULT('M3'!$M37:$AZ37,'M1'!AC$10:AC$49))</f>
        <v/>
      </c>
      <c r="AD37" s="97">
        <f>SUMPRODUCT(MMULT('M3'!$M37:$AZ37,'M1'!AD$10:AD$49))</f>
        <v/>
      </c>
      <c r="AE37" s="97">
        <f>SUMPRODUCT(MMULT('M3'!$M37:$AZ37,'M1'!AE$10:AE$49))</f>
        <v/>
      </c>
      <c r="AF37" s="97">
        <f>SUMPRODUCT(MMULT('M3'!$M37:$AZ37,'M1'!AF$10:AF$49))</f>
        <v/>
      </c>
      <c r="AG37" s="97">
        <f>SUMPRODUCT(MMULT('M3'!$M37:$AZ37,'M1'!AG$10:AG$49))</f>
        <v/>
      </c>
      <c r="AH37" s="97">
        <f>SUMPRODUCT(MMULT('M3'!$M37:$AZ37,'M1'!AH$10:AH$49))</f>
        <v/>
      </c>
      <c r="AI37" s="97">
        <f>SUMPRODUCT(MMULT('M3'!$M37:$AZ37,'M1'!AI$10:AI$49))</f>
        <v/>
      </c>
      <c r="AJ37" s="97">
        <f>SUMPRODUCT(MMULT('M3'!$M37:$AZ37,'M1'!AJ$10:AJ$49))</f>
        <v/>
      </c>
      <c r="AK37" s="97">
        <f>SUMPRODUCT(MMULT('M3'!$M37:$AZ37,'M1'!AK$10:AK$49))</f>
        <v/>
      </c>
      <c r="AL37" s="97">
        <f>SUMPRODUCT(MMULT('M3'!$M37:$AZ37,'M1'!AL$10:AL$49))</f>
        <v/>
      </c>
      <c r="AM37" s="97">
        <f>SUMPRODUCT(MMULT('M3'!$M37:$AZ37,'M1'!AM$10:AM$49))</f>
        <v/>
      </c>
      <c r="AN37" s="97">
        <f>SUMPRODUCT(MMULT('M3'!$M37:$AZ37,'M1'!AN$10:AN$49))</f>
        <v/>
      </c>
      <c r="AO37" s="97">
        <f>SUMPRODUCT(MMULT('M3'!$M37:$AZ37,'M1'!AO$10:AO$49))</f>
        <v/>
      </c>
      <c r="AP37" s="97">
        <f>SUMPRODUCT(MMULT('M3'!$M37:$AZ37,'M1'!AP$10:AP$49))</f>
        <v/>
      </c>
      <c r="AQ37" s="97">
        <f>SUMPRODUCT(MMULT('M3'!$M37:$AZ37,'M1'!AQ$10:AQ$49))</f>
        <v/>
      </c>
      <c r="AR37" s="97">
        <f>SUMPRODUCT(MMULT('M3'!$M37:$AZ37,'M1'!AR$10:AR$49))</f>
        <v/>
      </c>
      <c r="AS37" s="97">
        <f>SUMPRODUCT(MMULT('M3'!$M37:$AZ37,'M1'!AS$10:AS$49))</f>
        <v/>
      </c>
      <c r="AT37" s="97">
        <f>SUMPRODUCT(MMULT('M3'!$M37:$AZ37,'M1'!AT$10:AT$49))</f>
        <v/>
      </c>
      <c r="AU37" s="97">
        <f>SUMPRODUCT(MMULT('M3'!$M37:$AZ37,'M1'!AU$10:AU$49))</f>
        <v/>
      </c>
      <c r="AV37" s="97">
        <f>SUMPRODUCT(MMULT('M3'!$M37:$AZ37,'M1'!AV$10:AV$49))</f>
        <v/>
      </c>
      <c r="AW37" s="97">
        <f>SUMPRODUCT(MMULT('M3'!$M37:$AZ37,'M1'!AW$10:AW$49))</f>
        <v/>
      </c>
      <c r="AX37" s="97">
        <f>SUMPRODUCT(MMULT('M3'!$M37:$AZ37,'M1'!AX$10:AX$49))</f>
        <v/>
      </c>
      <c r="AY37" s="97">
        <f>SUMPRODUCT(MMULT('M3'!$M37:$AZ37,'M1'!AY$10:AY$49))</f>
        <v/>
      </c>
      <c r="AZ37" s="97">
        <f>SUMPRODUCT(MMULT('M3'!$M37:$AZ37,'M1'!AZ$10:AZ$49))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SUMPRODUCT(MMULT('M3'!$M38:$AZ38,'M1'!M$10:M$49))</f>
        <v/>
      </c>
      <c r="N38" s="97">
        <f>SUMPRODUCT(MMULT('M3'!$M38:$AZ38,'M1'!N$10:N$49))</f>
        <v/>
      </c>
      <c r="O38" s="97">
        <f>SUMPRODUCT(MMULT('M3'!$M38:$AZ38,'M1'!O$10:O$49))</f>
        <v/>
      </c>
      <c r="P38" s="97">
        <f>SUMPRODUCT(MMULT('M3'!$M38:$AZ38,'M1'!P$10:P$49))</f>
        <v/>
      </c>
      <c r="Q38" s="97">
        <f>SUMPRODUCT(MMULT('M3'!$M38:$AZ38,'M1'!Q$10:Q$49))</f>
        <v/>
      </c>
      <c r="R38" s="97">
        <f>SUMPRODUCT(MMULT('M3'!$M38:$AZ38,'M1'!R$10:R$49))</f>
        <v/>
      </c>
      <c r="S38" s="97">
        <f>SUMPRODUCT(MMULT('M3'!$M38:$AZ38,'M1'!S$10:S$49))</f>
        <v/>
      </c>
      <c r="T38" s="97">
        <f>SUMPRODUCT(MMULT('M3'!$M38:$AZ38,'M1'!T$10:T$49))</f>
        <v/>
      </c>
      <c r="U38" s="97">
        <f>SUMPRODUCT(MMULT('M3'!$M38:$AZ38,'M1'!U$10:U$49))</f>
        <v/>
      </c>
      <c r="V38" s="97">
        <f>SUMPRODUCT(MMULT('M3'!$M38:$AZ38,'M1'!V$10:V$49))</f>
        <v/>
      </c>
      <c r="W38" s="97">
        <f>SUMPRODUCT(MMULT('M3'!$M38:$AZ38,'M1'!W$10:W$49))</f>
        <v/>
      </c>
      <c r="X38" s="97">
        <f>SUMPRODUCT(MMULT('M3'!$M38:$AZ38,'M1'!X$10:X$49))</f>
        <v/>
      </c>
      <c r="Y38" s="97">
        <f>SUMPRODUCT(MMULT('M3'!$M38:$AZ38,'M1'!Y$10:Y$49))</f>
        <v/>
      </c>
      <c r="Z38" s="97">
        <f>SUMPRODUCT(MMULT('M3'!$M38:$AZ38,'M1'!Z$10:Z$49))</f>
        <v/>
      </c>
      <c r="AA38" s="97">
        <f>SUMPRODUCT(MMULT('M3'!$M38:$AZ38,'M1'!AA$10:AA$49))</f>
        <v/>
      </c>
      <c r="AB38" s="97">
        <f>SUMPRODUCT(MMULT('M3'!$M38:$AZ38,'M1'!AB$10:AB$49))</f>
        <v/>
      </c>
      <c r="AC38" s="97">
        <f>SUMPRODUCT(MMULT('M3'!$M38:$AZ38,'M1'!AC$10:AC$49))</f>
        <v/>
      </c>
      <c r="AD38" s="97">
        <f>SUMPRODUCT(MMULT('M3'!$M38:$AZ38,'M1'!AD$10:AD$49))</f>
        <v/>
      </c>
      <c r="AE38" s="97">
        <f>SUMPRODUCT(MMULT('M3'!$M38:$AZ38,'M1'!AE$10:AE$49))</f>
        <v/>
      </c>
      <c r="AF38" s="97">
        <f>SUMPRODUCT(MMULT('M3'!$M38:$AZ38,'M1'!AF$10:AF$49))</f>
        <v/>
      </c>
      <c r="AG38" s="97">
        <f>SUMPRODUCT(MMULT('M3'!$M38:$AZ38,'M1'!AG$10:AG$49))</f>
        <v/>
      </c>
      <c r="AH38" s="97">
        <f>SUMPRODUCT(MMULT('M3'!$M38:$AZ38,'M1'!AH$10:AH$49))</f>
        <v/>
      </c>
      <c r="AI38" s="97">
        <f>SUMPRODUCT(MMULT('M3'!$M38:$AZ38,'M1'!AI$10:AI$49))</f>
        <v/>
      </c>
      <c r="AJ38" s="97">
        <f>SUMPRODUCT(MMULT('M3'!$M38:$AZ38,'M1'!AJ$10:AJ$49))</f>
        <v/>
      </c>
      <c r="AK38" s="97">
        <f>SUMPRODUCT(MMULT('M3'!$M38:$AZ38,'M1'!AK$10:AK$49))</f>
        <v/>
      </c>
      <c r="AL38" s="97">
        <f>SUMPRODUCT(MMULT('M3'!$M38:$AZ38,'M1'!AL$10:AL$49))</f>
        <v/>
      </c>
      <c r="AM38" s="97">
        <f>SUMPRODUCT(MMULT('M3'!$M38:$AZ38,'M1'!AM$10:AM$49))</f>
        <v/>
      </c>
      <c r="AN38" s="97">
        <f>SUMPRODUCT(MMULT('M3'!$M38:$AZ38,'M1'!AN$10:AN$49))</f>
        <v/>
      </c>
      <c r="AO38" s="97">
        <f>SUMPRODUCT(MMULT('M3'!$M38:$AZ38,'M1'!AO$10:AO$49))</f>
        <v/>
      </c>
      <c r="AP38" s="97">
        <f>SUMPRODUCT(MMULT('M3'!$M38:$AZ38,'M1'!AP$10:AP$49))</f>
        <v/>
      </c>
      <c r="AQ38" s="97">
        <f>SUMPRODUCT(MMULT('M3'!$M38:$AZ38,'M1'!AQ$10:AQ$49))</f>
        <v/>
      </c>
      <c r="AR38" s="97">
        <f>SUMPRODUCT(MMULT('M3'!$M38:$AZ38,'M1'!AR$10:AR$49))</f>
        <v/>
      </c>
      <c r="AS38" s="97">
        <f>SUMPRODUCT(MMULT('M3'!$M38:$AZ38,'M1'!AS$10:AS$49))</f>
        <v/>
      </c>
      <c r="AT38" s="97">
        <f>SUMPRODUCT(MMULT('M3'!$M38:$AZ38,'M1'!AT$10:AT$49))</f>
        <v/>
      </c>
      <c r="AU38" s="97">
        <f>SUMPRODUCT(MMULT('M3'!$M38:$AZ38,'M1'!AU$10:AU$49))</f>
        <v/>
      </c>
      <c r="AV38" s="97">
        <f>SUMPRODUCT(MMULT('M3'!$M38:$AZ38,'M1'!AV$10:AV$49))</f>
        <v/>
      </c>
      <c r="AW38" s="97">
        <f>SUMPRODUCT(MMULT('M3'!$M38:$AZ38,'M1'!AW$10:AW$49))</f>
        <v/>
      </c>
      <c r="AX38" s="97">
        <f>SUMPRODUCT(MMULT('M3'!$M38:$AZ38,'M1'!AX$10:AX$49))</f>
        <v/>
      </c>
      <c r="AY38" s="97">
        <f>SUMPRODUCT(MMULT('M3'!$M38:$AZ38,'M1'!AY$10:AY$49))</f>
        <v/>
      </c>
      <c r="AZ38" s="97">
        <f>SUMPRODUCT(MMULT('M3'!$M38:$AZ38,'M1'!AZ$10:AZ$49))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SUMPRODUCT(MMULT('M3'!$M39:$AZ39,'M1'!M$10:M$49))</f>
        <v/>
      </c>
      <c r="N39" s="97">
        <f>SUMPRODUCT(MMULT('M3'!$M39:$AZ39,'M1'!N$10:N$49))</f>
        <v/>
      </c>
      <c r="O39" s="97">
        <f>SUMPRODUCT(MMULT('M3'!$M39:$AZ39,'M1'!O$10:O$49))</f>
        <v/>
      </c>
      <c r="P39" s="97">
        <f>SUMPRODUCT(MMULT('M3'!$M39:$AZ39,'M1'!P$10:P$49))</f>
        <v/>
      </c>
      <c r="Q39" s="97">
        <f>SUMPRODUCT(MMULT('M3'!$M39:$AZ39,'M1'!Q$10:Q$49))</f>
        <v/>
      </c>
      <c r="R39" s="97">
        <f>SUMPRODUCT(MMULT('M3'!$M39:$AZ39,'M1'!R$10:R$49))</f>
        <v/>
      </c>
      <c r="S39" s="97">
        <f>SUMPRODUCT(MMULT('M3'!$M39:$AZ39,'M1'!S$10:S$49))</f>
        <v/>
      </c>
      <c r="T39" s="97">
        <f>SUMPRODUCT(MMULT('M3'!$M39:$AZ39,'M1'!T$10:T$49))</f>
        <v/>
      </c>
      <c r="U39" s="97">
        <f>SUMPRODUCT(MMULT('M3'!$M39:$AZ39,'M1'!U$10:U$49))</f>
        <v/>
      </c>
      <c r="V39" s="97">
        <f>SUMPRODUCT(MMULT('M3'!$M39:$AZ39,'M1'!V$10:V$49))</f>
        <v/>
      </c>
      <c r="W39" s="97">
        <f>SUMPRODUCT(MMULT('M3'!$M39:$AZ39,'M1'!W$10:W$49))</f>
        <v/>
      </c>
      <c r="X39" s="97">
        <f>SUMPRODUCT(MMULT('M3'!$M39:$AZ39,'M1'!X$10:X$49))</f>
        <v/>
      </c>
      <c r="Y39" s="97">
        <f>SUMPRODUCT(MMULT('M3'!$M39:$AZ39,'M1'!Y$10:Y$49))</f>
        <v/>
      </c>
      <c r="Z39" s="97">
        <f>SUMPRODUCT(MMULT('M3'!$M39:$AZ39,'M1'!Z$10:Z$49))</f>
        <v/>
      </c>
      <c r="AA39" s="97">
        <f>SUMPRODUCT(MMULT('M3'!$M39:$AZ39,'M1'!AA$10:AA$49))</f>
        <v/>
      </c>
      <c r="AB39" s="97">
        <f>SUMPRODUCT(MMULT('M3'!$M39:$AZ39,'M1'!AB$10:AB$49))</f>
        <v/>
      </c>
      <c r="AC39" s="97">
        <f>SUMPRODUCT(MMULT('M3'!$M39:$AZ39,'M1'!AC$10:AC$49))</f>
        <v/>
      </c>
      <c r="AD39" s="97">
        <f>SUMPRODUCT(MMULT('M3'!$M39:$AZ39,'M1'!AD$10:AD$49))</f>
        <v/>
      </c>
      <c r="AE39" s="97">
        <f>SUMPRODUCT(MMULT('M3'!$M39:$AZ39,'M1'!AE$10:AE$49))</f>
        <v/>
      </c>
      <c r="AF39" s="97">
        <f>SUMPRODUCT(MMULT('M3'!$M39:$AZ39,'M1'!AF$10:AF$49))</f>
        <v/>
      </c>
      <c r="AG39" s="97">
        <f>SUMPRODUCT(MMULT('M3'!$M39:$AZ39,'M1'!AG$10:AG$49))</f>
        <v/>
      </c>
      <c r="AH39" s="97">
        <f>SUMPRODUCT(MMULT('M3'!$M39:$AZ39,'M1'!AH$10:AH$49))</f>
        <v/>
      </c>
      <c r="AI39" s="97">
        <f>SUMPRODUCT(MMULT('M3'!$M39:$AZ39,'M1'!AI$10:AI$49))</f>
        <v/>
      </c>
      <c r="AJ39" s="97">
        <f>SUMPRODUCT(MMULT('M3'!$M39:$AZ39,'M1'!AJ$10:AJ$49))</f>
        <v/>
      </c>
      <c r="AK39" s="97">
        <f>SUMPRODUCT(MMULT('M3'!$M39:$AZ39,'M1'!AK$10:AK$49))</f>
        <v/>
      </c>
      <c r="AL39" s="97">
        <f>SUMPRODUCT(MMULT('M3'!$M39:$AZ39,'M1'!AL$10:AL$49))</f>
        <v/>
      </c>
      <c r="AM39" s="97">
        <f>SUMPRODUCT(MMULT('M3'!$M39:$AZ39,'M1'!AM$10:AM$49))</f>
        <v/>
      </c>
      <c r="AN39" s="97">
        <f>SUMPRODUCT(MMULT('M3'!$M39:$AZ39,'M1'!AN$10:AN$49))</f>
        <v/>
      </c>
      <c r="AO39" s="97">
        <f>SUMPRODUCT(MMULT('M3'!$M39:$AZ39,'M1'!AO$10:AO$49))</f>
        <v/>
      </c>
      <c r="AP39" s="97">
        <f>SUMPRODUCT(MMULT('M3'!$M39:$AZ39,'M1'!AP$10:AP$49))</f>
        <v/>
      </c>
      <c r="AQ39" s="97">
        <f>SUMPRODUCT(MMULT('M3'!$M39:$AZ39,'M1'!AQ$10:AQ$49))</f>
        <v/>
      </c>
      <c r="AR39" s="97">
        <f>SUMPRODUCT(MMULT('M3'!$M39:$AZ39,'M1'!AR$10:AR$49))</f>
        <v/>
      </c>
      <c r="AS39" s="97">
        <f>SUMPRODUCT(MMULT('M3'!$M39:$AZ39,'M1'!AS$10:AS$49))</f>
        <v/>
      </c>
      <c r="AT39" s="97">
        <f>SUMPRODUCT(MMULT('M3'!$M39:$AZ39,'M1'!AT$10:AT$49))</f>
        <v/>
      </c>
      <c r="AU39" s="97">
        <f>SUMPRODUCT(MMULT('M3'!$M39:$AZ39,'M1'!AU$10:AU$49))</f>
        <v/>
      </c>
      <c r="AV39" s="97">
        <f>SUMPRODUCT(MMULT('M3'!$M39:$AZ39,'M1'!AV$10:AV$49))</f>
        <v/>
      </c>
      <c r="AW39" s="97">
        <f>SUMPRODUCT(MMULT('M3'!$M39:$AZ39,'M1'!AW$10:AW$49))</f>
        <v/>
      </c>
      <c r="AX39" s="97">
        <f>SUMPRODUCT(MMULT('M3'!$M39:$AZ39,'M1'!AX$10:AX$49))</f>
        <v/>
      </c>
      <c r="AY39" s="97">
        <f>SUMPRODUCT(MMULT('M3'!$M39:$AZ39,'M1'!AY$10:AY$49))</f>
        <v/>
      </c>
      <c r="AZ39" s="97">
        <f>SUMPRODUCT(MMULT('M3'!$M39:$AZ39,'M1'!AZ$10:AZ$49))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SUMPRODUCT(MMULT('M3'!$M40:$AZ40,'M1'!M$10:M$49))</f>
        <v/>
      </c>
      <c r="N40" s="97">
        <f>SUMPRODUCT(MMULT('M3'!$M40:$AZ40,'M1'!N$10:N$49))</f>
        <v/>
      </c>
      <c r="O40" s="97">
        <f>SUMPRODUCT(MMULT('M3'!$M40:$AZ40,'M1'!O$10:O$49))</f>
        <v/>
      </c>
      <c r="P40" s="97">
        <f>SUMPRODUCT(MMULT('M3'!$M40:$AZ40,'M1'!P$10:P$49))</f>
        <v/>
      </c>
      <c r="Q40" s="97">
        <f>SUMPRODUCT(MMULT('M3'!$M40:$AZ40,'M1'!Q$10:Q$49))</f>
        <v/>
      </c>
      <c r="R40" s="97">
        <f>SUMPRODUCT(MMULT('M3'!$M40:$AZ40,'M1'!R$10:R$49))</f>
        <v/>
      </c>
      <c r="S40" s="97">
        <f>SUMPRODUCT(MMULT('M3'!$M40:$AZ40,'M1'!S$10:S$49))</f>
        <v/>
      </c>
      <c r="T40" s="97">
        <f>SUMPRODUCT(MMULT('M3'!$M40:$AZ40,'M1'!T$10:T$49))</f>
        <v/>
      </c>
      <c r="U40" s="97">
        <f>SUMPRODUCT(MMULT('M3'!$M40:$AZ40,'M1'!U$10:U$49))</f>
        <v/>
      </c>
      <c r="V40" s="97">
        <f>SUMPRODUCT(MMULT('M3'!$M40:$AZ40,'M1'!V$10:V$49))</f>
        <v/>
      </c>
      <c r="W40" s="97">
        <f>SUMPRODUCT(MMULT('M3'!$M40:$AZ40,'M1'!W$10:W$49))</f>
        <v/>
      </c>
      <c r="X40" s="97">
        <f>SUMPRODUCT(MMULT('M3'!$M40:$AZ40,'M1'!X$10:X$49))</f>
        <v/>
      </c>
      <c r="Y40" s="97">
        <f>SUMPRODUCT(MMULT('M3'!$M40:$AZ40,'M1'!Y$10:Y$49))</f>
        <v/>
      </c>
      <c r="Z40" s="97">
        <f>SUMPRODUCT(MMULT('M3'!$M40:$AZ40,'M1'!Z$10:Z$49))</f>
        <v/>
      </c>
      <c r="AA40" s="97">
        <f>SUMPRODUCT(MMULT('M3'!$M40:$AZ40,'M1'!AA$10:AA$49))</f>
        <v/>
      </c>
      <c r="AB40" s="97">
        <f>SUMPRODUCT(MMULT('M3'!$M40:$AZ40,'M1'!AB$10:AB$49))</f>
        <v/>
      </c>
      <c r="AC40" s="97">
        <f>SUMPRODUCT(MMULT('M3'!$M40:$AZ40,'M1'!AC$10:AC$49))</f>
        <v/>
      </c>
      <c r="AD40" s="97">
        <f>SUMPRODUCT(MMULT('M3'!$M40:$AZ40,'M1'!AD$10:AD$49))</f>
        <v/>
      </c>
      <c r="AE40" s="97">
        <f>SUMPRODUCT(MMULT('M3'!$M40:$AZ40,'M1'!AE$10:AE$49))</f>
        <v/>
      </c>
      <c r="AF40" s="97">
        <f>SUMPRODUCT(MMULT('M3'!$M40:$AZ40,'M1'!AF$10:AF$49))</f>
        <v/>
      </c>
      <c r="AG40" s="97">
        <f>SUMPRODUCT(MMULT('M3'!$M40:$AZ40,'M1'!AG$10:AG$49))</f>
        <v/>
      </c>
      <c r="AH40" s="97">
        <f>SUMPRODUCT(MMULT('M3'!$M40:$AZ40,'M1'!AH$10:AH$49))</f>
        <v/>
      </c>
      <c r="AI40" s="97">
        <f>SUMPRODUCT(MMULT('M3'!$M40:$AZ40,'M1'!AI$10:AI$49))</f>
        <v/>
      </c>
      <c r="AJ40" s="97">
        <f>SUMPRODUCT(MMULT('M3'!$M40:$AZ40,'M1'!AJ$10:AJ$49))</f>
        <v/>
      </c>
      <c r="AK40" s="97">
        <f>SUMPRODUCT(MMULT('M3'!$M40:$AZ40,'M1'!AK$10:AK$49))</f>
        <v/>
      </c>
      <c r="AL40" s="97">
        <f>SUMPRODUCT(MMULT('M3'!$M40:$AZ40,'M1'!AL$10:AL$49))</f>
        <v/>
      </c>
      <c r="AM40" s="97">
        <f>SUMPRODUCT(MMULT('M3'!$M40:$AZ40,'M1'!AM$10:AM$49))</f>
        <v/>
      </c>
      <c r="AN40" s="97">
        <f>SUMPRODUCT(MMULT('M3'!$M40:$AZ40,'M1'!AN$10:AN$49))</f>
        <v/>
      </c>
      <c r="AO40" s="97">
        <f>SUMPRODUCT(MMULT('M3'!$M40:$AZ40,'M1'!AO$10:AO$49))</f>
        <v/>
      </c>
      <c r="AP40" s="97">
        <f>SUMPRODUCT(MMULT('M3'!$M40:$AZ40,'M1'!AP$10:AP$49))</f>
        <v/>
      </c>
      <c r="AQ40" s="97">
        <f>SUMPRODUCT(MMULT('M3'!$M40:$AZ40,'M1'!AQ$10:AQ$49))</f>
        <v/>
      </c>
      <c r="AR40" s="97">
        <f>SUMPRODUCT(MMULT('M3'!$M40:$AZ40,'M1'!AR$10:AR$49))</f>
        <v/>
      </c>
      <c r="AS40" s="97">
        <f>SUMPRODUCT(MMULT('M3'!$M40:$AZ40,'M1'!AS$10:AS$49))</f>
        <v/>
      </c>
      <c r="AT40" s="97">
        <f>SUMPRODUCT(MMULT('M3'!$M40:$AZ40,'M1'!AT$10:AT$49))</f>
        <v/>
      </c>
      <c r="AU40" s="97">
        <f>SUMPRODUCT(MMULT('M3'!$M40:$AZ40,'M1'!AU$10:AU$49))</f>
        <v/>
      </c>
      <c r="AV40" s="97">
        <f>SUMPRODUCT(MMULT('M3'!$M40:$AZ40,'M1'!AV$10:AV$49))</f>
        <v/>
      </c>
      <c r="AW40" s="97">
        <f>SUMPRODUCT(MMULT('M3'!$M40:$AZ40,'M1'!AW$10:AW$49))</f>
        <v/>
      </c>
      <c r="AX40" s="97">
        <f>SUMPRODUCT(MMULT('M3'!$M40:$AZ40,'M1'!AX$10:AX$49))</f>
        <v/>
      </c>
      <c r="AY40" s="97">
        <f>SUMPRODUCT(MMULT('M3'!$M40:$AZ40,'M1'!AY$10:AY$49))</f>
        <v/>
      </c>
      <c r="AZ40" s="97">
        <f>SUMPRODUCT(MMULT('M3'!$M40:$AZ40,'M1'!AZ$10:AZ$49))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SUMPRODUCT(MMULT('M3'!$M41:$AZ41,'M1'!M$10:M$49))</f>
        <v/>
      </c>
      <c r="N41" s="97">
        <f>SUMPRODUCT(MMULT('M3'!$M41:$AZ41,'M1'!N$10:N$49))</f>
        <v/>
      </c>
      <c r="O41" s="97">
        <f>SUMPRODUCT(MMULT('M3'!$M41:$AZ41,'M1'!O$10:O$49))</f>
        <v/>
      </c>
      <c r="P41" s="97">
        <f>SUMPRODUCT(MMULT('M3'!$M41:$AZ41,'M1'!P$10:P$49))</f>
        <v/>
      </c>
      <c r="Q41" s="97">
        <f>SUMPRODUCT(MMULT('M3'!$M41:$AZ41,'M1'!Q$10:Q$49))</f>
        <v/>
      </c>
      <c r="R41" s="97">
        <f>SUMPRODUCT(MMULT('M3'!$M41:$AZ41,'M1'!R$10:R$49))</f>
        <v/>
      </c>
      <c r="S41" s="97">
        <f>SUMPRODUCT(MMULT('M3'!$M41:$AZ41,'M1'!S$10:S$49))</f>
        <v/>
      </c>
      <c r="T41" s="97">
        <f>SUMPRODUCT(MMULT('M3'!$M41:$AZ41,'M1'!T$10:T$49))</f>
        <v/>
      </c>
      <c r="U41" s="97">
        <f>SUMPRODUCT(MMULT('M3'!$M41:$AZ41,'M1'!U$10:U$49))</f>
        <v/>
      </c>
      <c r="V41" s="97">
        <f>SUMPRODUCT(MMULT('M3'!$M41:$AZ41,'M1'!V$10:V$49))</f>
        <v/>
      </c>
      <c r="W41" s="97">
        <f>SUMPRODUCT(MMULT('M3'!$M41:$AZ41,'M1'!W$10:W$49))</f>
        <v/>
      </c>
      <c r="X41" s="97">
        <f>SUMPRODUCT(MMULT('M3'!$M41:$AZ41,'M1'!X$10:X$49))</f>
        <v/>
      </c>
      <c r="Y41" s="97">
        <f>SUMPRODUCT(MMULT('M3'!$M41:$AZ41,'M1'!Y$10:Y$49))</f>
        <v/>
      </c>
      <c r="Z41" s="97">
        <f>SUMPRODUCT(MMULT('M3'!$M41:$AZ41,'M1'!Z$10:Z$49))</f>
        <v/>
      </c>
      <c r="AA41" s="97">
        <f>SUMPRODUCT(MMULT('M3'!$M41:$AZ41,'M1'!AA$10:AA$49))</f>
        <v/>
      </c>
      <c r="AB41" s="97">
        <f>SUMPRODUCT(MMULT('M3'!$M41:$AZ41,'M1'!AB$10:AB$49))</f>
        <v/>
      </c>
      <c r="AC41" s="97">
        <f>SUMPRODUCT(MMULT('M3'!$M41:$AZ41,'M1'!AC$10:AC$49))</f>
        <v/>
      </c>
      <c r="AD41" s="97">
        <f>SUMPRODUCT(MMULT('M3'!$M41:$AZ41,'M1'!AD$10:AD$49))</f>
        <v/>
      </c>
      <c r="AE41" s="97">
        <f>SUMPRODUCT(MMULT('M3'!$M41:$AZ41,'M1'!AE$10:AE$49))</f>
        <v/>
      </c>
      <c r="AF41" s="97">
        <f>SUMPRODUCT(MMULT('M3'!$M41:$AZ41,'M1'!AF$10:AF$49))</f>
        <v/>
      </c>
      <c r="AG41" s="97">
        <f>SUMPRODUCT(MMULT('M3'!$M41:$AZ41,'M1'!AG$10:AG$49))</f>
        <v/>
      </c>
      <c r="AH41" s="97">
        <f>SUMPRODUCT(MMULT('M3'!$M41:$AZ41,'M1'!AH$10:AH$49))</f>
        <v/>
      </c>
      <c r="AI41" s="97">
        <f>SUMPRODUCT(MMULT('M3'!$M41:$AZ41,'M1'!AI$10:AI$49))</f>
        <v/>
      </c>
      <c r="AJ41" s="97">
        <f>SUMPRODUCT(MMULT('M3'!$M41:$AZ41,'M1'!AJ$10:AJ$49))</f>
        <v/>
      </c>
      <c r="AK41" s="97">
        <f>SUMPRODUCT(MMULT('M3'!$M41:$AZ41,'M1'!AK$10:AK$49))</f>
        <v/>
      </c>
      <c r="AL41" s="97">
        <f>SUMPRODUCT(MMULT('M3'!$M41:$AZ41,'M1'!AL$10:AL$49))</f>
        <v/>
      </c>
      <c r="AM41" s="97">
        <f>SUMPRODUCT(MMULT('M3'!$M41:$AZ41,'M1'!AM$10:AM$49))</f>
        <v/>
      </c>
      <c r="AN41" s="97">
        <f>SUMPRODUCT(MMULT('M3'!$M41:$AZ41,'M1'!AN$10:AN$49))</f>
        <v/>
      </c>
      <c r="AO41" s="97">
        <f>SUMPRODUCT(MMULT('M3'!$M41:$AZ41,'M1'!AO$10:AO$49))</f>
        <v/>
      </c>
      <c r="AP41" s="97">
        <f>SUMPRODUCT(MMULT('M3'!$M41:$AZ41,'M1'!AP$10:AP$49))</f>
        <v/>
      </c>
      <c r="AQ41" s="97">
        <f>SUMPRODUCT(MMULT('M3'!$M41:$AZ41,'M1'!AQ$10:AQ$49))</f>
        <v/>
      </c>
      <c r="AR41" s="97">
        <f>SUMPRODUCT(MMULT('M3'!$M41:$AZ41,'M1'!AR$10:AR$49))</f>
        <v/>
      </c>
      <c r="AS41" s="97">
        <f>SUMPRODUCT(MMULT('M3'!$M41:$AZ41,'M1'!AS$10:AS$49))</f>
        <v/>
      </c>
      <c r="AT41" s="97">
        <f>SUMPRODUCT(MMULT('M3'!$M41:$AZ41,'M1'!AT$10:AT$49))</f>
        <v/>
      </c>
      <c r="AU41" s="97">
        <f>SUMPRODUCT(MMULT('M3'!$M41:$AZ41,'M1'!AU$10:AU$49))</f>
        <v/>
      </c>
      <c r="AV41" s="97">
        <f>SUMPRODUCT(MMULT('M3'!$M41:$AZ41,'M1'!AV$10:AV$49))</f>
        <v/>
      </c>
      <c r="AW41" s="97">
        <f>SUMPRODUCT(MMULT('M3'!$M41:$AZ41,'M1'!AW$10:AW$49))</f>
        <v/>
      </c>
      <c r="AX41" s="97">
        <f>SUMPRODUCT(MMULT('M3'!$M41:$AZ41,'M1'!AX$10:AX$49))</f>
        <v/>
      </c>
      <c r="AY41" s="97">
        <f>SUMPRODUCT(MMULT('M3'!$M41:$AZ41,'M1'!AY$10:AY$49))</f>
        <v/>
      </c>
      <c r="AZ41" s="97">
        <f>SUMPRODUCT(MMULT('M3'!$M41:$AZ41,'M1'!AZ$10:AZ$49))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SUMPRODUCT(MMULT('M3'!$M42:$AZ42,'M1'!M$10:M$49))</f>
        <v/>
      </c>
      <c r="N42" s="97">
        <f>SUMPRODUCT(MMULT('M3'!$M42:$AZ42,'M1'!N$10:N$49))</f>
        <v/>
      </c>
      <c r="O42" s="97">
        <f>SUMPRODUCT(MMULT('M3'!$M42:$AZ42,'M1'!O$10:O$49))</f>
        <v/>
      </c>
      <c r="P42" s="97">
        <f>SUMPRODUCT(MMULT('M3'!$M42:$AZ42,'M1'!P$10:P$49))</f>
        <v/>
      </c>
      <c r="Q42" s="97">
        <f>SUMPRODUCT(MMULT('M3'!$M42:$AZ42,'M1'!Q$10:Q$49))</f>
        <v/>
      </c>
      <c r="R42" s="97">
        <f>SUMPRODUCT(MMULT('M3'!$M42:$AZ42,'M1'!R$10:R$49))</f>
        <v/>
      </c>
      <c r="S42" s="97">
        <f>SUMPRODUCT(MMULT('M3'!$M42:$AZ42,'M1'!S$10:S$49))</f>
        <v/>
      </c>
      <c r="T42" s="97">
        <f>SUMPRODUCT(MMULT('M3'!$M42:$AZ42,'M1'!T$10:T$49))</f>
        <v/>
      </c>
      <c r="U42" s="97">
        <f>SUMPRODUCT(MMULT('M3'!$M42:$AZ42,'M1'!U$10:U$49))</f>
        <v/>
      </c>
      <c r="V42" s="97">
        <f>SUMPRODUCT(MMULT('M3'!$M42:$AZ42,'M1'!V$10:V$49))</f>
        <v/>
      </c>
      <c r="W42" s="97">
        <f>SUMPRODUCT(MMULT('M3'!$M42:$AZ42,'M1'!W$10:W$49))</f>
        <v/>
      </c>
      <c r="X42" s="97">
        <f>SUMPRODUCT(MMULT('M3'!$M42:$AZ42,'M1'!X$10:X$49))</f>
        <v/>
      </c>
      <c r="Y42" s="97">
        <f>SUMPRODUCT(MMULT('M3'!$M42:$AZ42,'M1'!Y$10:Y$49))</f>
        <v/>
      </c>
      <c r="Z42" s="97">
        <f>SUMPRODUCT(MMULT('M3'!$M42:$AZ42,'M1'!Z$10:Z$49))</f>
        <v/>
      </c>
      <c r="AA42" s="97">
        <f>SUMPRODUCT(MMULT('M3'!$M42:$AZ42,'M1'!AA$10:AA$49))</f>
        <v/>
      </c>
      <c r="AB42" s="97">
        <f>SUMPRODUCT(MMULT('M3'!$M42:$AZ42,'M1'!AB$10:AB$49))</f>
        <v/>
      </c>
      <c r="AC42" s="97">
        <f>SUMPRODUCT(MMULT('M3'!$M42:$AZ42,'M1'!AC$10:AC$49))</f>
        <v/>
      </c>
      <c r="AD42" s="97">
        <f>SUMPRODUCT(MMULT('M3'!$M42:$AZ42,'M1'!AD$10:AD$49))</f>
        <v/>
      </c>
      <c r="AE42" s="97">
        <f>SUMPRODUCT(MMULT('M3'!$M42:$AZ42,'M1'!AE$10:AE$49))</f>
        <v/>
      </c>
      <c r="AF42" s="97">
        <f>SUMPRODUCT(MMULT('M3'!$M42:$AZ42,'M1'!AF$10:AF$49))</f>
        <v/>
      </c>
      <c r="AG42" s="97">
        <f>SUMPRODUCT(MMULT('M3'!$M42:$AZ42,'M1'!AG$10:AG$49))</f>
        <v/>
      </c>
      <c r="AH42" s="97">
        <f>SUMPRODUCT(MMULT('M3'!$M42:$AZ42,'M1'!AH$10:AH$49))</f>
        <v/>
      </c>
      <c r="AI42" s="97">
        <f>SUMPRODUCT(MMULT('M3'!$M42:$AZ42,'M1'!AI$10:AI$49))</f>
        <v/>
      </c>
      <c r="AJ42" s="97">
        <f>SUMPRODUCT(MMULT('M3'!$M42:$AZ42,'M1'!AJ$10:AJ$49))</f>
        <v/>
      </c>
      <c r="AK42" s="97">
        <f>SUMPRODUCT(MMULT('M3'!$M42:$AZ42,'M1'!AK$10:AK$49))</f>
        <v/>
      </c>
      <c r="AL42" s="97">
        <f>SUMPRODUCT(MMULT('M3'!$M42:$AZ42,'M1'!AL$10:AL$49))</f>
        <v/>
      </c>
      <c r="AM42" s="97">
        <f>SUMPRODUCT(MMULT('M3'!$M42:$AZ42,'M1'!AM$10:AM$49))</f>
        <v/>
      </c>
      <c r="AN42" s="97">
        <f>SUMPRODUCT(MMULT('M3'!$M42:$AZ42,'M1'!AN$10:AN$49))</f>
        <v/>
      </c>
      <c r="AO42" s="97">
        <f>SUMPRODUCT(MMULT('M3'!$M42:$AZ42,'M1'!AO$10:AO$49))</f>
        <v/>
      </c>
      <c r="AP42" s="97">
        <f>SUMPRODUCT(MMULT('M3'!$M42:$AZ42,'M1'!AP$10:AP$49))</f>
        <v/>
      </c>
      <c r="AQ42" s="97">
        <f>SUMPRODUCT(MMULT('M3'!$M42:$AZ42,'M1'!AQ$10:AQ$49))</f>
        <v/>
      </c>
      <c r="AR42" s="97">
        <f>SUMPRODUCT(MMULT('M3'!$M42:$AZ42,'M1'!AR$10:AR$49))</f>
        <v/>
      </c>
      <c r="AS42" s="97">
        <f>SUMPRODUCT(MMULT('M3'!$M42:$AZ42,'M1'!AS$10:AS$49))</f>
        <v/>
      </c>
      <c r="AT42" s="97">
        <f>SUMPRODUCT(MMULT('M3'!$M42:$AZ42,'M1'!AT$10:AT$49))</f>
        <v/>
      </c>
      <c r="AU42" s="97">
        <f>SUMPRODUCT(MMULT('M3'!$M42:$AZ42,'M1'!AU$10:AU$49))</f>
        <v/>
      </c>
      <c r="AV42" s="97">
        <f>SUMPRODUCT(MMULT('M3'!$M42:$AZ42,'M1'!AV$10:AV$49))</f>
        <v/>
      </c>
      <c r="AW42" s="97">
        <f>SUMPRODUCT(MMULT('M3'!$M42:$AZ42,'M1'!AW$10:AW$49))</f>
        <v/>
      </c>
      <c r="AX42" s="97">
        <f>SUMPRODUCT(MMULT('M3'!$M42:$AZ42,'M1'!AX$10:AX$49))</f>
        <v/>
      </c>
      <c r="AY42" s="97">
        <f>SUMPRODUCT(MMULT('M3'!$M42:$AZ42,'M1'!AY$10:AY$49))</f>
        <v/>
      </c>
      <c r="AZ42" s="97">
        <f>SUMPRODUCT(MMULT('M3'!$M42:$AZ42,'M1'!AZ$10:AZ$49))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SUMPRODUCT(MMULT('M3'!$M43:$AZ43,'M1'!M$10:M$49))</f>
        <v/>
      </c>
      <c r="N43" s="97">
        <f>SUMPRODUCT(MMULT('M3'!$M43:$AZ43,'M1'!N$10:N$49))</f>
        <v/>
      </c>
      <c r="O43" s="97">
        <f>SUMPRODUCT(MMULT('M3'!$M43:$AZ43,'M1'!O$10:O$49))</f>
        <v/>
      </c>
      <c r="P43" s="97">
        <f>SUMPRODUCT(MMULT('M3'!$M43:$AZ43,'M1'!P$10:P$49))</f>
        <v/>
      </c>
      <c r="Q43" s="97">
        <f>SUMPRODUCT(MMULT('M3'!$M43:$AZ43,'M1'!Q$10:Q$49))</f>
        <v/>
      </c>
      <c r="R43" s="97">
        <f>SUMPRODUCT(MMULT('M3'!$M43:$AZ43,'M1'!R$10:R$49))</f>
        <v/>
      </c>
      <c r="S43" s="97">
        <f>SUMPRODUCT(MMULT('M3'!$M43:$AZ43,'M1'!S$10:S$49))</f>
        <v/>
      </c>
      <c r="T43" s="97">
        <f>SUMPRODUCT(MMULT('M3'!$M43:$AZ43,'M1'!T$10:T$49))</f>
        <v/>
      </c>
      <c r="U43" s="97">
        <f>SUMPRODUCT(MMULT('M3'!$M43:$AZ43,'M1'!U$10:U$49))</f>
        <v/>
      </c>
      <c r="V43" s="97">
        <f>SUMPRODUCT(MMULT('M3'!$M43:$AZ43,'M1'!V$10:V$49))</f>
        <v/>
      </c>
      <c r="W43" s="97">
        <f>SUMPRODUCT(MMULT('M3'!$M43:$AZ43,'M1'!W$10:W$49))</f>
        <v/>
      </c>
      <c r="X43" s="97">
        <f>SUMPRODUCT(MMULT('M3'!$M43:$AZ43,'M1'!X$10:X$49))</f>
        <v/>
      </c>
      <c r="Y43" s="97">
        <f>SUMPRODUCT(MMULT('M3'!$M43:$AZ43,'M1'!Y$10:Y$49))</f>
        <v/>
      </c>
      <c r="Z43" s="97">
        <f>SUMPRODUCT(MMULT('M3'!$M43:$AZ43,'M1'!Z$10:Z$49))</f>
        <v/>
      </c>
      <c r="AA43" s="97">
        <f>SUMPRODUCT(MMULT('M3'!$M43:$AZ43,'M1'!AA$10:AA$49))</f>
        <v/>
      </c>
      <c r="AB43" s="97">
        <f>SUMPRODUCT(MMULT('M3'!$M43:$AZ43,'M1'!AB$10:AB$49))</f>
        <v/>
      </c>
      <c r="AC43" s="97">
        <f>SUMPRODUCT(MMULT('M3'!$M43:$AZ43,'M1'!AC$10:AC$49))</f>
        <v/>
      </c>
      <c r="AD43" s="97">
        <f>SUMPRODUCT(MMULT('M3'!$M43:$AZ43,'M1'!AD$10:AD$49))</f>
        <v/>
      </c>
      <c r="AE43" s="97">
        <f>SUMPRODUCT(MMULT('M3'!$M43:$AZ43,'M1'!AE$10:AE$49))</f>
        <v/>
      </c>
      <c r="AF43" s="97">
        <f>SUMPRODUCT(MMULT('M3'!$M43:$AZ43,'M1'!AF$10:AF$49))</f>
        <v/>
      </c>
      <c r="AG43" s="97">
        <f>SUMPRODUCT(MMULT('M3'!$M43:$AZ43,'M1'!AG$10:AG$49))</f>
        <v/>
      </c>
      <c r="AH43" s="97">
        <f>SUMPRODUCT(MMULT('M3'!$M43:$AZ43,'M1'!AH$10:AH$49))</f>
        <v/>
      </c>
      <c r="AI43" s="97">
        <f>SUMPRODUCT(MMULT('M3'!$M43:$AZ43,'M1'!AI$10:AI$49))</f>
        <v/>
      </c>
      <c r="AJ43" s="97">
        <f>SUMPRODUCT(MMULT('M3'!$M43:$AZ43,'M1'!AJ$10:AJ$49))</f>
        <v/>
      </c>
      <c r="AK43" s="97">
        <f>SUMPRODUCT(MMULT('M3'!$M43:$AZ43,'M1'!AK$10:AK$49))</f>
        <v/>
      </c>
      <c r="AL43" s="97">
        <f>SUMPRODUCT(MMULT('M3'!$M43:$AZ43,'M1'!AL$10:AL$49))</f>
        <v/>
      </c>
      <c r="AM43" s="97">
        <f>SUMPRODUCT(MMULT('M3'!$M43:$AZ43,'M1'!AM$10:AM$49))</f>
        <v/>
      </c>
      <c r="AN43" s="97">
        <f>SUMPRODUCT(MMULT('M3'!$M43:$AZ43,'M1'!AN$10:AN$49))</f>
        <v/>
      </c>
      <c r="AO43" s="97">
        <f>SUMPRODUCT(MMULT('M3'!$M43:$AZ43,'M1'!AO$10:AO$49))</f>
        <v/>
      </c>
      <c r="AP43" s="97">
        <f>SUMPRODUCT(MMULT('M3'!$M43:$AZ43,'M1'!AP$10:AP$49))</f>
        <v/>
      </c>
      <c r="AQ43" s="97">
        <f>SUMPRODUCT(MMULT('M3'!$M43:$AZ43,'M1'!AQ$10:AQ$49))</f>
        <v/>
      </c>
      <c r="AR43" s="97">
        <f>SUMPRODUCT(MMULT('M3'!$M43:$AZ43,'M1'!AR$10:AR$49))</f>
        <v/>
      </c>
      <c r="AS43" s="97">
        <f>SUMPRODUCT(MMULT('M3'!$M43:$AZ43,'M1'!AS$10:AS$49))</f>
        <v/>
      </c>
      <c r="AT43" s="97">
        <f>SUMPRODUCT(MMULT('M3'!$M43:$AZ43,'M1'!AT$10:AT$49))</f>
        <v/>
      </c>
      <c r="AU43" s="97">
        <f>SUMPRODUCT(MMULT('M3'!$M43:$AZ43,'M1'!AU$10:AU$49))</f>
        <v/>
      </c>
      <c r="AV43" s="97">
        <f>SUMPRODUCT(MMULT('M3'!$M43:$AZ43,'M1'!AV$10:AV$49))</f>
        <v/>
      </c>
      <c r="AW43" s="97">
        <f>SUMPRODUCT(MMULT('M3'!$M43:$AZ43,'M1'!AW$10:AW$49))</f>
        <v/>
      </c>
      <c r="AX43" s="97">
        <f>SUMPRODUCT(MMULT('M3'!$M43:$AZ43,'M1'!AX$10:AX$49))</f>
        <v/>
      </c>
      <c r="AY43" s="97">
        <f>SUMPRODUCT(MMULT('M3'!$M43:$AZ43,'M1'!AY$10:AY$49))</f>
        <v/>
      </c>
      <c r="AZ43" s="97">
        <f>SUMPRODUCT(MMULT('M3'!$M43:$AZ43,'M1'!AZ$10:AZ$49))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SUMPRODUCT(MMULT('M3'!$M44:$AZ44,'M1'!M$10:M$49))</f>
        <v/>
      </c>
      <c r="N44" s="97">
        <f>SUMPRODUCT(MMULT('M3'!$M44:$AZ44,'M1'!N$10:N$49))</f>
        <v/>
      </c>
      <c r="O44" s="97">
        <f>SUMPRODUCT(MMULT('M3'!$M44:$AZ44,'M1'!O$10:O$49))</f>
        <v/>
      </c>
      <c r="P44" s="97">
        <f>SUMPRODUCT(MMULT('M3'!$M44:$AZ44,'M1'!P$10:P$49))</f>
        <v/>
      </c>
      <c r="Q44" s="97">
        <f>SUMPRODUCT(MMULT('M3'!$M44:$AZ44,'M1'!Q$10:Q$49))</f>
        <v/>
      </c>
      <c r="R44" s="97">
        <f>SUMPRODUCT(MMULT('M3'!$M44:$AZ44,'M1'!R$10:R$49))</f>
        <v/>
      </c>
      <c r="S44" s="97">
        <f>SUMPRODUCT(MMULT('M3'!$M44:$AZ44,'M1'!S$10:S$49))</f>
        <v/>
      </c>
      <c r="T44" s="97">
        <f>SUMPRODUCT(MMULT('M3'!$M44:$AZ44,'M1'!T$10:T$49))</f>
        <v/>
      </c>
      <c r="U44" s="97">
        <f>SUMPRODUCT(MMULT('M3'!$M44:$AZ44,'M1'!U$10:U$49))</f>
        <v/>
      </c>
      <c r="V44" s="97">
        <f>SUMPRODUCT(MMULT('M3'!$M44:$AZ44,'M1'!V$10:V$49))</f>
        <v/>
      </c>
      <c r="W44" s="97">
        <f>SUMPRODUCT(MMULT('M3'!$M44:$AZ44,'M1'!W$10:W$49))</f>
        <v/>
      </c>
      <c r="X44" s="97">
        <f>SUMPRODUCT(MMULT('M3'!$M44:$AZ44,'M1'!X$10:X$49))</f>
        <v/>
      </c>
      <c r="Y44" s="97">
        <f>SUMPRODUCT(MMULT('M3'!$M44:$AZ44,'M1'!Y$10:Y$49))</f>
        <v/>
      </c>
      <c r="Z44" s="97">
        <f>SUMPRODUCT(MMULT('M3'!$M44:$AZ44,'M1'!Z$10:Z$49))</f>
        <v/>
      </c>
      <c r="AA44" s="97">
        <f>SUMPRODUCT(MMULT('M3'!$M44:$AZ44,'M1'!AA$10:AA$49))</f>
        <v/>
      </c>
      <c r="AB44" s="97">
        <f>SUMPRODUCT(MMULT('M3'!$M44:$AZ44,'M1'!AB$10:AB$49))</f>
        <v/>
      </c>
      <c r="AC44" s="97">
        <f>SUMPRODUCT(MMULT('M3'!$M44:$AZ44,'M1'!AC$10:AC$49))</f>
        <v/>
      </c>
      <c r="AD44" s="97">
        <f>SUMPRODUCT(MMULT('M3'!$M44:$AZ44,'M1'!AD$10:AD$49))</f>
        <v/>
      </c>
      <c r="AE44" s="97">
        <f>SUMPRODUCT(MMULT('M3'!$M44:$AZ44,'M1'!AE$10:AE$49))</f>
        <v/>
      </c>
      <c r="AF44" s="97">
        <f>SUMPRODUCT(MMULT('M3'!$M44:$AZ44,'M1'!AF$10:AF$49))</f>
        <v/>
      </c>
      <c r="AG44" s="97">
        <f>SUMPRODUCT(MMULT('M3'!$M44:$AZ44,'M1'!AG$10:AG$49))</f>
        <v/>
      </c>
      <c r="AH44" s="97">
        <f>SUMPRODUCT(MMULT('M3'!$M44:$AZ44,'M1'!AH$10:AH$49))</f>
        <v/>
      </c>
      <c r="AI44" s="97">
        <f>SUMPRODUCT(MMULT('M3'!$M44:$AZ44,'M1'!AI$10:AI$49))</f>
        <v/>
      </c>
      <c r="AJ44" s="97">
        <f>SUMPRODUCT(MMULT('M3'!$M44:$AZ44,'M1'!AJ$10:AJ$49))</f>
        <v/>
      </c>
      <c r="AK44" s="97">
        <f>SUMPRODUCT(MMULT('M3'!$M44:$AZ44,'M1'!AK$10:AK$49))</f>
        <v/>
      </c>
      <c r="AL44" s="97">
        <f>SUMPRODUCT(MMULT('M3'!$M44:$AZ44,'M1'!AL$10:AL$49))</f>
        <v/>
      </c>
      <c r="AM44" s="97">
        <f>SUMPRODUCT(MMULT('M3'!$M44:$AZ44,'M1'!AM$10:AM$49))</f>
        <v/>
      </c>
      <c r="AN44" s="97">
        <f>SUMPRODUCT(MMULT('M3'!$M44:$AZ44,'M1'!AN$10:AN$49))</f>
        <v/>
      </c>
      <c r="AO44" s="97">
        <f>SUMPRODUCT(MMULT('M3'!$M44:$AZ44,'M1'!AO$10:AO$49))</f>
        <v/>
      </c>
      <c r="AP44" s="97">
        <f>SUMPRODUCT(MMULT('M3'!$M44:$AZ44,'M1'!AP$10:AP$49))</f>
        <v/>
      </c>
      <c r="AQ44" s="97">
        <f>SUMPRODUCT(MMULT('M3'!$M44:$AZ44,'M1'!AQ$10:AQ$49))</f>
        <v/>
      </c>
      <c r="AR44" s="97">
        <f>SUMPRODUCT(MMULT('M3'!$M44:$AZ44,'M1'!AR$10:AR$49))</f>
        <v/>
      </c>
      <c r="AS44" s="97">
        <f>SUMPRODUCT(MMULT('M3'!$M44:$AZ44,'M1'!AS$10:AS$49))</f>
        <v/>
      </c>
      <c r="AT44" s="97">
        <f>SUMPRODUCT(MMULT('M3'!$M44:$AZ44,'M1'!AT$10:AT$49))</f>
        <v/>
      </c>
      <c r="AU44" s="97">
        <f>SUMPRODUCT(MMULT('M3'!$M44:$AZ44,'M1'!AU$10:AU$49))</f>
        <v/>
      </c>
      <c r="AV44" s="97">
        <f>SUMPRODUCT(MMULT('M3'!$M44:$AZ44,'M1'!AV$10:AV$49))</f>
        <v/>
      </c>
      <c r="AW44" s="97">
        <f>SUMPRODUCT(MMULT('M3'!$M44:$AZ44,'M1'!AW$10:AW$49))</f>
        <v/>
      </c>
      <c r="AX44" s="97">
        <f>SUMPRODUCT(MMULT('M3'!$M44:$AZ44,'M1'!AX$10:AX$49))</f>
        <v/>
      </c>
      <c r="AY44" s="97">
        <f>SUMPRODUCT(MMULT('M3'!$M44:$AZ44,'M1'!AY$10:AY$49))</f>
        <v/>
      </c>
      <c r="AZ44" s="97">
        <f>SUMPRODUCT(MMULT('M3'!$M44:$AZ44,'M1'!AZ$10:AZ$49))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SUMPRODUCT(MMULT('M3'!$M45:$AZ45,'M1'!M$10:M$49))</f>
        <v/>
      </c>
      <c r="N45" s="97">
        <f>SUMPRODUCT(MMULT('M3'!$M45:$AZ45,'M1'!N$10:N$49))</f>
        <v/>
      </c>
      <c r="O45" s="97">
        <f>SUMPRODUCT(MMULT('M3'!$M45:$AZ45,'M1'!O$10:O$49))</f>
        <v/>
      </c>
      <c r="P45" s="97">
        <f>SUMPRODUCT(MMULT('M3'!$M45:$AZ45,'M1'!P$10:P$49))</f>
        <v/>
      </c>
      <c r="Q45" s="97">
        <f>SUMPRODUCT(MMULT('M3'!$M45:$AZ45,'M1'!Q$10:Q$49))</f>
        <v/>
      </c>
      <c r="R45" s="97">
        <f>SUMPRODUCT(MMULT('M3'!$M45:$AZ45,'M1'!R$10:R$49))</f>
        <v/>
      </c>
      <c r="S45" s="97">
        <f>SUMPRODUCT(MMULT('M3'!$M45:$AZ45,'M1'!S$10:S$49))</f>
        <v/>
      </c>
      <c r="T45" s="97">
        <f>SUMPRODUCT(MMULT('M3'!$M45:$AZ45,'M1'!T$10:T$49))</f>
        <v/>
      </c>
      <c r="U45" s="97">
        <f>SUMPRODUCT(MMULT('M3'!$M45:$AZ45,'M1'!U$10:U$49))</f>
        <v/>
      </c>
      <c r="V45" s="97">
        <f>SUMPRODUCT(MMULT('M3'!$M45:$AZ45,'M1'!V$10:V$49))</f>
        <v/>
      </c>
      <c r="W45" s="97">
        <f>SUMPRODUCT(MMULT('M3'!$M45:$AZ45,'M1'!W$10:W$49))</f>
        <v/>
      </c>
      <c r="X45" s="97">
        <f>SUMPRODUCT(MMULT('M3'!$M45:$AZ45,'M1'!X$10:X$49))</f>
        <v/>
      </c>
      <c r="Y45" s="97">
        <f>SUMPRODUCT(MMULT('M3'!$M45:$AZ45,'M1'!Y$10:Y$49))</f>
        <v/>
      </c>
      <c r="Z45" s="97">
        <f>SUMPRODUCT(MMULT('M3'!$M45:$AZ45,'M1'!Z$10:Z$49))</f>
        <v/>
      </c>
      <c r="AA45" s="97">
        <f>SUMPRODUCT(MMULT('M3'!$M45:$AZ45,'M1'!AA$10:AA$49))</f>
        <v/>
      </c>
      <c r="AB45" s="97">
        <f>SUMPRODUCT(MMULT('M3'!$M45:$AZ45,'M1'!AB$10:AB$49))</f>
        <v/>
      </c>
      <c r="AC45" s="97">
        <f>SUMPRODUCT(MMULT('M3'!$M45:$AZ45,'M1'!AC$10:AC$49))</f>
        <v/>
      </c>
      <c r="AD45" s="97">
        <f>SUMPRODUCT(MMULT('M3'!$M45:$AZ45,'M1'!AD$10:AD$49))</f>
        <v/>
      </c>
      <c r="AE45" s="97">
        <f>SUMPRODUCT(MMULT('M3'!$M45:$AZ45,'M1'!AE$10:AE$49))</f>
        <v/>
      </c>
      <c r="AF45" s="97">
        <f>SUMPRODUCT(MMULT('M3'!$M45:$AZ45,'M1'!AF$10:AF$49))</f>
        <v/>
      </c>
      <c r="AG45" s="97">
        <f>SUMPRODUCT(MMULT('M3'!$M45:$AZ45,'M1'!AG$10:AG$49))</f>
        <v/>
      </c>
      <c r="AH45" s="97">
        <f>SUMPRODUCT(MMULT('M3'!$M45:$AZ45,'M1'!AH$10:AH$49))</f>
        <v/>
      </c>
      <c r="AI45" s="97">
        <f>SUMPRODUCT(MMULT('M3'!$M45:$AZ45,'M1'!AI$10:AI$49))</f>
        <v/>
      </c>
      <c r="AJ45" s="97">
        <f>SUMPRODUCT(MMULT('M3'!$M45:$AZ45,'M1'!AJ$10:AJ$49))</f>
        <v/>
      </c>
      <c r="AK45" s="97">
        <f>SUMPRODUCT(MMULT('M3'!$M45:$AZ45,'M1'!AK$10:AK$49))</f>
        <v/>
      </c>
      <c r="AL45" s="97">
        <f>SUMPRODUCT(MMULT('M3'!$M45:$AZ45,'M1'!AL$10:AL$49))</f>
        <v/>
      </c>
      <c r="AM45" s="97">
        <f>SUMPRODUCT(MMULT('M3'!$M45:$AZ45,'M1'!AM$10:AM$49))</f>
        <v/>
      </c>
      <c r="AN45" s="97">
        <f>SUMPRODUCT(MMULT('M3'!$M45:$AZ45,'M1'!AN$10:AN$49))</f>
        <v/>
      </c>
      <c r="AO45" s="97">
        <f>SUMPRODUCT(MMULT('M3'!$M45:$AZ45,'M1'!AO$10:AO$49))</f>
        <v/>
      </c>
      <c r="AP45" s="97">
        <f>SUMPRODUCT(MMULT('M3'!$M45:$AZ45,'M1'!AP$10:AP$49))</f>
        <v/>
      </c>
      <c r="AQ45" s="97">
        <f>SUMPRODUCT(MMULT('M3'!$M45:$AZ45,'M1'!AQ$10:AQ$49))</f>
        <v/>
      </c>
      <c r="AR45" s="97">
        <f>SUMPRODUCT(MMULT('M3'!$M45:$AZ45,'M1'!AR$10:AR$49))</f>
        <v/>
      </c>
      <c r="AS45" s="97">
        <f>SUMPRODUCT(MMULT('M3'!$M45:$AZ45,'M1'!AS$10:AS$49))</f>
        <v/>
      </c>
      <c r="AT45" s="97">
        <f>SUMPRODUCT(MMULT('M3'!$M45:$AZ45,'M1'!AT$10:AT$49))</f>
        <v/>
      </c>
      <c r="AU45" s="97">
        <f>SUMPRODUCT(MMULT('M3'!$M45:$AZ45,'M1'!AU$10:AU$49))</f>
        <v/>
      </c>
      <c r="AV45" s="97">
        <f>SUMPRODUCT(MMULT('M3'!$M45:$AZ45,'M1'!AV$10:AV$49))</f>
        <v/>
      </c>
      <c r="AW45" s="97">
        <f>SUMPRODUCT(MMULT('M3'!$M45:$AZ45,'M1'!AW$10:AW$49))</f>
        <v/>
      </c>
      <c r="AX45" s="97">
        <f>SUMPRODUCT(MMULT('M3'!$M45:$AZ45,'M1'!AX$10:AX$49))</f>
        <v/>
      </c>
      <c r="AY45" s="97">
        <f>SUMPRODUCT(MMULT('M3'!$M45:$AZ45,'M1'!AY$10:AY$49))</f>
        <v/>
      </c>
      <c r="AZ45" s="97">
        <f>SUMPRODUCT(MMULT('M3'!$M45:$AZ45,'M1'!AZ$10:AZ$49))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SUMPRODUCT(MMULT('M3'!$M46:$AZ46,'M1'!M$10:M$49))</f>
        <v/>
      </c>
      <c r="N46" s="97">
        <f>SUMPRODUCT(MMULT('M3'!$M46:$AZ46,'M1'!N$10:N$49))</f>
        <v/>
      </c>
      <c r="O46" s="97">
        <f>SUMPRODUCT(MMULT('M3'!$M46:$AZ46,'M1'!O$10:O$49))</f>
        <v/>
      </c>
      <c r="P46" s="97">
        <f>SUMPRODUCT(MMULT('M3'!$M46:$AZ46,'M1'!P$10:P$49))</f>
        <v/>
      </c>
      <c r="Q46" s="97">
        <f>SUMPRODUCT(MMULT('M3'!$M46:$AZ46,'M1'!Q$10:Q$49))</f>
        <v/>
      </c>
      <c r="R46" s="97">
        <f>SUMPRODUCT(MMULT('M3'!$M46:$AZ46,'M1'!R$10:R$49))</f>
        <v/>
      </c>
      <c r="S46" s="97">
        <f>SUMPRODUCT(MMULT('M3'!$M46:$AZ46,'M1'!S$10:S$49))</f>
        <v/>
      </c>
      <c r="T46" s="97">
        <f>SUMPRODUCT(MMULT('M3'!$M46:$AZ46,'M1'!T$10:T$49))</f>
        <v/>
      </c>
      <c r="U46" s="97">
        <f>SUMPRODUCT(MMULT('M3'!$M46:$AZ46,'M1'!U$10:U$49))</f>
        <v/>
      </c>
      <c r="V46" s="97">
        <f>SUMPRODUCT(MMULT('M3'!$M46:$AZ46,'M1'!V$10:V$49))</f>
        <v/>
      </c>
      <c r="W46" s="97">
        <f>SUMPRODUCT(MMULT('M3'!$M46:$AZ46,'M1'!W$10:W$49))</f>
        <v/>
      </c>
      <c r="X46" s="97">
        <f>SUMPRODUCT(MMULT('M3'!$M46:$AZ46,'M1'!X$10:X$49))</f>
        <v/>
      </c>
      <c r="Y46" s="97">
        <f>SUMPRODUCT(MMULT('M3'!$M46:$AZ46,'M1'!Y$10:Y$49))</f>
        <v/>
      </c>
      <c r="Z46" s="97">
        <f>SUMPRODUCT(MMULT('M3'!$M46:$AZ46,'M1'!Z$10:Z$49))</f>
        <v/>
      </c>
      <c r="AA46" s="97">
        <f>SUMPRODUCT(MMULT('M3'!$M46:$AZ46,'M1'!AA$10:AA$49))</f>
        <v/>
      </c>
      <c r="AB46" s="97">
        <f>SUMPRODUCT(MMULT('M3'!$M46:$AZ46,'M1'!AB$10:AB$49))</f>
        <v/>
      </c>
      <c r="AC46" s="97">
        <f>SUMPRODUCT(MMULT('M3'!$M46:$AZ46,'M1'!AC$10:AC$49))</f>
        <v/>
      </c>
      <c r="AD46" s="97">
        <f>SUMPRODUCT(MMULT('M3'!$M46:$AZ46,'M1'!AD$10:AD$49))</f>
        <v/>
      </c>
      <c r="AE46" s="97">
        <f>SUMPRODUCT(MMULT('M3'!$M46:$AZ46,'M1'!AE$10:AE$49))</f>
        <v/>
      </c>
      <c r="AF46" s="97">
        <f>SUMPRODUCT(MMULT('M3'!$M46:$AZ46,'M1'!AF$10:AF$49))</f>
        <v/>
      </c>
      <c r="AG46" s="97">
        <f>SUMPRODUCT(MMULT('M3'!$M46:$AZ46,'M1'!AG$10:AG$49))</f>
        <v/>
      </c>
      <c r="AH46" s="97">
        <f>SUMPRODUCT(MMULT('M3'!$M46:$AZ46,'M1'!AH$10:AH$49))</f>
        <v/>
      </c>
      <c r="AI46" s="97">
        <f>SUMPRODUCT(MMULT('M3'!$M46:$AZ46,'M1'!AI$10:AI$49))</f>
        <v/>
      </c>
      <c r="AJ46" s="97">
        <f>SUMPRODUCT(MMULT('M3'!$M46:$AZ46,'M1'!AJ$10:AJ$49))</f>
        <v/>
      </c>
      <c r="AK46" s="97">
        <f>SUMPRODUCT(MMULT('M3'!$M46:$AZ46,'M1'!AK$10:AK$49))</f>
        <v/>
      </c>
      <c r="AL46" s="97">
        <f>SUMPRODUCT(MMULT('M3'!$M46:$AZ46,'M1'!AL$10:AL$49))</f>
        <v/>
      </c>
      <c r="AM46" s="97">
        <f>SUMPRODUCT(MMULT('M3'!$M46:$AZ46,'M1'!AM$10:AM$49))</f>
        <v/>
      </c>
      <c r="AN46" s="97">
        <f>SUMPRODUCT(MMULT('M3'!$M46:$AZ46,'M1'!AN$10:AN$49))</f>
        <v/>
      </c>
      <c r="AO46" s="97">
        <f>SUMPRODUCT(MMULT('M3'!$M46:$AZ46,'M1'!AO$10:AO$49))</f>
        <v/>
      </c>
      <c r="AP46" s="97">
        <f>SUMPRODUCT(MMULT('M3'!$M46:$AZ46,'M1'!AP$10:AP$49))</f>
        <v/>
      </c>
      <c r="AQ46" s="97">
        <f>SUMPRODUCT(MMULT('M3'!$M46:$AZ46,'M1'!AQ$10:AQ$49))</f>
        <v/>
      </c>
      <c r="AR46" s="97">
        <f>SUMPRODUCT(MMULT('M3'!$M46:$AZ46,'M1'!AR$10:AR$49))</f>
        <v/>
      </c>
      <c r="AS46" s="97">
        <f>SUMPRODUCT(MMULT('M3'!$M46:$AZ46,'M1'!AS$10:AS$49))</f>
        <v/>
      </c>
      <c r="AT46" s="97">
        <f>SUMPRODUCT(MMULT('M3'!$M46:$AZ46,'M1'!AT$10:AT$49))</f>
        <v/>
      </c>
      <c r="AU46" s="97">
        <f>SUMPRODUCT(MMULT('M3'!$M46:$AZ46,'M1'!AU$10:AU$49))</f>
        <v/>
      </c>
      <c r="AV46" s="97">
        <f>SUMPRODUCT(MMULT('M3'!$M46:$AZ46,'M1'!AV$10:AV$49))</f>
        <v/>
      </c>
      <c r="AW46" s="97">
        <f>SUMPRODUCT(MMULT('M3'!$M46:$AZ46,'M1'!AW$10:AW$49))</f>
        <v/>
      </c>
      <c r="AX46" s="97">
        <f>SUMPRODUCT(MMULT('M3'!$M46:$AZ46,'M1'!AX$10:AX$49))</f>
        <v/>
      </c>
      <c r="AY46" s="97">
        <f>SUMPRODUCT(MMULT('M3'!$M46:$AZ46,'M1'!AY$10:AY$49))</f>
        <v/>
      </c>
      <c r="AZ46" s="97">
        <f>SUMPRODUCT(MMULT('M3'!$M46:$AZ46,'M1'!AZ$10:AZ$49))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SUMPRODUCT(MMULT('M3'!$M47:$AZ47,'M1'!M$10:M$49))</f>
        <v/>
      </c>
      <c r="N47" s="97">
        <f>SUMPRODUCT(MMULT('M3'!$M47:$AZ47,'M1'!N$10:N$49))</f>
        <v/>
      </c>
      <c r="O47" s="97">
        <f>SUMPRODUCT(MMULT('M3'!$M47:$AZ47,'M1'!O$10:O$49))</f>
        <v/>
      </c>
      <c r="P47" s="97">
        <f>SUMPRODUCT(MMULT('M3'!$M47:$AZ47,'M1'!P$10:P$49))</f>
        <v/>
      </c>
      <c r="Q47" s="97">
        <f>SUMPRODUCT(MMULT('M3'!$M47:$AZ47,'M1'!Q$10:Q$49))</f>
        <v/>
      </c>
      <c r="R47" s="97">
        <f>SUMPRODUCT(MMULT('M3'!$M47:$AZ47,'M1'!R$10:R$49))</f>
        <v/>
      </c>
      <c r="S47" s="97">
        <f>SUMPRODUCT(MMULT('M3'!$M47:$AZ47,'M1'!S$10:S$49))</f>
        <v/>
      </c>
      <c r="T47" s="97">
        <f>SUMPRODUCT(MMULT('M3'!$M47:$AZ47,'M1'!T$10:T$49))</f>
        <v/>
      </c>
      <c r="U47" s="97">
        <f>SUMPRODUCT(MMULT('M3'!$M47:$AZ47,'M1'!U$10:U$49))</f>
        <v/>
      </c>
      <c r="V47" s="97">
        <f>SUMPRODUCT(MMULT('M3'!$M47:$AZ47,'M1'!V$10:V$49))</f>
        <v/>
      </c>
      <c r="W47" s="97">
        <f>SUMPRODUCT(MMULT('M3'!$M47:$AZ47,'M1'!W$10:W$49))</f>
        <v/>
      </c>
      <c r="X47" s="97">
        <f>SUMPRODUCT(MMULT('M3'!$M47:$AZ47,'M1'!X$10:X$49))</f>
        <v/>
      </c>
      <c r="Y47" s="97">
        <f>SUMPRODUCT(MMULT('M3'!$M47:$AZ47,'M1'!Y$10:Y$49))</f>
        <v/>
      </c>
      <c r="Z47" s="97">
        <f>SUMPRODUCT(MMULT('M3'!$M47:$AZ47,'M1'!Z$10:Z$49))</f>
        <v/>
      </c>
      <c r="AA47" s="97">
        <f>SUMPRODUCT(MMULT('M3'!$M47:$AZ47,'M1'!AA$10:AA$49))</f>
        <v/>
      </c>
      <c r="AB47" s="97">
        <f>SUMPRODUCT(MMULT('M3'!$M47:$AZ47,'M1'!AB$10:AB$49))</f>
        <v/>
      </c>
      <c r="AC47" s="97">
        <f>SUMPRODUCT(MMULT('M3'!$M47:$AZ47,'M1'!AC$10:AC$49))</f>
        <v/>
      </c>
      <c r="AD47" s="97">
        <f>SUMPRODUCT(MMULT('M3'!$M47:$AZ47,'M1'!AD$10:AD$49))</f>
        <v/>
      </c>
      <c r="AE47" s="97">
        <f>SUMPRODUCT(MMULT('M3'!$M47:$AZ47,'M1'!AE$10:AE$49))</f>
        <v/>
      </c>
      <c r="AF47" s="97">
        <f>SUMPRODUCT(MMULT('M3'!$M47:$AZ47,'M1'!AF$10:AF$49))</f>
        <v/>
      </c>
      <c r="AG47" s="97">
        <f>SUMPRODUCT(MMULT('M3'!$M47:$AZ47,'M1'!AG$10:AG$49))</f>
        <v/>
      </c>
      <c r="AH47" s="97">
        <f>SUMPRODUCT(MMULT('M3'!$M47:$AZ47,'M1'!AH$10:AH$49))</f>
        <v/>
      </c>
      <c r="AI47" s="97">
        <f>SUMPRODUCT(MMULT('M3'!$M47:$AZ47,'M1'!AI$10:AI$49))</f>
        <v/>
      </c>
      <c r="AJ47" s="97">
        <f>SUMPRODUCT(MMULT('M3'!$M47:$AZ47,'M1'!AJ$10:AJ$49))</f>
        <v/>
      </c>
      <c r="AK47" s="97">
        <f>SUMPRODUCT(MMULT('M3'!$M47:$AZ47,'M1'!AK$10:AK$49))</f>
        <v/>
      </c>
      <c r="AL47" s="97">
        <f>SUMPRODUCT(MMULT('M3'!$M47:$AZ47,'M1'!AL$10:AL$49))</f>
        <v/>
      </c>
      <c r="AM47" s="97">
        <f>SUMPRODUCT(MMULT('M3'!$M47:$AZ47,'M1'!AM$10:AM$49))</f>
        <v/>
      </c>
      <c r="AN47" s="97">
        <f>SUMPRODUCT(MMULT('M3'!$M47:$AZ47,'M1'!AN$10:AN$49))</f>
        <v/>
      </c>
      <c r="AO47" s="97">
        <f>SUMPRODUCT(MMULT('M3'!$M47:$AZ47,'M1'!AO$10:AO$49))</f>
        <v/>
      </c>
      <c r="AP47" s="97">
        <f>SUMPRODUCT(MMULT('M3'!$M47:$AZ47,'M1'!AP$10:AP$49))</f>
        <v/>
      </c>
      <c r="AQ47" s="97">
        <f>SUMPRODUCT(MMULT('M3'!$M47:$AZ47,'M1'!AQ$10:AQ$49))</f>
        <v/>
      </c>
      <c r="AR47" s="97">
        <f>SUMPRODUCT(MMULT('M3'!$M47:$AZ47,'M1'!AR$10:AR$49))</f>
        <v/>
      </c>
      <c r="AS47" s="97">
        <f>SUMPRODUCT(MMULT('M3'!$M47:$AZ47,'M1'!AS$10:AS$49))</f>
        <v/>
      </c>
      <c r="AT47" s="97">
        <f>SUMPRODUCT(MMULT('M3'!$M47:$AZ47,'M1'!AT$10:AT$49))</f>
        <v/>
      </c>
      <c r="AU47" s="97">
        <f>SUMPRODUCT(MMULT('M3'!$M47:$AZ47,'M1'!AU$10:AU$49))</f>
        <v/>
      </c>
      <c r="AV47" s="97">
        <f>SUMPRODUCT(MMULT('M3'!$M47:$AZ47,'M1'!AV$10:AV$49))</f>
        <v/>
      </c>
      <c r="AW47" s="97">
        <f>SUMPRODUCT(MMULT('M3'!$M47:$AZ47,'M1'!AW$10:AW$49))</f>
        <v/>
      </c>
      <c r="AX47" s="97">
        <f>SUMPRODUCT(MMULT('M3'!$M47:$AZ47,'M1'!AX$10:AX$49))</f>
        <v/>
      </c>
      <c r="AY47" s="97">
        <f>SUMPRODUCT(MMULT('M3'!$M47:$AZ47,'M1'!AY$10:AY$49))</f>
        <v/>
      </c>
      <c r="AZ47" s="97">
        <f>SUMPRODUCT(MMULT('M3'!$M47:$AZ47,'M1'!AZ$10:AZ$49))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SUMPRODUCT(MMULT('M3'!$M48:$AZ48,'M1'!M$10:M$49))</f>
        <v/>
      </c>
      <c r="N48" s="97">
        <f>SUMPRODUCT(MMULT('M3'!$M48:$AZ48,'M1'!N$10:N$49))</f>
        <v/>
      </c>
      <c r="O48" s="97">
        <f>SUMPRODUCT(MMULT('M3'!$M48:$AZ48,'M1'!O$10:O$49))</f>
        <v/>
      </c>
      <c r="P48" s="97">
        <f>SUMPRODUCT(MMULT('M3'!$M48:$AZ48,'M1'!P$10:P$49))</f>
        <v/>
      </c>
      <c r="Q48" s="97">
        <f>SUMPRODUCT(MMULT('M3'!$M48:$AZ48,'M1'!Q$10:Q$49))</f>
        <v/>
      </c>
      <c r="R48" s="97">
        <f>SUMPRODUCT(MMULT('M3'!$M48:$AZ48,'M1'!R$10:R$49))</f>
        <v/>
      </c>
      <c r="S48" s="97">
        <f>SUMPRODUCT(MMULT('M3'!$M48:$AZ48,'M1'!S$10:S$49))</f>
        <v/>
      </c>
      <c r="T48" s="97">
        <f>SUMPRODUCT(MMULT('M3'!$M48:$AZ48,'M1'!T$10:T$49))</f>
        <v/>
      </c>
      <c r="U48" s="97">
        <f>SUMPRODUCT(MMULT('M3'!$M48:$AZ48,'M1'!U$10:U$49))</f>
        <v/>
      </c>
      <c r="V48" s="97">
        <f>SUMPRODUCT(MMULT('M3'!$M48:$AZ48,'M1'!V$10:V$49))</f>
        <v/>
      </c>
      <c r="W48" s="97">
        <f>SUMPRODUCT(MMULT('M3'!$M48:$AZ48,'M1'!W$10:W$49))</f>
        <v/>
      </c>
      <c r="X48" s="97">
        <f>SUMPRODUCT(MMULT('M3'!$M48:$AZ48,'M1'!X$10:X$49))</f>
        <v/>
      </c>
      <c r="Y48" s="97">
        <f>SUMPRODUCT(MMULT('M3'!$M48:$AZ48,'M1'!Y$10:Y$49))</f>
        <v/>
      </c>
      <c r="Z48" s="97">
        <f>SUMPRODUCT(MMULT('M3'!$M48:$AZ48,'M1'!Z$10:Z$49))</f>
        <v/>
      </c>
      <c r="AA48" s="97">
        <f>SUMPRODUCT(MMULT('M3'!$M48:$AZ48,'M1'!AA$10:AA$49))</f>
        <v/>
      </c>
      <c r="AB48" s="97">
        <f>SUMPRODUCT(MMULT('M3'!$M48:$AZ48,'M1'!AB$10:AB$49))</f>
        <v/>
      </c>
      <c r="AC48" s="97">
        <f>SUMPRODUCT(MMULT('M3'!$M48:$AZ48,'M1'!AC$10:AC$49))</f>
        <v/>
      </c>
      <c r="AD48" s="97">
        <f>SUMPRODUCT(MMULT('M3'!$M48:$AZ48,'M1'!AD$10:AD$49))</f>
        <v/>
      </c>
      <c r="AE48" s="97">
        <f>SUMPRODUCT(MMULT('M3'!$M48:$AZ48,'M1'!AE$10:AE$49))</f>
        <v/>
      </c>
      <c r="AF48" s="97">
        <f>SUMPRODUCT(MMULT('M3'!$M48:$AZ48,'M1'!AF$10:AF$49))</f>
        <v/>
      </c>
      <c r="AG48" s="97">
        <f>SUMPRODUCT(MMULT('M3'!$M48:$AZ48,'M1'!AG$10:AG$49))</f>
        <v/>
      </c>
      <c r="AH48" s="97">
        <f>SUMPRODUCT(MMULT('M3'!$M48:$AZ48,'M1'!AH$10:AH$49))</f>
        <v/>
      </c>
      <c r="AI48" s="97">
        <f>SUMPRODUCT(MMULT('M3'!$M48:$AZ48,'M1'!AI$10:AI$49))</f>
        <v/>
      </c>
      <c r="AJ48" s="97">
        <f>SUMPRODUCT(MMULT('M3'!$M48:$AZ48,'M1'!AJ$10:AJ$49))</f>
        <v/>
      </c>
      <c r="AK48" s="97">
        <f>SUMPRODUCT(MMULT('M3'!$M48:$AZ48,'M1'!AK$10:AK$49))</f>
        <v/>
      </c>
      <c r="AL48" s="97">
        <f>SUMPRODUCT(MMULT('M3'!$M48:$AZ48,'M1'!AL$10:AL$49))</f>
        <v/>
      </c>
      <c r="AM48" s="97">
        <f>SUMPRODUCT(MMULT('M3'!$M48:$AZ48,'M1'!AM$10:AM$49))</f>
        <v/>
      </c>
      <c r="AN48" s="97">
        <f>SUMPRODUCT(MMULT('M3'!$M48:$AZ48,'M1'!AN$10:AN$49))</f>
        <v/>
      </c>
      <c r="AO48" s="97">
        <f>SUMPRODUCT(MMULT('M3'!$M48:$AZ48,'M1'!AO$10:AO$49))</f>
        <v/>
      </c>
      <c r="AP48" s="97">
        <f>SUMPRODUCT(MMULT('M3'!$M48:$AZ48,'M1'!AP$10:AP$49))</f>
        <v/>
      </c>
      <c r="AQ48" s="97">
        <f>SUMPRODUCT(MMULT('M3'!$M48:$AZ48,'M1'!AQ$10:AQ$49))</f>
        <v/>
      </c>
      <c r="AR48" s="97">
        <f>SUMPRODUCT(MMULT('M3'!$M48:$AZ48,'M1'!AR$10:AR$49))</f>
        <v/>
      </c>
      <c r="AS48" s="97">
        <f>SUMPRODUCT(MMULT('M3'!$M48:$AZ48,'M1'!AS$10:AS$49))</f>
        <v/>
      </c>
      <c r="AT48" s="97">
        <f>SUMPRODUCT(MMULT('M3'!$M48:$AZ48,'M1'!AT$10:AT$49))</f>
        <v/>
      </c>
      <c r="AU48" s="97">
        <f>SUMPRODUCT(MMULT('M3'!$M48:$AZ48,'M1'!AU$10:AU$49))</f>
        <v/>
      </c>
      <c r="AV48" s="97">
        <f>SUMPRODUCT(MMULT('M3'!$M48:$AZ48,'M1'!AV$10:AV$49))</f>
        <v/>
      </c>
      <c r="AW48" s="97">
        <f>SUMPRODUCT(MMULT('M3'!$M48:$AZ48,'M1'!AW$10:AW$49))</f>
        <v/>
      </c>
      <c r="AX48" s="97">
        <f>SUMPRODUCT(MMULT('M3'!$M48:$AZ48,'M1'!AX$10:AX$49))</f>
        <v/>
      </c>
      <c r="AY48" s="97">
        <f>SUMPRODUCT(MMULT('M3'!$M48:$AZ48,'M1'!AY$10:AY$49))</f>
        <v/>
      </c>
      <c r="AZ48" s="97">
        <f>SUMPRODUCT(MMULT('M3'!$M48:$AZ48,'M1'!AZ$10:AZ$49))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SUMPRODUCT(MMULT('M3'!$M49:$AZ49,'M1'!M$10:M$49))</f>
        <v/>
      </c>
      <c r="N49" s="97">
        <f>SUMPRODUCT(MMULT('M3'!$M49:$AZ49,'M1'!N$10:N$49))</f>
        <v/>
      </c>
      <c r="O49" s="97">
        <f>SUMPRODUCT(MMULT('M3'!$M49:$AZ49,'M1'!O$10:O$49))</f>
        <v/>
      </c>
      <c r="P49" s="97">
        <f>SUMPRODUCT(MMULT('M3'!$M49:$AZ49,'M1'!P$10:P$49))</f>
        <v/>
      </c>
      <c r="Q49" s="97">
        <f>SUMPRODUCT(MMULT('M3'!$M49:$AZ49,'M1'!Q$10:Q$49))</f>
        <v/>
      </c>
      <c r="R49" s="97">
        <f>SUMPRODUCT(MMULT('M3'!$M49:$AZ49,'M1'!R$10:R$49))</f>
        <v/>
      </c>
      <c r="S49" s="97">
        <f>SUMPRODUCT(MMULT('M3'!$M49:$AZ49,'M1'!S$10:S$49))</f>
        <v/>
      </c>
      <c r="T49" s="97">
        <f>SUMPRODUCT(MMULT('M3'!$M49:$AZ49,'M1'!T$10:T$49))</f>
        <v/>
      </c>
      <c r="U49" s="97">
        <f>SUMPRODUCT(MMULT('M3'!$M49:$AZ49,'M1'!U$10:U$49))</f>
        <v/>
      </c>
      <c r="V49" s="97">
        <f>SUMPRODUCT(MMULT('M3'!$M49:$AZ49,'M1'!V$10:V$49))</f>
        <v/>
      </c>
      <c r="W49" s="97">
        <f>SUMPRODUCT(MMULT('M3'!$M49:$AZ49,'M1'!W$10:W$49))</f>
        <v/>
      </c>
      <c r="X49" s="97">
        <f>SUMPRODUCT(MMULT('M3'!$M49:$AZ49,'M1'!X$10:X$49))</f>
        <v/>
      </c>
      <c r="Y49" s="97">
        <f>SUMPRODUCT(MMULT('M3'!$M49:$AZ49,'M1'!Y$10:Y$49))</f>
        <v/>
      </c>
      <c r="Z49" s="97">
        <f>SUMPRODUCT(MMULT('M3'!$M49:$AZ49,'M1'!Z$10:Z$49))</f>
        <v/>
      </c>
      <c r="AA49" s="97">
        <f>SUMPRODUCT(MMULT('M3'!$M49:$AZ49,'M1'!AA$10:AA$49))</f>
        <v/>
      </c>
      <c r="AB49" s="97">
        <f>SUMPRODUCT(MMULT('M3'!$M49:$AZ49,'M1'!AB$10:AB$49))</f>
        <v/>
      </c>
      <c r="AC49" s="97">
        <f>SUMPRODUCT(MMULT('M3'!$M49:$AZ49,'M1'!AC$10:AC$49))</f>
        <v/>
      </c>
      <c r="AD49" s="97">
        <f>SUMPRODUCT(MMULT('M3'!$M49:$AZ49,'M1'!AD$10:AD$49))</f>
        <v/>
      </c>
      <c r="AE49" s="97">
        <f>SUMPRODUCT(MMULT('M3'!$M49:$AZ49,'M1'!AE$10:AE$49))</f>
        <v/>
      </c>
      <c r="AF49" s="97">
        <f>SUMPRODUCT(MMULT('M3'!$M49:$AZ49,'M1'!AF$10:AF$49))</f>
        <v/>
      </c>
      <c r="AG49" s="97">
        <f>SUMPRODUCT(MMULT('M3'!$M49:$AZ49,'M1'!AG$10:AG$49))</f>
        <v/>
      </c>
      <c r="AH49" s="97">
        <f>SUMPRODUCT(MMULT('M3'!$M49:$AZ49,'M1'!AH$10:AH$49))</f>
        <v/>
      </c>
      <c r="AI49" s="97">
        <f>SUMPRODUCT(MMULT('M3'!$M49:$AZ49,'M1'!AI$10:AI$49))</f>
        <v/>
      </c>
      <c r="AJ49" s="97">
        <f>SUMPRODUCT(MMULT('M3'!$M49:$AZ49,'M1'!AJ$10:AJ$49))</f>
        <v/>
      </c>
      <c r="AK49" s="97">
        <f>SUMPRODUCT(MMULT('M3'!$M49:$AZ49,'M1'!AK$10:AK$49))</f>
        <v/>
      </c>
      <c r="AL49" s="97">
        <f>SUMPRODUCT(MMULT('M3'!$M49:$AZ49,'M1'!AL$10:AL$49))</f>
        <v/>
      </c>
      <c r="AM49" s="97">
        <f>SUMPRODUCT(MMULT('M3'!$M49:$AZ49,'M1'!AM$10:AM$49))</f>
        <v/>
      </c>
      <c r="AN49" s="97">
        <f>SUMPRODUCT(MMULT('M3'!$M49:$AZ49,'M1'!AN$10:AN$49))</f>
        <v/>
      </c>
      <c r="AO49" s="97">
        <f>SUMPRODUCT(MMULT('M3'!$M49:$AZ49,'M1'!AO$10:AO$49))</f>
        <v/>
      </c>
      <c r="AP49" s="97">
        <f>SUMPRODUCT(MMULT('M3'!$M49:$AZ49,'M1'!AP$10:AP$49))</f>
        <v/>
      </c>
      <c r="AQ49" s="97">
        <f>SUMPRODUCT(MMULT('M3'!$M49:$AZ49,'M1'!AQ$10:AQ$49))</f>
        <v/>
      </c>
      <c r="AR49" s="97">
        <f>SUMPRODUCT(MMULT('M3'!$M49:$AZ49,'M1'!AR$10:AR$49))</f>
        <v/>
      </c>
      <c r="AS49" s="97">
        <f>SUMPRODUCT(MMULT('M3'!$M49:$AZ49,'M1'!AS$10:AS$49))</f>
        <v/>
      </c>
      <c r="AT49" s="97">
        <f>SUMPRODUCT(MMULT('M3'!$M49:$AZ49,'M1'!AT$10:AT$49))</f>
        <v/>
      </c>
      <c r="AU49" s="97">
        <f>SUMPRODUCT(MMULT('M3'!$M49:$AZ49,'M1'!AU$10:AU$49))</f>
        <v/>
      </c>
      <c r="AV49" s="97">
        <f>SUMPRODUCT(MMULT('M3'!$M49:$AZ49,'M1'!AV$10:AV$49))</f>
        <v/>
      </c>
      <c r="AW49" s="97">
        <f>SUMPRODUCT(MMULT('M3'!$M49:$AZ49,'M1'!AW$10:AW$49))</f>
        <v/>
      </c>
      <c r="AX49" s="97">
        <f>SUMPRODUCT(MMULT('M3'!$M49:$AZ49,'M1'!AX$10:AX$49))</f>
        <v/>
      </c>
      <c r="AY49" s="97">
        <f>SUMPRODUCT(MMULT('M3'!$M49:$AZ49,'M1'!AY$10:AY$49))</f>
        <v/>
      </c>
      <c r="AZ49" s="97">
        <f>SUMPRODUCT(MMULT('M3'!$M49:$AZ49,'M1'!AZ$10:AZ$49))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7.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S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4.5" customWidth="1" style="62" min="13" max="52"/>
  </cols>
  <sheetData>
    <row r="1" ht="30" customHeight="1" s="62">
      <c r="A1" s="65" t="inlineStr">
        <is>
          <t>M5  |  Recorridos de exactamente 5 vínculos</t>
        </is>
      </c>
    </row>
    <row r="2" ht="46" customHeight="1" s="62">
      <c r="A2" s="63" t="inlineStr">
        <is>
          <t>Cada celda suma productos de una fila de M4 por una columna de M (≡ M1). Los valores son pesos de recorridos, no personas ni porcentajes. Regla: M5 = M4 × M. No eleve cada celda al exponente 5; no multiplique M4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SUMPRODUCT(MMULT('M4'!$M10:$AZ10,'M1'!M$10:M$49))</f>
        <v/>
      </c>
      <c r="N10" s="97">
        <f>SUMPRODUCT(MMULT('M4'!$M10:$AZ10,'M1'!N$10:N$49))</f>
        <v/>
      </c>
      <c r="O10" s="97">
        <f>SUMPRODUCT(MMULT('M4'!$M10:$AZ10,'M1'!O$10:O$49))</f>
        <v/>
      </c>
      <c r="P10" s="97">
        <f>SUMPRODUCT(MMULT('M4'!$M10:$AZ10,'M1'!P$10:P$49))</f>
        <v/>
      </c>
      <c r="Q10" s="97">
        <f>SUMPRODUCT(MMULT('M4'!$M10:$AZ10,'M1'!Q$10:Q$49))</f>
        <v/>
      </c>
      <c r="R10" s="97">
        <f>SUMPRODUCT(MMULT('M4'!$M10:$AZ10,'M1'!R$10:R$49))</f>
        <v/>
      </c>
      <c r="S10" s="97">
        <f>SUMPRODUCT(MMULT('M4'!$M10:$AZ10,'M1'!S$10:S$49))</f>
        <v/>
      </c>
      <c r="T10" s="97">
        <f>SUMPRODUCT(MMULT('M4'!$M10:$AZ10,'M1'!T$10:T$49))</f>
        <v/>
      </c>
      <c r="U10" s="97">
        <f>SUMPRODUCT(MMULT('M4'!$M10:$AZ10,'M1'!U$10:U$49))</f>
        <v/>
      </c>
      <c r="V10" s="97">
        <f>SUMPRODUCT(MMULT('M4'!$M10:$AZ10,'M1'!V$10:V$49))</f>
        <v/>
      </c>
      <c r="W10" s="97">
        <f>SUMPRODUCT(MMULT('M4'!$M10:$AZ10,'M1'!W$10:W$49))</f>
        <v/>
      </c>
      <c r="X10" s="97">
        <f>SUMPRODUCT(MMULT('M4'!$M10:$AZ10,'M1'!X$10:X$49))</f>
        <v/>
      </c>
      <c r="Y10" s="97">
        <f>SUMPRODUCT(MMULT('M4'!$M10:$AZ10,'M1'!Y$10:Y$49))</f>
        <v/>
      </c>
      <c r="Z10" s="97">
        <f>SUMPRODUCT(MMULT('M4'!$M10:$AZ10,'M1'!Z$10:Z$49))</f>
        <v/>
      </c>
      <c r="AA10" s="97">
        <f>SUMPRODUCT(MMULT('M4'!$M10:$AZ10,'M1'!AA$10:AA$49))</f>
        <v/>
      </c>
      <c r="AB10" s="97">
        <f>SUMPRODUCT(MMULT('M4'!$M10:$AZ10,'M1'!AB$10:AB$49))</f>
        <v/>
      </c>
      <c r="AC10" s="97">
        <f>SUMPRODUCT(MMULT('M4'!$M10:$AZ10,'M1'!AC$10:AC$49))</f>
        <v/>
      </c>
      <c r="AD10" s="97">
        <f>SUMPRODUCT(MMULT('M4'!$M10:$AZ10,'M1'!AD$10:AD$49))</f>
        <v/>
      </c>
      <c r="AE10" s="97">
        <f>SUMPRODUCT(MMULT('M4'!$M10:$AZ10,'M1'!AE$10:AE$49))</f>
        <v/>
      </c>
      <c r="AF10" s="97">
        <f>SUMPRODUCT(MMULT('M4'!$M10:$AZ10,'M1'!AF$10:AF$49))</f>
        <v/>
      </c>
      <c r="AG10" s="97">
        <f>SUMPRODUCT(MMULT('M4'!$M10:$AZ10,'M1'!AG$10:AG$49))</f>
        <v/>
      </c>
      <c r="AH10" s="97">
        <f>SUMPRODUCT(MMULT('M4'!$M10:$AZ10,'M1'!AH$10:AH$49))</f>
        <v/>
      </c>
      <c r="AI10" s="97">
        <f>SUMPRODUCT(MMULT('M4'!$M10:$AZ10,'M1'!AI$10:AI$49))</f>
        <v/>
      </c>
      <c r="AJ10" s="97">
        <f>SUMPRODUCT(MMULT('M4'!$M10:$AZ10,'M1'!AJ$10:AJ$49))</f>
        <v/>
      </c>
      <c r="AK10" s="97">
        <f>SUMPRODUCT(MMULT('M4'!$M10:$AZ10,'M1'!AK$10:AK$49))</f>
        <v/>
      </c>
      <c r="AL10" s="97">
        <f>SUMPRODUCT(MMULT('M4'!$M10:$AZ10,'M1'!AL$10:AL$49))</f>
        <v/>
      </c>
      <c r="AM10" s="97">
        <f>SUMPRODUCT(MMULT('M4'!$M10:$AZ10,'M1'!AM$10:AM$49))</f>
        <v/>
      </c>
      <c r="AN10" s="97">
        <f>SUMPRODUCT(MMULT('M4'!$M10:$AZ10,'M1'!AN$10:AN$49))</f>
        <v/>
      </c>
      <c r="AO10" s="97">
        <f>SUMPRODUCT(MMULT('M4'!$M10:$AZ10,'M1'!AO$10:AO$49))</f>
        <v/>
      </c>
      <c r="AP10" s="97">
        <f>SUMPRODUCT(MMULT('M4'!$M10:$AZ10,'M1'!AP$10:AP$49))</f>
        <v/>
      </c>
      <c r="AQ10" s="97">
        <f>SUMPRODUCT(MMULT('M4'!$M10:$AZ10,'M1'!AQ$10:AQ$49))</f>
        <v/>
      </c>
      <c r="AR10" s="97">
        <f>SUMPRODUCT(MMULT('M4'!$M10:$AZ10,'M1'!AR$10:AR$49))</f>
        <v/>
      </c>
      <c r="AS10" s="97">
        <f>SUMPRODUCT(MMULT('M4'!$M10:$AZ10,'M1'!AS$10:AS$49))</f>
        <v/>
      </c>
      <c r="AT10" s="97">
        <f>SUMPRODUCT(MMULT('M4'!$M10:$AZ10,'M1'!AT$10:AT$49))</f>
        <v/>
      </c>
      <c r="AU10" s="97">
        <f>SUMPRODUCT(MMULT('M4'!$M10:$AZ10,'M1'!AU$10:AU$49))</f>
        <v/>
      </c>
      <c r="AV10" s="97">
        <f>SUMPRODUCT(MMULT('M4'!$M10:$AZ10,'M1'!AV$10:AV$49))</f>
        <v/>
      </c>
      <c r="AW10" s="97">
        <f>SUMPRODUCT(MMULT('M4'!$M10:$AZ10,'M1'!AW$10:AW$49))</f>
        <v/>
      </c>
      <c r="AX10" s="97">
        <f>SUMPRODUCT(MMULT('M4'!$M10:$AZ10,'M1'!AX$10:AX$49))</f>
        <v/>
      </c>
      <c r="AY10" s="97">
        <f>SUMPRODUCT(MMULT('M4'!$M10:$AZ10,'M1'!AY$10:AY$49))</f>
        <v/>
      </c>
      <c r="AZ10" s="97">
        <f>SUMPRODUCT(MMULT('M4'!$M10:$AZ10,'M1'!AZ$10:AZ$49))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SUMPRODUCT(MMULT('M4'!$M11:$AZ11,'M1'!M$10:M$49))</f>
        <v/>
      </c>
      <c r="N11" s="97">
        <f>SUMPRODUCT(MMULT('M4'!$M11:$AZ11,'M1'!N$10:N$49))</f>
        <v/>
      </c>
      <c r="O11" s="97">
        <f>SUMPRODUCT(MMULT('M4'!$M11:$AZ11,'M1'!O$10:O$49))</f>
        <v/>
      </c>
      <c r="P11" s="97">
        <f>SUMPRODUCT(MMULT('M4'!$M11:$AZ11,'M1'!P$10:P$49))</f>
        <v/>
      </c>
      <c r="Q11" s="97">
        <f>SUMPRODUCT(MMULT('M4'!$M11:$AZ11,'M1'!Q$10:Q$49))</f>
        <v/>
      </c>
      <c r="R11" s="97">
        <f>SUMPRODUCT(MMULT('M4'!$M11:$AZ11,'M1'!R$10:R$49))</f>
        <v/>
      </c>
      <c r="S11" s="97">
        <f>SUMPRODUCT(MMULT('M4'!$M11:$AZ11,'M1'!S$10:S$49))</f>
        <v/>
      </c>
      <c r="T11" s="97">
        <f>SUMPRODUCT(MMULT('M4'!$M11:$AZ11,'M1'!T$10:T$49))</f>
        <v/>
      </c>
      <c r="U11" s="97">
        <f>SUMPRODUCT(MMULT('M4'!$M11:$AZ11,'M1'!U$10:U$49))</f>
        <v/>
      </c>
      <c r="V11" s="97">
        <f>SUMPRODUCT(MMULT('M4'!$M11:$AZ11,'M1'!V$10:V$49))</f>
        <v/>
      </c>
      <c r="W11" s="97">
        <f>SUMPRODUCT(MMULT('M4'!$M11:$AZ11,'M1'!W$10:W$49))</f>
        <v/>
      </c>
      <c r="X11" s="97">
        <f>SUMPRODUCT(MMULT('M4'!$M11:$AZ11,'M1'!X$10:X$49))</f>
        <v/>
      </c>
      <c r="Y11" s="97">
        <f>SUMPRODUCT(MMULT('M4'!$M11:$AZ11,'M1'!Y$10:Y$49))</f>
        <v/>
      </c>
      <c r="Z11" s="97">
        <f>SUMPRODUCT(MMULT('M4'!$M11:$AZ11,'M1'!Z$10:Z$49))</f>
        <v/>
      </c>
      <c r="AA11" s="97">
        <f>SUMPRODUCT(MMULT('M4'!$M11:$AZ11,'M1'!AA$10:AA$49))</f>
        <v/>
      </c>
      <c r="AB11" s="97">
        <f>SUMPRODUCT(MMULT('M4'!$M11:$AZ11,'M1'!AB$10:AB$49))</f>
        <v/>
      </c>
      <c r="AC11" s="97">
        <f>SUMPRODUCT(MMULT('M4'!$M11:$AZ11,'M1'!AC$10:AC$49))</f>
        <v/>
      </c>
      <c r="AD11" s="97">
        <f>SUMPRODUCT(MMULT('M4'!$M11:$AZ11,'M1'!AD$10:AD$49))</f>
        <v/>
      </c>
      <c r="AE11" s="97">
        <f>SUMPRODUCT(MMULT('M4'!$M11:$AZ11,'M1'!AE$10:AE$49))</f>
        <v/>
      </c>
      <c r="AF11" s="97">
        <f>SUMPRODUCT(MMULT('M4'!$M11:$AZ11,'M1'!AF$10:AF$49))</f>
        <v/>
      </c>
      <c r="AG11" s="97">
        <f>SUMPRODUCT(MMULT('M4'!$M11:$AZ11,'M1'!AG$10:AG$49))</f>
        <v/>
      </c>
      <c r="AH11" s="97">
        <f>SUMPRODUCT(MMULT('M4'!$M11:$AZ11,'M1'!AH$10:AH$49))</f>
        <v/>
      </c>
      <c r="AI11" s="97">
        <f>SUMPRODUCT(MMULT('M4'!$M11:$AZ11,'M1'!AI$10:AI$49))</f>
        <v/>
      </c>
      <c r="AJ11" s="97">
        <f>SUMPRODUCT(MMULT('M4'!$M11:$AZ11,'M1'!AJ$10:AJ$49))</f>
        <v/>
      </c>
      <c r="AK11" s="97">
        <f>SUMPRODUCT(MMULT('M4'!$M11:$AZ11,'M1'!AK$10:AK$49))</f>
        <v/>
      </c>
      <c r="AL11" s="97">
        <f>SUMPRODUCT(MMULT('M4'!$M11:$AZ11,'M1'!AL$10:AL$49))</f>
        <v/>
      </c>
      <c r="AM11" s="97">
        <f>SUMPRODUCT(MMULT('M4'!$M11:$AZ11,'M1'!AM$10:AM$49))</f>
        <v/>
      </c>
      <c r="AN11" s="97">
        <f>SUMPRODUCT(MMULT('M4'!$M11:$AZ11,'M1'!AN$10:AN$49))</f>
        <v/>
      </c>
      <c r="AO11" s="97">
        <f>SUMPRODUCT(MMULT('M4'!$M11:$AZ11,'M1'!AO$10:AO$49))</f>
        <v/>
      </c>
      <c r="AP11" s="97">
        <f>SUMPRODUCT(MMULT('M4'!$M11:$AZ11,'M1'!AP$10:AP$49))</f>
        <v/>
      </c>
      <c r="AQ11" s="97">
        <f>SUMPRODUCT(MMULT('M4'!$M11:$AZ11,'M1'!AQ$10:AQ$49))</f>
        <v/>
      </c>
      <c r="AR11" s="97">
        <f>SUMPRODUCT(MMULT('M4'!$M11:$AZ11,'M1'!AR$10:AR$49))</f>
        <v/>
      </c>
      <c r="AS11" s="97">
        <f>SUMPRODUCT(MMULT('M4'!$M11:$AZ11,'M1'!AS$10:AS$49))</f>
        <v/>
      </c>
      <c r="AT11" s="97">
        <f>SUMPRODUCT(MMULT('M4'!$M11:$AZ11,'M1'!AT$10:AT$49))</f>
        <v/>
      </c>
      <c r="AU11" s="97">
        <f>SUMPRODUCT(MMULT('M4'!$M11:$AZ11,'M1'!AU$10:AU$49))</f>
        <v/>
      </c>
      <c r="AV11" s="97">
        <f>SUMPRODUCT(MMULT('M4'!$M11:$AZ11,'M1'!AV$10:AV$49))</f>
        <v/>
      </c>
      <c r="AW11" s="97">
        <f>SUMPRODUCT(MMULT('M4'!$M11:$AZ11,'M1'!AW$10:AW$49))</f>
        <v/>
      </c>
      <c r="AX11" s="97">
        <f>SUMPRODUCT(MMULT('M4'!$M11:$AZ11,'M1'!AX$10:AX$49))</f>
        <v/>
      </c>
      <c r="AY11" s="97">
        <f>SUMPRODUCT(MMULT('M4'!$M11:$AZ11,'M1'!AY$10:AY$49))</f>
        <v/>
      </c>
      <c r="AZ11" s="97">
        <f>SUMPRODUCT(MMULT('M4'!$M11:$AZ11,'M1'!AZ$10:AZ$49))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SUMPRODUCT(MMULT('M4'!$M12:$AZ12,'M1'!M$10:M$49))</f>
        <v/>
      </c>
      <c r="N12" s="97">
        <f>SUMPRODUCT(MMULT('M4'!$M12:$AZ12,'M1'!N$10:N$49))</f>
        <v/>
      </c>
      <c r="O12" s="97">
        <f>SUMPRODUCT(MMULT('M4'!$M12:$AZ12,'M1'!O$10:O$49))</f>
        <v/>
      </c>
      <c r="P12" s="97">
        <f>SUMPRODUCT(MMULT('M4'!$M12:$AZ12,'M1'!P$10:P$49))</f>
        <v/>
      </c>
      <c r="Q12" s="97">
        <f>SUMPRODUCT(MMULT('M4'!$M12:$AZ12,'M1'!Q$10:Q$49))</f>
        <v/>
      </c>
      <c r="R12" s="97">
        <f>SUMPRODUCT(MMULT('M4'!$M12:$AZ12,'M1'!R$10:R$49))</f>
        <v/>
      </c>
      <c r="S12" s="97">
        <f>SUMPRODUCT(MMULT('M4'!$M12:$AZ12,'M1'!S$10:S$49))</f>
        <v/>
      </c>
      <c r="T12" s="97">
        <f>SUMPRODUCT(MMULT('M4'!$M12:$AZ12,'M1'!T$10:T$49))</f>
        <v/>
      </c>
      <c r="U12" s="97">
        <f>SUMPRODUCT(MMULT('M4'!$M12:$AZ12,'M1'!U$10:U$49))</f>
        <v/>
      </c>
      <c r="V12" s="97">
        <f>SUMPRODUCT(MMULT('M4'!$M12:$AZ12,'M1'!V$10:V$49))</f>
        <v/>
      </c>
      <c r="W12" s="97">
        <f>SUMPRODUCT(MMULT('M4'!$M12:$AZ12,'M1'!W$10:W$49))</f>
        <v/>
      </c>
      <c r="X12" s="97">
        <f>SUMPRODUCT(MMULT('M4'!$M12:$AZ12,'M1'!X$10:X$49))</f>
        <v/>
      </c>
      <c r="Y12" s="97">
        <f>SUMPRODUCT(MMULT('M4'!$M12:$AZ12,'M1'!Y$10:Y$49))</f>
        <v/>
      </c>
      <c r="Z12" s="97">
        <f>SUMPRODUCT(MMULT('M4'!$M12:$AZ12,'M1'!Z$10:Z$49))</f>
        <v/>
      </c>
      <c r="AA12" s="97">
        <f>SUMPRODUCT(MMULT('M4'!$M12:$AZ12,'M1'!AA$10:AA$49))</f>
        <v/>
      </c>
      <c r="AB12" s="97">
        <f>SUMPRODUCT(MMULT('M4'!$M12:$AZ12,'M1'!AB$10:AB$49))</f>
        <v/>
      </c>
      <c r="AC12" s="97">
        <f>SUMPRODUCT(MMULT('M4'!$M12:$AZ12,'M1'!AC$10:AC$49))</f>
        <v/>
      </c>
      <c r="AD12" s="97">
        <f>SUMPRODUCT(MMULT('M4'!$M12:$AZ12,'M1'!AD$10:AD$49))</f>
        <v/>
      </c>
      <c r="AE12" s="97">
        <f>SUMPRODUCT(MMULT('M4'!$M12:$AZ12,'M1'!AE$10:AE$49))</f>
        <v/>
      </c>
      <c r="AF12" s="97">
        <f>SUMPRODUCT(MMULT('M4'!$M12:$AZ12,'M1'!AF$10:AF$49))</f>
        <v/>
      </c>
      <c r="AG12" s="97">
        <f>SUMPRODUCT(MMULT('M4'!$M12:$AZ12,'M1'!AG$10:AG$49))</f>
        <v/>
      </c>
      <c r="AH12" s="97">
        <f>SUMPRODUCT(MMULT('M4'!$M12:$AZ12,'M1'!AH$10:AH$49))</f>
        <v/>
      </c>
      <c r="AI12" s="97">
        <f>SUMPRODUCT(MMULT('M4'!$M12:$AZ12,'M1'!AI$10:AI$49))</f>
        <v/>
      </c>
      <c r="AJ12" s="97">
        <f>SUMPRODUCT(MMULT('M4'!$M12:$AZ12,'M1'!AJ$10:AJ$49))</f>
        <v/>
      </c>
      <c r="AK12" s="97">
        <f>SUMPRODUCT(MMULT('M4'!$M12:$AZ12,'M1'!AK$10:AK$49))</f>
        <v/>
      </c>
      <c r="AL12" s="97">
        <f>SUMPRODUCT(MMULT('M4'!$M12:$AZ12,'M1'!AL$10:AL$49))</f>
        <v/>
      </c>
      <c r="AM12" s="97">
        <f>SUMPRODUCT(MMULT('M4'!$M12:$AZ12,'M1'!AM$10:AM$49))</f>
        <v/>
      </c>
      <c r="AN12" s="97">
        <f>SUMPRODUCT(MMULT('M4'!$M12:$AZ12,'M1'!AN$10:AN$49))</f>
        <v/>
      </c>
      <c r="AO12" s="97">
        <f>SUMPRODUCT(MMULT('M4'!$M12:$AZ12,'M1'!AO$10:AO$49))</f>
        <v/>
      </c>
      <c r="AP12" s="97">
        <f>SUMPRODUCT(MMULT('M4'!$M12:$AZ12,'M1'!AP$10:AP$49))</f>
        <v/>
      </c>
      <c r="AQ12" s="97">
        <f>SUMPRODUCT(MMULT('M4'!$M12:$AZ12,'M1'!AQ$10:AQ$49))</f>
        <v/>
      </c>
      <c r="AR12" s="97">
        <f>SUMPRODUCT(MMULT('M4'!$M12:$AZ12,'M1'!AR$10:AR$49))</f>
        <v/>
      </c>
      <c r="AS12" s="97">
        <f>SUMPRODUCT(MMULT('M4'!$M12:$AZ12,'M1'!AS$10:AS$49))</f>
        <v/>
      </c>
      <c r="AT12" s="97">
        <f>SUMPRODUCT(MMULT('M4'!$M12:$AZ12,'M1'!AT$10:AT$49))</f>
        <v/>
      </c>
      <c r="AU12" s="97">
        <f>SUMPRODUCT(MMULT('M4'!$M12:$AZ12,'M1'!AU$10:AU$49))</f>
        <v/>
      </c>
      <c r="AV12" s="97">
        <f>SUMPRODUCT(MMULT('M4'!$M12:$AZ12,'M1'!AV$10:AV$49))</f>
        <v/>
      </c>
      <c r="AW12" s="97">
        <f>SUMPRODUCT(MMULT('M4'!$M12:$AZ12,'M1'!AW$10:AW$49))</f>
        <v/>
      </c>
      <c r="AX12" s="97">
        <f>SUMPRODUCT(MMULT('M4'!$M12:$AZ12,'M1'!AX$10:AX$49))</f>
        <v/>
      </c>
      <c r="AY12" s="97">
        <f>SUMPRODUCT(MMULT('M4'!$M12:$AZ12,'M1'!AY$10:AY$49))</f>
        <v/>
      </c>
      <c r="AZ12" s="97">
        <f>SUMPRODUCT(MMULT('M4'!$M12:$AZ12,'M1'!AZ$10:AZ$49))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SUMPRODUCT(MMULT('M4'!$M13:$AZ13,'M1'!M$10:M$49))</f>
        <v/>
      </c>
      <c r="N13" s="97">
        <f>SUMPRODUCT(MMULT('M4'!$M13:$AZ13,'M1'!N$10:N$49))</f>
        <v/>
      </c>
      <c r="O13" s="97">
        <f>SUMPRODUCT(MMULT('M4'!$M13:$AZ13,'M1'!O$10:O$49))</f>
        <v/>
      </c>
      <c r="P13" s="97">
        <f>SUMPRODUCT(MMULT('M4'!$M13:$AZ13,'M1'!P$10:P$49))</f>
        <v/>
      </c>
      <c r="Q13" s="97">
        <f>SUMPRODUCT(MMULT('M4'!$M13:$AZ13,'M1'!Q$10:Q$49))</f>
        <v/>
      </c>
      <c r="R13" s="97">
        <f>SUMPRODUCT(MMULT('M4'!$M13:$AZ13,'M1'!R$10:R$49))</f>
        <v/>
      </c>
      <c r="S13" s="97">
        <f>SUMPRODUCT(MMULT('M4'!$M13:$AZ13,'M1'!S$10:S$49))</f>
        <v/>
      </c>
      <c r="T13" s="97">
        <f>SUMPRODUCT(MMULT('M4'!$M13:$AZ13,'M1'!T$10:T$49))</f>
        <v/>
      </c>
      <c r="U13" s="97">
        <f>SUMPRODUCT(MMULT('M4'!$M13:$AZ13,'M1'!U$10:U$49))</f>
        <v/>
      </c>
      <c r="V13" s="97">
        <f>SUMPRODUCT(MMULT('M4'!$M13:$AZ13,'M1'!V$10:V$49))</f>
        <v/>
      </c>
      <c r="W13" s="97">
        <f>SUMPRODUCT(MMULT('M4'!$M13:$AZ13,'M1'!W$10:W$49))</f>
        <v/>
      </c>
      <c r="X13" s="97">
        <f>SUMPRODUCT(MMULT('M4'!$M13:$AZ13,'M1'!X$10:X$49))</f>
        <v/>
      </c>
      <c r="Y13" s="97">
        <f>SUMPRODUCT(MMULT('M4'!$M13:$AZ13,'M1'!Y$10:Y$49))</f>
        <v/>
      </c>
      <c r="Z13" s="97">
        <f>SUMPRODUCT(MMULT('M4'!$M13:$AZ13,'M1'!Z$10:Z$49))</f>
        <v/>
      </c>
      <c r="AA13" s="97">
        <f>SUMPRODUCT(MMULT('M4'!$M13:$AZ13,'M1'!AA$10:AA$49))</f>
        <v/>
      </c>
      <c r="AB13" s="97">
        <f>SUMPRODUCT(MMULT('M4'!$M13:$AZ13,'M1'!AB$10:AB$49))</f>
        <v/>
      </c>
      <c r="AC13" s="97">
        <f>SUMPRODUCT(MMULT('M4'!$M13:$AZ13,'M1'!AC$10:AC$49))</f>
        <v/>
      </c>
      <c r="AD13" s="97">
        <f>SUMPRODUCT(MMULT('M4'!$M13:$AZ13,'M1'!AD$10:AD$49))</f>
        <v/>
      </c>
      <c r="AE13" s="97">
        <f>SUMPRODUCT(MMULT('M4'!$M13:$AZ13,'M1'!AE$10:AE$49))</f>
        <v/>
      </c>
      <c r="AF13" s="97">
        <f>SUMPRODUCT(MMULT('M4'!$M13:$AZ13,'M1'!AF$10:AF$49))</f>
        <v/>
      </c>
      <c r="AG13" s="97">
        <f>SUMPRODUCT(MMULT('M4'!$M13:$AZ13,'M1'!AG$10:AG$49))</f>
        <v/>
      </c>
      <c r="AH13" s="97">
        <f>SUMPRODUCT(MMULT('M4'!$M13:$AZ13,'M1'!AH$10:AH$49))</f>
        <v/>
      </c>
      <c r="AI13" s="97">
        <f>SUMPRODUCT(MMULT('M4'!$M13:$AZ13,'M1'!AI$10:AI$49))</f>
        <v/>
      </c>
      <c r="AJ13" s="97">
        <f>SUMPRODUCT(MMULT('M4'!$M13:$AZ13,'M1'!AJ$10:AJ$49))</f>
        <v/>
      </c>
      <c r="AK13" s="97">
        <f>SUMPRODUCT(MMULT('M4'!$M13:$AZ13,'M1'!AK$10:AK$49))</f>
        <v/>
      </c>
      <c r="AL13" s="97">
        <f>SUMPRODUCT(MMULT('M4'!$M13:$AZ13,'M1'!AL$10:AL$49))</f>
        <v/>
      </c>
      <c r="AM13" s="97">
        <f>SUMPRODUCT(MMULT('M4'!$M13:$AZ13,'M1'!AM$10:AM$49))</f>
        <v/>
      </c>
      <c r="AN13" s="97">
        <f>SUMPRODUCT(MMULT('M4'!$M13:$AZ13,'M1'!AN$10:AN$49))</f>
        <v/>
      </c>
      <c r="AO13" s="97">
        <f>SUMPRODUCT(MMULT('M4'!$M13:$AZ13,'M1'!AO$10:AO$49))</f>
        <v/>
      </c>
      <c r="AP13" s="97">
        <f>SUMPRODUCT(MMULT('M4'!$M13:$AZ13,'M1'!AP$10:AP$49))</f>
        <v/>
      </c>
      <c r="AQ13" s="97">
        <f>SUMPRODUCT(MMULT('M4'!$M13:$AZ13,'M1'!AQ$10:AQ$49))</f>
        <v/>
      </c>
      <c r="AR13" s="97">
        <f>SUMPRODUCT(MMULT('M4'!$M13:$AZ13,'M1'!AR$10:AR$49))</f>
        <v/>
      </c>
      <c r="AS13" s="97">
        <f>SUMPRODUCT(MMULT('M4'!$M13:$AZ13,'M1'!AS$10:AS$49))</f>
        <v/>
      </c>
      <c r="AT13" s="97">
        <f>SUMPRODUCT(MMULT('M4'!$M13:$AZ13,'M1'!AT$10:AT$49))</f>
        <v/>
      </c>
      <c r="AU13" s="97">
        <f>SUMPRODUCT(MMULT('M4'!$M13:$AZ13,'M1'!AU$10:AU$49))</f>
        <v/>
      </c>
      <c r="AV13" s="97">
        <f>SUMPRODUCT(MMULT('M4'!$M13:$AZ13,'M1'!AV$10:AV$49))</f>
        <v/>
      </c>
      <c r="AW13" s="97">
        <f>SUMPRODUCT(MMULT('M4'!$M13:$AZ13,'M1'!AW$10:AW$49))</f>
        <v/>
      </c>
      <c r="AX13" s="97">
        <f>SUMPRODUCT(MMULT('M4'!$M13:$AZ13,'M1'!AX$10:AX$49))</f>
        <v/>
      </c>
      <c r="AY13" s="97">
        <f>SUMPRODUCT(MMULT('M4'!$M13:$AZ13,'M1'!AY$10:AY$49))</f>
        <v/>
      </c>
      <c r="AZ13" s="97">
        <f>SUMPRODUCT(MMULT('M4'!$M13:$AZ13,'M1'!AZ$10:AZ$49))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SUMPRODUCT(MMULT('M4'!$M14:$AZ14,'M1'!M$10:M$49))</f>
        <v/>
      </c>
      <c r="N14" s="97">
        <f>SUMPRODUCT(MMULT('M4'!$M14:$AZ14,'M1'!N$10:N$49))</f>
        <v/>
      </c>
      <c r="O14" s="97">
        <f>SUMPRODUCT(MMULT('M4'!$M14:$AZ14,'M1'!O$10:O$49))</f>
        <v/>
      </c>
      <c r="P14" s="97">
        <f>SUMPRODUCT(MMULT('M4'!$M14:$AZ14,'M1'!P$10:P$49))</f>
        <v/>
      </c>
      <c r="Q14" s="97">
        <f>SUMPRODUCT(MMULT('M4'!$M14:$AZ14,'M1'!Q$10:Q$49))</f>
        <v/>
      </c>
      <c r="R14" s="97">
        <f>SUMPRODUCT(MMULT('M4'!$M14:$AZ14,'M1'!R$10:R$49))</f>
        <v/>
      </c>
      <c r="S14" s="97">
        <f>SUMPRODUCT(MMULT('M4'!$M14:$AZ14,'M1'!S$10:S$49))</f>
        <v/>
      </c>
      <c r="T14" s="97">
        <f>SUMPRODUCT(MMULT('M4'!$M14:$AZ14,'M1'!T$10:T$49))</f>
        <v/>
      </c>
      <c r="U14" s="97">
        <f>SUMPRODUCT(MMULT('M4'!$M14:$AZ14,'M1'!U$10:U$49))</f>
        <v/>
      </c>
      <c r="V14" s="97">
        <f>SUMPRODUCT(MMULT('M4'!$M14:$AZ14,'M1'!V$10:V$49))</f>
        <v/>
      </c>
      <c r="W14" s="97">
        <f>SUMPRODUCT(MMULT('M4'!$M14:$AZ14,'M1'!W$10:W$49))</f>
        <v/>
      </c>
      <c r="X14" s="97">
        <f>SUMPRODUCT(MMULT('M4'!$M14:$AZ14,'M1'!X$10:X$49))</f>
        <v/>
      </c>
      <c r="Y14" s="97">
        <f>SUMPRODUCT(MMULT('M4'!$M14:$AZ14,'M1'!Y$10:Y$49))</f>
        <v/>
      </c>
      <c r="Z14" s="97">
        <f>SUMPRODUCT(MMULT('M4'!$M14:$AZ14,'M1'!Z$10:Z$49))</f>
        <v/>
      </c>
      <c r="AA14" s="97">
        <f>SUMPRODUCT(MMULT('M4'!$M14:$AZ14,'M1'!AA$10:AA$49))</f>
        <v/>
      </c>
      <c r="AB14" s="97">
        <f>SUMPRODUCT(MMULT('M4'!$M14:$AZ14,'M1'!AB$10:AB$49))</f>
        <v/>
      </c>
      <c r="AC14" s="97">
        <f>SUMPRODUCT(MMULT('M4'!$M14:$AZ14,'M1'!AC$10:AC$49))</f>
        <v/>
      </c>
      <c r="AD14" s="97">
        <f>SUMPRODUCT(MMULT('M4'!$M14:$AZ14,'M1'!AD$10:AD$49))</f>
        <v/>
      </c>
      <c r="AE14" s="97">
        <f>SUMPRODUCT(MMULT('M4'!$M14:$AZ14,'M1'!AE$10:AE$49))</f>
        <v/>
      </c>
      <c r="AF14" s="97">
        <f>SUMPRODUCT(MMULT('M4'!$M14:$AZ14,'M1'!AF$10:AF$49))</f>
        <v/>
      </c>
      <c r="AG14" s="97">
        <f>SUMPRODUCT(MMULT('M4'!$M14:$AZ14,'M1'!AG$10:AG$49))</f>
        <v/>
      </c>
      <c r="AH14" s="97">
        <f>SUMPRODUCT(MMULT('M4'!$M14:$AZ14,'M1'!AH$10:AH$49))</f>
        <v/>
      </c>
      <c r="AI14" s="97">
        <f>SUMPRODUCT(MMULT('M4'!$M14:$AZ14,'M1'!AI$10:AI$49))</f>
        <v/>
      </c>
      <c r="AJ14" s="97">
        <f>SUMPRODUCT(MMULT('M4'!$M14:$AZ14,'M1'!AJ$10:AJ$49))</f>
        <v/>
      </c>
      <c r="AK14" s="97">
        <f>SUMPRODUCT(MMULT('M4'!$M14:$AZ14,'M1'!AK$10:AK$49))</f>
        <v/>
      </c>
      <c r="AL14" s="97">
        <f>SUMPRODUCT(MMULT('M4'!$M14:$AZ14,'M1'!AL$10:AL$49))</f>
        <v/>
      </c>
      <c r="AM14" s="97">
        <f>SUMPRODUCT(MMULT('M4'!$M14:$AZ14,'M1'!AM$10:AM$49))</f>
        <v/>
      </c>
      <c r="AN14" s="97">
        <f>SUMPRODUCT(MMULT('M4'!$M14:$AZ14,'M1'!AN$10:AN$49))</f>
        <v/>
      </c>
      <c r="AO14" s="97">
        <f>SUMPRODUCT(MMULT('M4'!$M14:$AZ14,'M1'!AO$10:AO$49))</f>
        <v/>
      </c>
      <c r="AP14" s="97">
        <f>SUMPRODUCT(MMULT('M4'!$M14:$AZ14,'M1'!AP$10:AP$49))</f>
        <v/>
      </c>
      <c r="AQ14" s="97">
        <f>SUMPRODUCT(MMULT('M4'!$M14:$AZ14,'M1'!AQ$10:AQ$49))</f>
        <v/>
      </c>
      <c r="AR14" s="97">
        <f>SUMPRODUCT(MMULT('M4'!$M14:$AZ14,'M1'!AR$10:AR$49))</f>
        <v/>
      </c>
      <c r="AS14" s="97">
        <f>SUMPRODUCT(MMULT('M4'!$M14:$AZ14,'M1'!AS$10:AS$49))</f>
        <v/>
      </c>
      <c r="AT14" s="97">
        <f>SUMPRODUCT(MMULT('M4'!$M14:$AZ14,'M1'!AT$10:AT$49))</f>
        <v/>
      </c>
      <c r="AU14" s="97">
        <f>SUMPRODUCT(MMULT('M4'!$M14:$AZ14,'M1'!AU$10:AU$49))</f>
        <v/>
      </c>
      <c r="AV14" s="97">
        <f>SUMPRODUCT(MMULT('M4'!$M14:$AZ14,'M1'!AV$10:AV$49))</f>
        <v/>
      </c>
      <c r="AW14" s="97">
        <f>SUMPRODUCT(MMULT('M4'!$M14:$AZ14,'M1'!AW$10:AW$49))</f>
        <v/>
      </c>
      <c r="AX14" s="97">
        <f>SUMPRODUCT(MMULT('M4'!$M14:$AZ14,'M1'!AX$10:AX$49))</f>
        <v/>
      </c>
      <c r="AY14" s="97">
        <f>SUMPRODUCT(MMULT('M4'!$M14:$AZ14,'M1'!AY$10:AY$49))</f>
        <v/>
      </c>
      <c r="AZ14" s="97">
        <f>SUMPRODUCT(MMULT('M4'!$M14:$AZ14,'M1'!AZ$10:AZ$49))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SUMPRODUCT(MMULT('M4'!$M15:$AZ15,'M1'!M$10:M$49))</f>
        <v/>
      </c>
      <c r="N15" s="97">
        <f>SUMPRODUCT(MMULT('M4'!$M15:$AZ15,'M1'!N$10:N$49))</f>
        <v/>
      </c>
      <c r="O15" s="97">
        <f>SUMPRODUCT(MMULT('M4'!$M15:$AZ15,'M1'!O$10:O$49))</f>
        <v/>
      </c>
      <c r="P15" s="97">
        <f>SUMPRODUCT(MMULT('M4'!$M15:$AZ15,'M1'!P$10:P$49))</f>
        <v/>
      </c>
      <c r="Q15" s="97">
        <f>SUMPRODUCT(MMULT('M4'!$M15:$AZ15,'M1'!Q$10:Q$49))</f>
        <v/>
      </c>
      <c r="R15" s="97">
        <f>SUMPRODUCT(MMULT('M4'!$M15:$AZ15,'M1'!R$10:R$49))</f>
        <v/>
      </c>
      <c r="S15" s="97">
        <f>SUMPRODUCT(MMULT('M4'!$M15:$AZ15,'M1'!S$10:S$49))</f>
        <v/>
      </c>
      <c r="T15" s="97">
        <f>SUMPRODUCT(MMULT('M4'!$M15:$AZ15,'M1'!T$10:T$49))</f>
        <v/>
      </c>
      <c r="U15" s="97">
        <f>SUMPRODUCT(MMULT('M4'!$M15:$AZ15,'M1'!U$10:U$49))</f>
        <v/>
      </c>
      <c r="V15" s="97">
        <f>SUMPRODUCT(MMULT('M4'!$M15:$AZ15,'M1'!V$10:V$49))</f>
        <v/>
      </c>
      <c r="W15" s="97">
        <f>SUMPRODUCT(MMULT('M4'!$M15:$AZ15,'M1'!W$10:W$49))</f>
        <v/>
      </c>
      <c r="X15" s="97">
        <f>SUMPRODUCT(MMULT('M4'!$M15:$AZ15,'M1'!X$10:X$49))</f>
        <v/>
      </c>
      <c r="Y15" s="97">
        <f>SUMPRODUCT(MMULT('M4'!$M15:$AZ15,'M1'!Y$10:Y$49))</f>
        <v/>
      </c>
      <c r="Z15" s="97">
        <f>SUMPRODUCT(MMULT('M4'!$M15:$AZ15,'M1'!Z$10:Z$49))</f>
        <v/>
      </c>
      <c r="AA15" s="97">
        <f>SUMPRODUCT(MMULT('M4'!$M15:$AZ15,'M1'!AA$10:AA$49))</f>
        <v/>
      </c>
      <c r="AB15" s="97">
        <f>SUMPRODUCT(MMULT('M4'!$M15:$AZ15,'M1'!AB$10:AB$49))</f>
        <v/>
      </c>
      <c r="AC15" s="97">
        <f>SUMPRODUCT(MMULT('M4'!$M15:$AZ15,'M1'!AC$10:AC$49))</f>
        <v/>
      </c>
      <c r="AD15" s="97">
        <f>SUMPRODUCT(MMULT('M4'!$M15:$AZ15,'M1'!AD$10:AD$49))</f>
        <v/>
      </c>
      <c r="AE15" s="97">
        <f>SUMPRODUCT(MMULT('M4'!$M15:$AZ15,'M1'!AE$10:AE$49))</f>
        <v/>
      </c>
      <c r="AF15" s="97">
        <f>SUMPRODUCT(MMULT('M4'!$M15:$AZ15,'M1'!AF$10:AF$49))</f>
        <v/>
      </c>
      <c r="AG15" s="97">
        <f>SUMPRODUCT(MMULT('M4'!$M15:$AZ15,'M1'!AG$10:AG$49))</f>
        <v/>
      </c>
      <c r="AH15" s="97">
        <f>SUMPRODUCT(MMULT('M4'!$M15:$AZ15,'M1'!AH$10:AH$49))</f>
        <v/>
      </c>
      <c r="AI15" s="97">
        <f>SUMPRODUCT(MMULT('M4'!$M15:$AZ15,'M1'!AI$10:AI$49))</f>
        <v/>
      </c>
      <c r="AJ15" s="97">
        <f>SUMPRODUCT(MMULT('M4'!$M15:$AZ15,'M1'!AJ$10:AJ$49))</f>
        <v/>
      </c>
      <c r="AK15" s="97">
        <f>SUMPRODUCT(MMULT('M4'!$M15:$AZ15,'M1'!AK$10:AK$49))</f>
        <v/>
      </c>
      <c r="AL15" s="97">
        <f>SUMPRODUCT(MMULT('M4'!$M15:$AZ15,'M1'!AL$10:AL$49))</f>
        <v/>
      </c>
      <c r="AM15" s="97">
        <f>SUMPRODUCT(MMULT('M4'!$M15:$AZ15,'M1'!AM$10:AM$49))</f>
        <v/>
      </c>
      <c r="AN15" s="97">
        <f>SUMPRODUCT(MMULT('M4'!$M15:$AZ15,'M1'!AN$10:AN$49))</f>
        <v/>
      </c>
      <c r="AO15" s="97">
        <f>SUMPRODUCT(MMULT('M4'!$M15:$AZ15,'M1'!AO$10:AO$49))</f>
        <v/>
      </c>
      <c r="AP15" s="97">
        <f>SUMPRODUCT(MMULT('M4'!$M15:$AZ15,'M1'!AP$10:AP$49))</f>
        <v/>
      </c>
      <c r="AQ15" s="97">
        <f>SUMPRODUCT(MMULT('M4'!$M15:$AZ15,'M1'!AQ$10:AQ$49))</f>
        <v/>
      </c>
      <c r="AR15" s="97">
        <f>SUMPRODUCT(MMULT('M4'!$M15:$AZ15,'M1'!AR$10:AR$49))</f>
        <v/>
      </c>
      <c r="AS15" s="97">
        <f>SUMPRODUCT(MMULT('M4'!$M15:$AZ15,'M1'!AS$10:AS$49))</f>
        <v/>
      </c>
      <c r="AT15" s="97">
        <f>SUMPRODUCT(MMULT('M4'!$M15:$AZ15,'M1'!AT$10:AT$49))</f>
        <v/>
      </c>
      <c r="AU15" s="97">
        <f>SUMPRODUCT(MMULT('M4'!$M15:$AZ15,'M1'!AU$10:AU$49))</f>
        <v/>
      </c>
      <c r="AV15" s="97">
        <f>SUMPRODUCT(MMULT('M4'!$M15:$AZ15,'M1'!AV$10:AV$49))</f>
        <v/>
      </c>
      <c r="AW15" s="97">
        <f>SUMPRODUCT(MMULT('M4'!$M15:$AZ15,'M1'!AW$10:AW$49))</f>
        <v/>
      </c>
      <c r="AX15" s="97">
        <f>SUMPRODUCT(MMULT('M4'!$M15:$AZ15,'M1'!AX$10:AX$49))</f>
        <v/>
      </c>
      <c r="AY15" s="97">
        <f>SUMPRODUCT(MMULT('M4'!$M15:$AZ15,'M1'!AY$10:AY$49))</f>
        <v/>
      </c>
      <c r="AZ15" s="97">
        <f>SUMPRODUCT(MMULT('M4'!$M15:$AZ15,'M1'!AZ$10:AZ$49))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SUMPRODUCT(MMULT('M4'!$M16:$AZ16,'M1'!M$10:M$49))</f>
        <v/>
      </c>
      <c r="N16" s="97">
        <f>SUMPRODUCT(MMULT('M4'!$M16:$AZ16,'M1'!N$10:N$49))</f>
        <v/>
      </c>
      <c r="O16" s="97">
        <f>SUMPRODUCT(MMULT('M4'!$M16:$AZ16,'M1'!O$10:O$49))</f>
        <v/>
      </c>
      <c r="P16" s="97">
        <f>SUMPRODUCT(MMULT('M4'!$M16:$AZ16,'M1'!P$10:P$49))</f>
        <v/>
      </c>
      <c r="Q16" s="97">
        <f>SUMPRODUCT(MMULT('M4'!$M16:$AZ16,'M1'!Q$10:Q$49))</f>
        <v/>
      </c>
      <c r="R16" s="97">
        <f>SUMPRODUCT(MMULT('M4'!$M16:$AZ16,'M1'!R$10:R$49))</f>
        <v/>
      </c>
      <c r="S16" s="97">
        <f>SUMPRODUCT(MMULT('M4'!$M16:$AZ16,'M1'!S$10:S$49))</f>
        <v/>
      </c>
      <c r="T16" s="97">
        <f>SUMPRODUCT(MMULT('M4'!$M16:$AZ16,'M1'!T$10:T$49))</f>
        <v/>
      </c>
      <c r="U16" s="97">
        <f>SUMPRODUCT(MMULT('M4'!$M16:$AZ16,'M1'!U$10:U$49))</f>
        <v/>
      </c>
      <c r="V16" s="97">
        <f>SUMPRODUCT(MMULT('M4'!$M16:$AZ16,'M1'!V$10:V$49))</f>
        <v/>
      </c>
      <c r="W16" s="97">
        <f>SUMPRODUCT(MMULT('M4'!$M16:$AZ16,'M1'!W$10:W$49))</f>
        <v/>
      </c>
      <c r="X16" s="97">
        <f>SUMPRODUCT(MMULT('M4'!$M16:$AZ16,'M1'!X$10:X$49))</f>
        <v/>
      </c>
      <c r="Y16" s="97">
        <f>SUMPRODUCT(MMULT('M4'!$M16:$AZ16,'M1'!Y$10:Y$49))</f>
        <v/>
      </c>
      <c r="Z16" s="97">
        <f>SUMPRODUCT(MMULT('M4'!$M16:$AZ16,'M1'!Z$10:Z$49))</f>
        <v/>
      </c>
      <c r="AA16" s="97">
        <f>SUMPRODUCT(MMULT('M4'!$M16:$AZ16,'M1'!AA$10:AA$49))</f>
        <v/>
      </c>
      <c r="AB16" s="97">
        <f>SUMPRODUCT(MMULT('M4'!$M16:$AZ16,'M1'!AB$10:AB$49))</f>
        <v/>
      </c>
      <c r="AC16" s="97">
        <f>SUMPRODUCT(MMULT('M4'!$M16:$AZ16,'M1'!AC$10:AC$49))</f>
        <v/>
      </c>
      <c r="AD16" s="97">
        <f>SUMPRODUCT(MMULT('M4'!$M16:$AZ16,'M1'!AD$10:AD$49))</f>
        <v/>
      </c>
      <c r="AE16" s="97">
        <f>SUMPRODUCT(MMULT('M4'!$M16:$AZ16,'M1'!AE$10:AE$49))</f>
        <v/>
      </c>
      <c r="AF16" s="97">
        <f>SUMPRODUCT(MMULT('M4'!$M16:$AZ16,'M1'!AF$10:AF$49))</f>
        <v/>
      </c>
      <c r="AG16" s="97">
        <f>SUMPRODUCT(MMULT('M4'!$M16:$AZ16,'M1'!AG$10:AG$49))</f>
        <v/>
      </c>
      <c r="AH16" s="97">
        <f>SUMPRODUCT(MMULT('M4'!$M16:$AZ16,'M1'!AH$10:AH$49))</f>
        <v/>
      </c>
      <c r="AI16" s="97">
        <f>SUMPRODUCT(MMULT('M4'!$M16:$AZ16,'M1'!AI$10:AI$49))</f>
        <v/>
      </c>
      <c r="AJ16" s="97">
        <f>SUMPRODUCT(MMULT('M4'!$M16:$AZ16,'M1'!AJ$10:AJ$49))</f>
        <v/>
      </c>
      <c r="AK16" s="97">
        <f>SUMPRODUCT(MMULT('M4'!$M16:$AZ16,'M1'!AK$10:AK$49))</f>
        <v/>
      </c>
      <c r="AL16" s="97">
        <f>SUMPRODUCT(MMULT('M4'!$M16:$AZ16,'M1'!AL$10:AL$49))</f>
        <v/>
      </c>
      <c r="AM16" s="97">
        <f>SUMPRODUCT(MMULT('M4'!$M16:$AZ16,'M1'!AM$10:AM$49))</f>
        <v/>
      </c>
      <c r="AN16" s="97">
        <f>SUMPRODUCT(MMULT('M4'!$M16:$AZ16,'M1'!AN$10:AN$49))</f>
        <v/>
      </c>
      <c r="AO16" s="97">
        <f>SUMPRODUCT(MMULT('M4'!$M16:$AZ16,'M1'!AO$10:AO$49))</f>
        <v/>
      </c>
      <c r="AP16" s="97">
        <f>SUMPRODUCT(MMULT('M4'!$M16:$AZ16,'M1'!AP$10:AP$49))</f>
        <v/>
      </c>
      <c r="AQ16" s="97">
        <f>SUMPRODUCT(MMULT('M4'!$M16:$AZ16,'M1'!AQ$10:AQ$49))</f>
        <v/>
      </c>
      <c r="AR16" s="97">
        <f>SUMPRODUCT(MMULT('M4'!$M16:$AZ16,'M1'!AR$10:AR$49))</f>
        <v/>
      </c>
      <c r="AS16" s="97">
        <f>SUMPRODUCT(MMULT('M4'!$M16:$AZ16,'M1'!AS$10:AS$49))</f>
        <v/>
      </c>
      <c r="AT16" s="97">
        <f>SUMPRODUCT(MMULT('M4'!$M16:$AZ16,'M1'!AT$10:AT$49))</f>
        <v/>
      </c>
      <c r="AU16" s="97">
        <f>SUMPRODUCT(MMULT('M4'!$M16:$AZ16,'M1'!AU$10:AU$49))</f>
        <v/>
      </c>
      <c r="AV16" s="97">
        <f>SUMPRODUCT(MMULT('M4'!$M16:$AZ16,'M1'!AV$10:AV$49))</f>
        <v/>
      </c>
      <c r="AW16" s="97">
        <f>SUMPRODUCT(MMULT('M4'!$M16:$AZ16,'M1'!AW$10:AW$49))</f>
        <v/>
      </c>
      <c r="AX16" s="97">
        <f>SUMPRODUCT(MMULT('M4'!$M16:$AZ16,'M1'!AX$10:AX$49))</f>
        <v/>
      </c>
      <c r="AY16" s="97">
        <f>SUMPRODUCT(MMULT('M4'!$M16:$AZ16,'M1'!AY$10:AY$49))</f>
        <v/>
      </c>
      <c r="AZ16" s="97">
        <f>SUMPRODUCT(MMULT('M4'!$M16:$AZ16,'M1'!AZ$10:AZ$49))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SUMPRODUCT(MMULT('M4'!$M17:$AZ17,'M1'!M$10:M$49))</f>
        <v/>
      </c>
      <c r="N17" s="97">
        <f>SUMPRODUCT(MMULT('M4'!$M17:$AZ17,'M1'!N$10:N$49))</f>
        <v/>
      </c>
      <c r="O17" s="97">
        <f>SUMPRODUCT(MMULT('M4'!$M17:$AZ17,'M1'!O$10:O$49))</f>
        <v/>
      </c>
      <c r="P17" s="97">
        <f>SUMPRODUCT(MMULT('M4'!$M17:$AZ17,'M1'!P$10:P$49))</f>
        <v/>
      </c>
      <c r="Q17" s="97">
        <f>SUMPRODUCT(MMULT('M4'!$M17:$AZ17,'M1'!Q$10:Q$49))</f>
        <v/>
      </c>
      <c r="R17" s="97">
        <f>SUMPRODUCT(MMULT('M4'!$M17:$AZ17,'M1'!R$10:R$49))</f>
        <v/>
      </c>
      <c r="S17" s="97">
        <f>SUMPRODUCT(MMULT('M4'!$M17:$AZ17,'M1'!S$10:S$49))</f>
        <v/>
      </c>
      <c r="T17" s="97">
        <f>SUMPRODUCT(MMULT('M4'!$M17:$AZ17,'M1'!T$10:T$49))</f>
        <v/>
      </c>
      <c r="U17" s="97">
        <f>SUMPRODUCT(MMULT('M4'!$M17:$AZ17,'M1'!U$10:U$49))</f>
        <v/>
      </c>
      <c r="V17" s="97">
        <f>SUMPRODUCT(MMULT('M4'!$M17:$AZ17,'M1'!V$10:V$49))</f>
        <v/>
      </c>
      <c r="W17" s="97">
        <f>SUMPRODUCT(MMULT('M4'!$M17:$AZ17,'M1'!W$10:W$49))</f>
        <v/>
      </c>
      <c r="X17" s="97">
        <f>SUMPRODUCT(MMULT('M4'!$M17:$AZ17,'M1'!X$10:X$49))</f>
        <v/>
      </c>
      <c r="Y17" s="97">
        <f>SUMPRODUCT(MMULT('M4'!$M17:$AZ17,'M1'!Y$10:Y$49))</f>
        <v/>
      </c>
      <c r="Z17" s="97">
        <f>SUMPRODUCT(MMULT('M4'!$M17:$AZ17,'M1'!Z$10:Z$49))</f>
        <v/>
      </c>
      <c r="AA17" s="97">
        <f>SUMPRODUCT(MMULT('M4'!$M17:$AZ17,'M1'!AA$10:AA$49))</f>
        <v/>
      </c>
      <c r="AB17" s="97">
        <f>SUMPRODUCT(MMULT('M4'!$M17:$AZ17,'M1'!AB$10:AB$49))</f>
        <v/>
      </c>
      <c r="AC17" s="97">
        <f>SUMPRODUCT(MMULT('M4'!$M17:$AZ17,'M1'!AC$10:AC$49))</f>
        <v/>
      </c>
      <c r="AD17" s="97">
        <f>SUMPRODUCT(MMULT('M4'!$M17:$AZ17,'M1'!AD$10:AD$49))</f>
        <v/>
      </c>
      <c r="AE17" s="97">
        <f>SUMPRODUCT(MMULT('M4'!$M17:$AZ17,'M1'!AE$10:AE$49))</f>
        <v/>
      </c>
      <c r="AF17" s="97">
        <f>SUMPRODUCT(MMULT('M4'!$M17:$AZ17,'M1'!AF$10:AF$49))</f>
        <v/>
      </c>
      <c r="AG17" s="97">
        <f>SUMPRODUCT(MMULT('M4'!$M17:$AZ17,'M1'!AG$10:AG$49))</f>
        <v/>
      </c>
      <c r="AH17" s="97">
        <f>SUMPRODUCT(MMULT('M4'!$M17:$AZ17,'M1'!AH$10:AH$49))</f>
        <v/>
      </c>
      <c r="AI17" s="97">
        <f>SUMPRODUCT(MMULT('M4'!$M17:$AZ17,'M1'!AI$10:AI$49))</f>
        <v/>
      </c>
      <c r="AJ17" s="97">
        <f>SUMPRODUCT(MMULT('M4'!$M17:$AZ17,'M1'!AJ$10:AJ$49))</f>
        <v/>
      </c>
      <c r="AK17" s="97">
        <f>SUMPRODUCT(MMULT('M4'!$M17:$AZ17,'M1'!AK$10:AK$49))</f>
        <v/>
      </c>
      <c r="AL17" s="97">
        <f>SUMPRODUCT(MMULT('M4'!$M17:$AZ17,'M1'!AL$10:AL$49))</f>
        <v/>
      </c>
      <c r="AM17" s="97">
        <f>SUMPRODUCT(MMULT('M4'!$M17:$AZ17,'M1'!AM$10:AM$49))</f>
        <v/>
      </c>
      <c r="AN17" s="97">
        <f>SUMPRODUCT(MMULT('M4'!$M17:$AZ17,'M1'!AN$10:AN$49))</f>
        <v/>
      </c>
      <c r="AO17" s="97">
        <f>SUMPRODUCT(MMULT('M4'!$M17:$AZ17,'M1'!AO$10:AO$49))</f>
        <v/>
      </c>
      <c r="AP17" s="97">
        <f>SUMPRODUCT(MMULT('M4'!$M17:$AZ17,'M1'!AP$10:AP$49))</f>
        <v/>
      </c>
      <c r="AQ17" s="97">
        <f>SUMPRODUCT(MMULT('M4'!$M17:$AZ17,'M1'!AQ$10:AQ$49))</f>
        <v/>
      </c>
      <c r="AR17" s="97">
        <f>SUMPRODUCT(MMULT('M4'!$M17:$AZ17,'M1'!AR$10:AR$49))</f>
        <v/>
      </c>
      <c r="AS17" s="97">
        <f>SUMPRODUCT(MMULT('M4'!$M17:$AZ17,'M1'!AS$10:AS$49))</f>
        <v/>
      </c>
      <c r="AT17" s="97">
        <f>SUMPRODUCT(MMULT('M4'!$M17:$AZ17,'M1'!AT$10:AT$49))</f>
        <v/>
      </c>
      <c r="AU17" s="97">
        <f>SUMPRODUCT(MMULT('M4'!$M17:$AZ17,'M1'!AU$10:AU$49))</f>
        <v/>
      </c>
      <c r="AV17" s="97">
        <f>SUMPRODUCT(MMULT('M4'!$M17:$AZ17,'M1'!AV$10:AV$49))</f>
        <v/>
      </c>
      <c r="AW17" s="97">
        <f>SUMPRODUCT(MMULT('M4'!$M17:$AZ17,'M1'!AW$10:AW$49))</f>
        <v/>
      </c>
      <c r="AX17" s="97">
        <f>SUMPRODUCT(MMULT('M4'!$M17:$AZ17,'M1'!AX$10:AX$49))</f>
        <v/>
      </c>
      <c r="AY17" s="97">
        <f>SUMPRODUCT(MMULT('M4'!$M17:$AZ17,'M1'!AY$10:AY$49))</f>
        <v/>
      </c>
      <c r="AZ17" s="97">
        <f>SUMPRODUCT(MMULT('M4'!$M17:$AZ17,'M1'!AZ$10:AZ$49))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SUMPRODUCT(MMULT('M4'!$M18:$AZ18,'M1'!M$10:M$49))</f>
        <v/>
      </c>
      <c r="N18" s="97">
        <f>SUMPRODUCT(MMULT('M4'!$M18:$AZ18,'M1'!N$10:N$49))</f>
        <v/>
      </c>
      <c r="O18" s="97">
        <f>SUMPRODUCT(MMULT('M4'!$M18:$AZ18,'M1'!O$10:O$49))</f>
        <v/>
      </c>
      <c r="P18" s="97">
        <f>SUMPRODUCT(MMULT('M4'!$M18:$AZ18,'M1'!P$10:P$49))</f>
        <v/>
      </c>
      <c r="Q18" s="97">
        <f>SUMPRODUCT(MMULT('M4'!$M18:$AZ18,'M1'!Q$10:Q$49))</f>
        <v/>
      </c>
      <c r="R18" s="97">
        <f>SUMPRODUCT(MMULT('M4'!$M18:$AZ18,'M1'!R$10:R$49))</f>
        <v/>
      </c>
      <c r="S18" s="97">
        <f>SUMPRODUCT(MMULT('M4'!$M18:$AZ18,'M1'!S$10:S$49))</f>
        <v/>
      </c>
      <c r="T18" s="97">
        <f>SUMPRODUCT(MMULT('M4'!$M18:$AZ18,'M1'!T$10:T$49))</f>
        <v/>
      </c>
      <c r="U18" s="97">
        <f>SUMPRODUCT(MMULT('M4'!$M18:$AZ18,'M1'!U$10:U$49))</f>
        <v/>
      </c>
      <c r="V18" s="97">
        <f>SUMPRODUCT(MMULT('M4'!$M18:$AZ18,'M1'!V$10:V$49))</f>
        <v/>
      </c>
      <c r="W18" s="97">
        <f>SUMPRODUCT(MMULT('M4'!$M18:$AZ18,'M1'!W$10:W$49))</f>
        <v/>
      </c>
      <c r="X18" s="97">
        <f>SUMPRODUCT(MMULT('M4'!$M18:$AZ18,'M1'!X$10:X$49))</f>
        <v/>
      </c>
      <c r="Y18" s="97">
        <f>SUMPRODUCT(MMULT('M4'!$M18:$AZ18,'M1'!Y$10:Y$49))</f>
        <v/>
      </c>
      <c r="Z18" s="97">
        <f>SUMPRODUCT(MMULT('M4'!$M18:$AZ18,'M1'!Z$10:Z$49))</f>
        <v/>
      </c>
      <c r="AA18" s="97">
        <f>SUMPRODUCT(MMULT('M4'!$M18:$AZ18,'M1'!AA$10:AA$49))</f>
        <v/>
      </c>
      <c r="AB18" s="97">
        <f>SUMPRODUCT(MMULT('M4'!$M18:$AZ18,'M1'!AB$10:AB$49))</f>
        <v/>
      </c>
      <c r="AC18" s="97">
        <f>SUMPRODUCT(MMULT('M4'!$M18:$AZ18,'M1'!AC$10:AC$49))</f>
        <v/>
      </c>
      <c r="AD18" s="97">
        <f>SUMPRODUCT(MMULT('M4'!$M18:$AZ18,'M1'!AD$10:AD$49))</f>
        <v/>
      </c>
      <c r="AE18" s="97">
        <f>SUMPRODUCT(MMULT('M4'!$M18:$AZ18,'M1'!AE$10:AE$49))</f>
        <v/>
      </c>
      <c r="AF18" s="97">
        <f>SUMPRODUCT(MMULT('M4'!$M18:$AZ18,'M1'!AF$10:AF$49))</f>
        <v/>
      </c>
      <c r="AG18" s="97">
        <f>SUMPRODUCT(MMULT('M4'!$M18:$AZ18,'M1'!AG$10:AG$49))</f>
        <v/>
      </c>
      <c r="AH18" s="97">
        <f>SUMPRODUCT(MMULT('M4'!$M18:$AZ18,'M1'!AH$10:AH$49))</f>
        <v/>
      </c>
      <c r="AI18" s="97">
        <f>SUMPRODUCT(MMULT('M4'!$M18:$AZ18,'M1'!AI$10:AI$49))</f>
        <v/>
      </c>
      <c r="AJ18" s="97">
        <f>SUMPRODUCT(MMULT('M4'!$M18:$AZ18,'M1'!AJ$10:AJ$49))</f>
        <v/>
      </c>
      <c r="AK18" s="97">
        <f>SUMPRODUCT(MMULT('M4'!$M18:$AZ18,'M1'!AK$10:AK$49))</f>
        <v/>
      </c>
      <c r="AL18" s="97">
        <f>SUMPRODUCT(MMULT('M4'!$M18:$AZ18,'M1'!AL$10:AL$49))</f>
        <v/>
      </c>
      <c r="AM18" s="97">
        <f>SUMPRODUCT(MMULT('M4'!$M18:$AZ18,'M1'!AM$10:AM$49))</f>
        <v/>
      </c>
      <c r="AN18" s="97">
        <f>SUMPRODUCT(MMULT('M4'!$M18:$AZ18,'M1'!AN$10:AN$49))</f>
        <v/>
      </c>
      <c r="AO18" s="97">
        <f>SUMPRODUCT(MMULT('M4'!$M18:$AZ18,'M1'!AO$10:AO$49))</f>
        <v/>
      </c>
      <c r="AP18" s="97">
        <f>SUMPRODUCT(MMULT('M4'!$M18:$AZ18,'M1'!AP$10:AP$49))</f>
        <v/>
      </c>
      <c r="AQ18" s="97">
        <f>SUMPRODUCT(MMULT('M4'!$M18:$AZ18,'M1'!AQ$10:AQ$49))</f>
        <v/>
      </c>
      <c r="AR18" s="97">
        <f>SUMPRODUCT(MMULT('M4'!$M18:$AZ18,'M1'!AR$10:AR$49))</f>
        <v/>
      </c>
      <c r="AS18" s="97">
        <f>SUMPRODUCT(MMULT('M4'!$M18:$AZ18,'M1'!AS$10:AS$49))</f>
        <v/>
      </c>
      <c r="AT18" s="97">
        <f>SUMPRODUCT(MMULT('M4'!$M18:$AZ18,'M1'!AT$10:AT$49))</f>
        <v/>
      </c>
      <c r="AU18" s="97">
        <f>SUMPRODUCT(MMULT('M4'!$M18:$AZ18,'M1'!AU$10:AU$49))</f>
        <v/>
      </c>
      <c r="AV18" s="97">
        <f>SUMPRODUCT(MMULT('M4'!$M18:$AZ18,'M1'!AV$10:AV$49))</f>
        <v/>
      </c>
      <c r="AW18" s="97">
        <f>SUMPRODUCT(MMULT('M4'!$M18:$AZ18,'M1'!AW$10:AW$49))</f>
        <v/>
      </c>
      <c r="AX18" s="97">
        <f>SUMPRODUCT(MMULT('M4'!$M18:$AZ18,'M1'!AX$10:AX$49))</f>
        <v/>
      </c>
      <c r="AY18" s="97">
        <f>SUMPRODUCT(MMULT('M4'!$M18:$AZ18,'M1'!AY$10:AY$49))</f>
        <v/>
      </c>
      <c r="AZ18" s="97">
        <f>SUMPRODUCT(MMULT('M4'!$M18:$AZ18,'M1'!AZ$10:AZ$49))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SUMPRODUCT(MMULT('M4'!$M19:$AZ19,'M1'!M$10:M$49))</f>
        <v/>
      </c>
      <c r="N19" s="97">
        <f>SUMPRODUCT(MMULT('M4'!$M19:$AZ19,'M1'!N$10:N$49))</f>
        <v/>
      </c>
      <c r="O19" s="97">
        <f>SUMPRODUCT(MMULT('M4'!$M19:$AZ19,'M1'!O$10:O$49))</f>
        <v/>
      </c>
      <c r="P19" s="97">
        <f>SUMPRODUCT(MMULT('M4'!$M19:$AZ19,'M1'!P$10:P$49))</f>
        <v/>
      </c>
      <c r="Q19" s="97">
        <f>SUMPRODUCT(MMULT('M4'!$M19:$AZ19,'M1'!Q$10:Q$49))</f>
        <v/>
      </c>
      <c r="R19" s="97">
        <f>SUMPRODUCT(MMULT('M4'!$M19:$AZ19,'M1'!R$10:R$49))</f>
        <v/>
      </c>
      <c r="S19" s="97">
        <f>SUMPRODUCT(MMULT('M4'!$M19:$AZ19,'M1'!S$10:S$49))</f>
        <v/>
      </c>
      <c r="T19" s="97">
        <f>SUMPRODUCT(MMULT('M4'!$M19:$AZ19,'M1'!T$10:T$49))</f>
        <v/>
      </c>
      <c r="U19" s="97">
        <f>SUMPRODUCT(MMULT('M4'!$M19:$AZ19,'M1'!U$10:U$49))</f>
        <v/>
      </c>
      <c r="V19" s="97">
        <f>SUMPRODUCT(MMULT('M4'!$M19:$AZ19,'M1'!V$10:V$49))</f>
        <v/>
      </c>
      <c r="W19" s="97">
        <f>SUMPRODUCT(MMULT('M4'!$M19:$AZ19,'M1'!W$10:W$49))</f>
        <v/>
      </c>
      <c r="X19" s="97">
        <f>SUMPRODUCT(MMULT('M4'!$M19:$AZ19,'M1'!X$10:X$49))</f>
        <v/>
      </c>
      <c r="Y19" s="97">
        <f>SUMPRODUCT(MMULT('M4'!$M19:$AZ19,'M1'!Y$10:Y$49))</f>
        <v/>
      </c>
      <c r="Z19" s="97">
        <f>SUMPRODUCT(MMULT('M4'!$M19:$AZ19,'M1'!Z$10:Z$49))</f>
        <v/>
      </c>
      <c r="AA19" s="97">
        <f>SUMPRODUCT(MMULT('M4'!$M19:$AZ19,'M1'!AA$10:AA$49))</f>
        <v/>
      </c>
      <c r="AB19" s="97">
        <f>SUMPRODUCT(MMULT('M4'!$M19:$AZ19,'M1'!AB$10:AB$49))</f>
        <v/>
      </c>
      <c r="AC19" s="97">
        <f>SUMPRODUCT(MMULT('M4'!$M19:$AZ19,'M1'!AC$10:AC$49))</f>
        <v/>
      </c>
      <c r="AD19" s="97">
        <f>SUMPRODUCT(MMULT('M4'!$M19:$AZ19,'M1'!AD$10:AD$49))</f>
        <v/>
      </c>
      <c r="AE19" s="97">
        <f>SUMPRODUCT(MMULT('M4'!$M19:$AZ19,'M1'!AE$10:AE$49))</f>
        <v/>
      </c>
      <c r="AF19" s="97">
        <f>SUMPRODUCT(MMULT('M4'!$M19:$AZ19,'M1'!AF$10:AF$49))</f>
        <v/>
      </c>
      <c r="AG19" s="97">
        <f>SUMPRODUCT(MMULT('M4'!$M19:$AZ19,'M1'!AG$10:AG$49))</f>
        <v/>
      </c>
      <c r="AH19" s="97">
        <f>SUMPRODUCT(MMULT('M4'!$M19:$AZ19,'M1'!AH$10:AH$49))</f>
        <v/>
      </c>
      <c r="AI19" s="97">
        <f>SUMPRODUCT(MMULT('M4'!$M19:$AZ19,'M1'!AI$10:AI$49))</f>
        <v/>
      </c>
      <c r="AJ19" s="97">
        <f>SUMPRODUCT(MMULT('M4'!$M19:$AZ19,'M1'!AJ$10:AJ$49))</f>
        <v/>
      </c>
      <c r="AK19" s="97">
        <f>SUMPRODUCT(MMULT('M4'!$M19:$AZ19,'M1'!AK$10:AK$49))</f>
        <v/>
      </c>
      <c r="AL19" s="97">
        <f>SUMPRODUCT(MMULT('M4'!$M19:$AZ19,'M1'!AL$10:AL$49))</f>
        <v/>
      </c>
      <c r="AM19" s="97">
        <f>SUMPRODUCT(MMULT('M4'!$M19:$AZ19,'M1'!AM$10:AM$49))</f>
        <v/>
      </c>
      <c r="AN19" s="97">
        <f>SUMPRODUCT(MMULT('M4'!$M19:$AZ19,'M1'!AN$10:AN$49))</f>
        <v/>
      </c>
      <c r="AO19" s="97">
        <f>SUMPRODUCT(MMULT('M4'!$M19:$AZ19,'M1'!AO$10:AO$49))</f>
        <v/>
      </c>
      <c r="AP19" s="97">
        <f>SUMPRODUCT(MMULT('M4'!$M19:$AZ19,'M1'!AP$10:AP$49))</f>
        <v/>
      </c>
      <c r="AQ19" s="97">
        <f>SUMPRODUCT(MMULT('M4'!$M19:$AZ19,'M1'!AQ$10:AQ$49))</f>
        <v/>
      </c>
      <c r="AR19" s="97">
        <f>SUMPRODUCT(MMULT('M4'!$M19:$AZ19,'M1'!AR$10:AR$49))</f>
        <v/>
      </c>
      <c r="AS19" s="97">
        <f>SUMPRODUCT(MMULT('M4'!$M19:$AZ19,'M1'!AS$10:AS$49))</f>
        <v/>
      </c>
      <c r="AT19" s="97">
        <f>SUMPRODUCT(MMULT('M4'!$M19:$AZ19,'M1'!AT$10:AT$49))</f>
        <v/>
      </c>
      <c r="AU19" s="97">
        <f>SUMPRODUCT(MMULT('M4'!$M19:$AZ19,'M1'!AU$10:AU$49))</f>
        <v/>
      </c>
      <c r="AV19" s="97">
        <f>SUMPRODUCT(MMULT('M4'!$M19:$AZ19,'M1'!AV$10:AV$49))</f>
        <v/>
      </c>
      <c r="AW19" s="97">
        <f>SUMPRODUCT(MMULT('M4'!$M19:$AZ19,'M1'!AW$10:AW$49))</f>
        <v/>
      </c>
      <c r="AX19" s="97">
        <f>SUMPRODUCT(MMULT('M4'!$M19:$AZ19,'M1'!AX$10:AX$49))</f>
        <v/>
      </c>
      <c r="AY19" s="97">
        <f>SUMPRODUCT(MMULT('M4'!$M19:$AZ19,'M1'!AY$10:AY$49))</f>
        <v/>
      </c>
      <c r="AZ19" s="97">
        <f>SUMPRODUCT(MMULT('M4'!$M19:$AZ19,'M1'!AZ$10:AZ$49))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SUMPRODUCT(MMULT('M4'!$M20:$AZ20,'M1'!M$10:M$49))</f>
        <v/>
      </c>
      <c r="N20" s="97">
        <f>SUMPRODUCT(MMULT('M4'!$M20:$AZ20,'M1'!N$10:N$49))</f>
        <v/>
      </c>
      <c r="O20" s="97">
        <f>SUMPRODUCT(MMULT('M4'!$M20:$AZ20,'M1'!O$10:O$49))</f>
        <v/>
      </c>
      <c r="P20" s="97">
        <f>SUMPRODUCT(MMULT('M4'!$M20:$AZ20,'M1'!P$10:P$49))</f>
        <v/>
      </c>
      <c r="Q20" s="97">
        <f>SUMPRODUCT(MMULT('M4'!$M20:$AZ20,'M1'!Q$10:Q$49))</f>
        <v/>
      </c>
      <c r="R20" s="97">
        <f>SUMPRODUCT(MMULT('M4'!$M20:$AZ20,'M1'!R$10:R$49))</f>
        <v/>
      </c>
      <c r="S20" s="97">
        <f>SUMPRODUCT(MMULT('M4'!$M20:$AZ20,'M1'!S$10:S$49))</f>
        <v/>
      </c>
      <c r="T20" s="97">
        <f>SUMPRODUCT(MMULT('M4'!$M20:$AZ20,'M1'!T$10:T$49))</f>
        <v/>
      </c>
      <c r="U20" s="97">
        <f>SUMPRODUCT(MMULT('M4'!$M20:$AZ20,'M1'!U$10:U$49))</f>
        <v/>
      </c>
      <c r="V20" s="97">
        <f>SUMPRODUCT(MMULT('M4'!$M20:$AZ20,'M1'!V$10:V$49))</f>
        <v/>
      </c>
      <c r="W20" s="97">
        <f>SUMPRODUCT(MMULT('M4'!$M20:$AZ20,'M1'!W$10:W$49))</f>
        <v/>
      </c>
      <c r="X20" s="97">
        <f>SUMPRODUCT(MMULT('M4'!$M20:$AZ20,'M1'!X$10:X$49))</f>
        <v/>
      </c>
      <c r="Y20" s="97">
        <f>SUMPRODUCT(MMULT('M4'!$M20:$AZ20,'M1'!Y$10:Y$49))</f>
        <v/>
      </c>
      <c r="Z20" s="97">
        <f>SUMPRODUCT(MMULT('M4'!$M20:$AZ20,'M1'!Z$10:Z$49))</f>
        <v/>
      </c>
      <c r="AA20" s="97">
        <f>SUMPRODUCT(MMULT('M4'!$M20:$AZ20,'M1'!AA$10:AA$49))</f>
        <v/>
      </c>
      <c r="AB20" s="97">
        <f>SUMPRODUCT(MMULT('M4'!$M20:$AZ20,'M1'!AB$10:AB$49))</f>
        <v/>
      </c>
      <c r="AC20" s="97">
        <f>SUMPRODUCT(MMULT('M4'!$M20:$AZ20,'M1'!AC$10:AC$49))</f>
        <v/>
      </c>
      <c r="AD20" s="97">
        <f>SUMPRODUCT(MMULT('M4'!$M20:$AZ20,'M1'!AD$10:AD$49))</f>
        <v/>
      </c>
      <c r="AE20" s="97">
        <f>SUMPRODUCT(MMULT('M4'!$M20:$AZ20,'M1'!AE$10:AE$49))</f>
        <v/>
      </c>
      <c r="AF20" s="97">
        <f>SUMPRODUCT(MMULT('M4'!$M20:$AZ20,'M1'!AF$10:AF$49))</f>
        <v/>
      </c>
      <c r="AG20" s="97">
        <f>SUMPRODUCT(MMULT('M4'!$M20:$AZ20,'M1'!AG$10:AG$49))</f>
        <v/>
      </c>
      <c r="AH20" s="97">
        <f>SUMPRODUCT(MMULT('M4'!$M20:$AZ20,'M1'!AH$10:AH$49))</f>
        <v/>
      </c>
      <c r="AI20" s="97">
        <f>SUMPRODUCT(MMULT('M4'!$M20:$AZ20,'M1'!AI$10:AI$49))</f>
        <v/>
      </c>
      <c r="AJ20" s="97">
        <f>SUMPRODUCT(MMULT('M4'!$M20:$AZ20,'M1'!AJ$10:AJ$49))</f>
        <v/>
      </c>
      <c r="AK20" s="97">
        <f>SUMPRODUCT(MMULT('M4'!$M20:$AZ20,'M1'!AK$10:AK$49))</f>
        <v/>
      </c>
      <c r="AL20" s="97">
        <f>SUMPRODUCT(MMULT('M4'!$M20:$AZ20,'M1'!AL$10:AL$49))</f>
        <v/>
      </c>
      <c r="AM20" s="97">
        <f>SUMPRODUCT(MMULT('M4'!$M20:$AZ20,'M1'!AM$10:AM$49))</f>
        <v/>
      </c>
      <c r="AN20" s="97">
        <f>SUMPRODUCT(MMULT('M4'!$M20:$AZ20,'M1'!AN$10:AN$49))</f>
        <v/>
      </c>
      <c r="AO20" s="97">
        <f>SUMPRODUCT(MMULT('M4'!$M20:$AZ20,'M1'!AO$10:AO$49))</f>
        <v/>
      </c>
      <c r="AP20" s="97">
        <f>SUMPRODUCT(MMULT('M4'!$M20:$AZ20,'M1'!AP$10:AP$49))</f>
        <v/>
      </c>
      <c r="AQ20" s="97">
        <f>SUMPRODUCT(MMULT('M4'!$M20:$AZ20,'M1'!AQ$10:AQ$49))</f>
        <v/>
      </c>
      <c r="AR20" s="97">
        <f>SUMPRODUCT(MMULT('M4'!$M20:$AZ20,'M1'!AR$10:AR$49))</f>
        <v/>
      </c>
      <c r="AS20" s="97">
        <f>SUMPRODUCT(MMULT('M4'!$M20:$AZ20,'M1'!AS$10:AS$49))</f>
        <v/>
      </c>
      <c r="AT20" s="97">
        <f>SUMPRODUCT(MMULT('M4'!$M20:$AZ20,'M1'!AT$10:AT$49))</f>
        <v/>
      </c>
      <c r="AU20" s="97">
        <f>SUMPRODUCT(MMULT('M4'!$M20:$AZ20,'M1'!AU$10:AU$49))</f>
        <v/>
      </c>
      <c r="AV20" s="97">
        <f>SUMPRODUCT(MMULT('M4'!$M20:$AZ20,'M1'!AV$10:AV$49))</f>
        <v/>
      </c>
      <c r="AW20" s="97">
        <f>SUMPRODUCT(MMULT('M4'!$M20:$AZ20,'M1'!AW$10:AW$49))</f>
        <v/>
      </c>
      <c r="AX20" s="97">
        <f>SUMPRODUCT(MMULT('M4'!$M20:$AZ20,'M1'!AX$10:AX$49))</f>
        <v/>
      </c>
      <c r="AY20" s="97">
        <f>SUMPRODUCT(MMULT('M4'!$M20:$AZ20,'M1'!AY$10:AY$49))</f>
        <v/>
      </c>
      <c r="AZ20" s="97">
        <f>SUMPRODUCT(MMULT('M4'!$M20:$AZ20,'M1'!AZ$10:AZ$49))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SUMPRODUCT(MMULT('M4'!$M21:$AZ21,'M1'!M$10:M$49))</f>
        <v/>
      </c>
      <c r="N21" s="97">
        <f>SUMPRODUCT(MMULT('M4'!$M21:$AZ21,'M1'!N$10:N$49))</f>
        <v/>
      </c>
      <c r="O21" s="97">
        <f>SUMPRODUCT(MMULT('M4'!$M21:$AZ21,'M1'!O$10:O$49))</f>
        <v/>
      </c>
      <c r="P21" s="97">
        <f>SUMPRODUCT(MMULT('M4'!$M21:$AZ21,'M1'!P$10:P$49))</f>
        <v/>
      </c>
      <c r="Q21" s="97">
        <f>SUMPRODUCT(MMULT('M4'!$M21:$AZ21,'M1'!Q$10:Q$49))</f>
        <v/>
      </c>
      <c r="R21" s="97">
        <f>SUMPRODUCT(MMULT('M4'!$M21:$AZ21,'M1'!R$10:R$49))</f>
        <v/>
      </c>
      <c r="S21" s="97">
        <f>SUMPRODUCT(MMULT('M4'!$M21:$AZ21,'M1'!S$10:S$49))</f>
        <v/>
      </c>
      <c r="T21" s="97">
        <f>SUMPRODUCT(MMULT('M4'!$M21:$AZ21,'M1'!T$10:T$49))</f>
        <v/>
      </c>
      <c r="U21" s="97">
        <f>SUMPRODUCT(MMULT('M4'!$M21:$AZ21,'M1'!U$10:U$49))</f>
        <v/>
      </c>
      <c r="V21" s="97">
        <f>SUMPRODUCT(MMULT('M4'!$M21:$AZ21,'M1'!V$10:V$49))</f>
        <v/>
      </c>
      <c r="W21" s="97">
        <f>SUMPRODUCT(MMULT('M4'!$M21:$AZ21,'M1'!W$10:W$49))</f>
        <v/>
      </c>
      <c r="X21" s="97">
        <f>SUMPRODUCT(MMULT('M4'!$M21:$AZ21,'M1'!X$10:X$49))</f>
        <v/>
      </c>
      <c r="Y21" s="97">
        <f>SUMPRODUCT(MMULT('M4'!$M21:$AZ21,'M1'!Y$10:Y$49))</f>
        <v/>
      </c>
      <c r="Z21" s="97">
        <f>SUMPRODUCT(MMULT('M4'!$M21:$AZ21,'M1'!Z$10:Z$49))</f>
        <v/>
      </c>
      <c r="AA21" s="97">
        <f>SUMPRODUCT(MMULT('M4'!$M21:$AZ21,'M1'!AA$10:AA$49))</f>
        <v/>
      </c>
      <c r="AB21" s="97">
        <f>SUMPRODUCT(MMULT('M4'!$M21:$AZ21,'M1'!AB$10:AB$49))</f>
        <v/>
      </c>
      <c r="AC21" s="97">
        <f>SUMPRODUCT(MMULT('M4'!$M21:$AZ21,'M1'!AC$10:AC$49))</f>
        <v/>
      </c>
      <c r="AD21" s="97">
        <f>SUMPRODUCT(MMULT('M4'!$M21:$AZ21,'M1'!AD$10:AD$49))</f>
        <v/>
      </c>
      <c r="AE21" s="97">
        <f>SUMPRODUCT(MMULT('M4'!$M21:$AZ21,'M1'!AE$10:AE$49))</f>
        <v/>
      </c>
      <c r="AF21" s="97">
        <f>SUMPRODUCT(MMULT('M4'!$M21:$AZ21,'M1'!AF$10:AF$49))</f>
        <v/>
      </c>
      <c r="AG21" s="97">
        <f>SUMPRODUCT(MMULT('M4'!$M21:$AZ21,'M1'!AG$10:AG$49))</f>
        <v/>
      </c>
      <c r="AH21" s="97">
        <f>SUMPRODUCT(MMULT('M4'!$M21:$AZ21,'M1'!AH$10:AH$49))</f>
        <v/>
      </c>
      <c r="AI21" s="97">
        <f>SUMPRODUCT(MMULT('M4'!$M21:$AZ21,'M1'!AI$10:AI$49))</f>
        <v/>
      </c>
      <c r="AJ21" s="97">
        <f>SUMPRODUCT(MMULT('M4'!$M21:$AZ21,'M1'!AJ$10:AJ$49))</f>
        <v/>
      </c>
      <c r="AK21" s="97">
        <f>SUMPRODUCT(MMULT('M4'!$M21:$AZ21,'M1'!AK$10:AK$49))</f>
        <v/>
      </c>
      <c r="AL21" s="97">
        <f>SUMPRODUCT(MMULT('M4'!$M21:$AZ21,'M1'!AL$10:AL$49))</f>
        <v/>
      </c>
      <c r="AM21" s="97">
        <f>SUMPRODUCT(MMULT('M4'!$M21:$AZ21,'M1'!AM$10:AM$49))</f>
        <v/>
      </c>
      <c r="AN21" s="97">
        <f>SUMPRODUCT(MMULT('M4'!$M21:$AZ21,'M1'!AN$10:AN$49))</f>
        <v/>
      </c>
      <c r="AO21" s="97">
        <f>SUMPRODUCT(MMULT('M4'!$M21:$AZ21,'M1'!AO$10:AO$49))</f>
        <v/>
      </c>
      <c r="AP21" s="97">
        <f>SUMPRODUCT(MMULT('M4'!$M21:$AZ21,'M1'!AP$10:AP$49))</f>
        <v/>
      </c>
      <c r="AQ21" s="97">
        <f>SUMPRODUCT(MMULT('M4'!$M21:$AZ21,'M1'!AQ$10:AQ$49))</f>
        <v/>
      </c>
      <c r="AR21" s="97">
        <f>SUMPRODUCT(MMULT('M4'!$M21:$AZ21,'M1'!AR$10:AR$49))</f>
        <v/>
      </c>
      <c r="AS21" s="97">
        <f>SUMPRODUCT(MMULT('M4'!$M21:$AZ21,'M1'!AS$10:AS$49))</f>
        <v/>
      </c>
      <c r="AT21" s="97">
        <f>SUMPRODUCT(MMULT('M4'!$M21:$AZ21,'M1'!AT$10:AT$49))</f>
        <v/>
      </c>
      <c r="AU21" s="97">
        <f>SUMPRODUCT(MMULT('M4'!$M21:$AZ21,'M1'!AU$10:AU$49))</f>
        <v/>
      </c>
      <c r="AV21" s="97">
        <f>SUMPRODUCT(MMULT('M4'!$M21:$AZ21,'M1'!AV$10:AV$49))</f>
        <v/>
      </c>
      <c r="AW21" s="97">
        <f>SUMPRODUCT(MMULT('M4'!$M21:$AZ21,'M1'!AW$10:AW$49))</f>
        <v/>
      </c>
      <c r="AX21" s="97">
        <f>SUMPRODUCT(MMULT('M4'!$M21:$AZ21,'M1'!AX$10:AX$49))</f>
        <v/>
      </c>
      <c r="AY21" s="97">
        <f>SUMPRODUCT(MMULT('M4'!$M21:$AZ21,'M1'!AY$10:AY$49))</f>
        <v/>
      </c>
      <c r="AZ21" s="97">
        <f>SUMPRODUCT(MMULT('M4'!$M21:$AZ21,'M1'!AZ$10:AZ$49))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SUMPRODUCT(MMULT('M4'!$M22:$AZ22,'M1'!M$10:M$49))</f>
        <v/>
      </c>
      <c r="N22" s="97">
        <f>SUMPRODUCT(MMULT('M4'!$M22:$AZ22,'M1'!N$10:N$49))</f>
        <v/>
      </c>
      <c r="O22" s="97">
        <f>SUMPRODUCT(MMULT('M4'!$M22:$AZ22,'M1'!O$10:O$49))</f>
        <v/>
      </c>
      <c r="P22" s="97">
        <f>SUMPRODUCT(MMULT('M4'!$M22:$AZ22,'M1'!P$10:P$49))</f>
        <v/>
      </c>
      <c r="Q22" s="97">
        <f>SUMPRODUCT(MMULT('M4'!$M22:$AZ22,'M1'!Q$10:Q$49))</f>
        <v/>
      </c>
      <c r="R22" s="97">
        <f>SUMPRODUCT(MMULT('M4'!$M22:$AZ22,'M1'!R$10:R$49))</f>
        <v/>
      </c>
      <c r="S22" s="97">
        <f>SUMPRODUCT(MMULT('M4'!$M22:$AZ22,'M1'!S$10:S$49))</f>
        <v/>
      </c>
      <c r="T22" s="97">
        <f>SUMPRODUCT(MMULT('M4'!$M22:$AZ22,'M1'!T$10:T$49))</f>
        <v/>
      </c>
      <c r="U22" s="97">
        <f>SUMPRODUCT(MMULT('M4'!$M22:$AZ22,'M1'!U$10:U$49))</f>
        <v/>
      </c>
      <c r="V22" s="97">
        <f>SUMPRODUCT(MMULT('M4'!$M22:$AZ22,'M1'!V$10:V$49))</f>
        <v/>
      </c>
      <c r="W22" s="97">
        <f>SUMPRODUCT(MMULT('M4'!$M22:$AZ22,'M1'!W$10:W$49))</f>
        <v/>
      </c>
      <c r="X22" s="97">
        <f>SUMPRODUCT(MMULT('M4'!$M22:$AZ22,'M1'!X$10:X$49))</f>
        <v/>
      </c>
      <c r="Y22" s="97">
        <f>SUMPRODUCT(MMULT('M4'!$M22:$AZ22,'M1'!Y$10:Y$49))</f>
        <v/>
      </c>
      <c r="Z22" s="97">
        <f>SUMPRODUCT(MMULT('M4'!$M22:$AZ22,'M1'!Z$10:Z$49))</f>
        <v/>
      </c>
      <c r="AA22" s="97">
        <f>SUMPRODUCT(MMULT('M4'!$M22:$AZ22,'M1'!AA$10:AA$49))</f>
        <v/>
      </c>
      <c r="AB22" s="97">
        <f>SUMPRODUCT(MMULT('M4'!$M22:$AZ22,'M1'!AB$10:AB$49))</f>
        <v/>
      </c>
      <c r="AC22" s="97">
        <f>SUMPRODUCT(MMULT('M4'!$M22:$AZ22,'M1'!AC$10:AC$49))</f>
        <v/>
      </c>
      <c r="AD22" s="97">
        <f>SUMPRODUCT(MMULT('M4'!$M22:$AZ22,'M1'!AD$10:AD$49))</f>
        <v/>
      </c>
      <c r="AE22" s="97">
        <f>SUMPRODUCT(MMULT('M4'!$M22:$AZ22,'M1'!AE$10:AE$49))</f>
        <v/>
      </c>
      <c r="AF22" s="97">
        <f>SUMPRODUCT(MMULT('M4'!$M22:$AZ22,'M1'!AF$10:AF$49))</f>
        <v/>
      </c>
      <c r="AG22" s="97">
        <f>SUMPRODUCT(MMULT('M4'!$M22:$AZ22,'M1'!AG$10:AG$49))</f>
        <v/>
      </c>
      <c r="AH22" s="97">
        <f>SUMPRODUCT(MMULT('M4'!$M22:$AZ22,'M1'!AH$10:AH$49))</f>
        <v/>
      </c>
      <c r="AI22" s="97">
        <f>SUMPRODUCT(MMULT('M4'!$M22:$AZ22,'M1'!AI$10:AI$49))</f>
        <v/>
      </c>
      <c r="AJ22" s="97">
        <f>SUMPRODUCT(MMULT('M4'!$M22:$AZ22,'M1'!AJ$10:AJ$49))</f>
        <v/>
      </c>
      <c r="AK22" s="97">
        <f>SUMPRODUCT(MMULT('M4'!$M22:$AZ22,'M1'!AK$10:AK$49))</f>
        <v/>
      </c>
      <c r="AL22" s="97">
        <f>SUMPRODUCT(MMULT('M4'!$M22:$AZ22,'M1'!AL$10:AL$49))</f>
        <v/>
      </c>
      <c r="AM22" s="97">
        <f>SUMPRODUCT(MMULT('M4'!$M22:$AZ22,'M1'!AM$10:AM$49))</f>
        <v/>
      </c>
      <c r="AN22" s="97">
        <f>SUMPRODUCT(MMULT('M4'!$M22:$AZ22,'M1'!AN$10:AN$49))</f>
        <v/>
      </c>
      <c r="AO22" s="97">
        <f>SUMPRODUCT(MMULT('M4'!$M22:$AZ22,'M1'!AO$10:AO$49))</f>
        <v/>
      </c>
      <c r="AP22" s="97">
        <f>SUMPRODUCT(MMULT('M4'!$M22:$AZ22,'M1'!AP$10:AP$49))</f>
        <v/>
      </c>
      <c r="AQ22" s="97">
        <f>SUMPRODUCT(MMULT('M4'!$M22:$AZ22,'M1'!AQ$10:AQ$49))</f>
        <v/>
      </c>
      <c r="AR22" s="97">
        <f>SUMPRODUCT(MMULT('M4'!$M22:$AZ22,'M1'!AR$10:AR$49))</f>
        <v/>
      </c>
      <c r="AS22" s="97">
        <f>SUMPRODUCT(MMULT('M4'!$M22:$AZ22,'M1'!AS$10:AS$49))</f>
        <v/>
      </c>
      <c r="AT22" s="97">
        <f>SUMPRODUCT(MMULT('M4'!$M22:$AZ22,'M1'!AT$10:AT$49))</f>
        <v/>
      </c>
      <c r="AU22" s="97">
        <f>SUMPRODUCT(MMULT('M4'!$M22:$AZ22,'M1'!AU$10:AU$49))</f>
        <v/>
      </c>
      <c r="AV22" s="97">
        <f>SUMPRODUCT(MMULT('M4'!$M22:$AZ22,'M1'!AV$10:AV$49))</f>
        <v/>
      </c>
      <c r="AW22" s="97">
        <f>SUMPRODUCT(MMULT('M4'!$M22:$AZ22,'M1'!AW$10:AW$49))</f>
        <v/>
      </c>
      <c r="AX22" s="97">
        <f>SUMPRODUCT(MMULT('M4'!$M22:$AZ22,'M1'!AX$10:AX$49))</f>
        <v/>
      </c>
      <c r="AY22" s="97">
        <f>SUMPRODUCT(MMULT('M4'!$M22:$AZ22,'M1'!AY$10:AY$49))</f>
        <v/>
      </c>
      <c r="AZ22" s="97">
        <f>SUMPRODUCT(MMULT('M4'!$M22:$AZ22,'M1'!AZ$10:AZ$49))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SUMPRODUCT(MMULT('M4'!$M23:$AZ23,'M1'!M$10:M$49))</f>
        <v/>
      </c>
      <c r="N23" s="97">
        <f>SUMPRODUCT(MMULT('M4'!$M23:$AZ23,'M1'!N$10:N$49))</f>
        <v/>
      </c>
      <c r="O23" s="97">
        <f>SUMPRODUCT(MMULT('M4'!$M23:$AZ23,'M1'!O$10:O$49))</f>
        <v/>
      </c>
      <c r="P23" s="97">
        <f>SUMPRODUCT(MMULT('M4'!$M23:$AZ23,'M1'!P$10:P$49))</f>
        <v/>
      </c>
      <c r="Q23" s="97">
        <f>SUMPRODUCT(MMULT('M4'!$M23:$AZ23,'M1'!Q$10:Q$49))</f>
        <v/>
      </c>
      <c r="R23" s="97">
        <f>SUMPRODUCT(MMULT('M4'!$M23:$AZ23,'M1'!R$10:R$49))</f>
        <v/>
      </c>
      <c r="S23" s="97">
        <f>SUMPRODUCT(MMULT('M4'!$M23:$AZ23,'M1'!S$10:S$49))</f>
        <v/>
      </c>
      <c r="T23" s="97">
        <f>SUMPRODUCT(MMULT('M4'!$M23:$AZ23,'M1'!T$10:T$49))</f>
        <v/>
      </c>
      <c r="U23" s="97">
        <f>SUMPRODUCT(MMULT('M4'!$M23:$AZ23,'M1'!U$10:U$49))</f>
        <v/>
      </c>
      <c r="V23" s="97">
        <f>SUMPRODUCT(MMULT('M4'!$M23:$AZ23,'M1'!V$10:V$49))</f>
        <v/>
      </c>
      <c r="W23" s="97">
        <f>SUMPRODUCT(MMULT('M4'!$M23:$AZ23,'M1'!W$10:W$49))</f>
        <v/>
      </c>
      <c r="X23" s="97">
        <f>SUMPRODUCT(MMULT('M4'!$M23:$AZ23,'M1'!X$10:X$49))</f>
        <v/>
      </c>
      <c r="Y23" s="97">
        <f>SUMPRODUCT(MMULT('M4'!$M23:$AZ23,'M1'!Y$10:Y$49))</f>
        <v/>
      </c>
      <c r="Z23" s="97">
        <f>SUMPRODUCT(MMULT('M4'!$M23:$AZ23,'M1'!Z$10:Z$49))</f>
        <v/>
      </c>
      <c r="AA23" s="97">
        <f>SUMPRODUCT(MMULT('M4'!$M23:$AZ23,'M1'!AA$10:AA$49))</f>
        <v/>
      </c>
      <c r="AB23" s="97">
        <f>SUMPRODUCT(MMULT('M4'!$M23:$AZ23,'M1'!AB$10:AB$49))</f>
        <v/>
      </c>
      <c r="AC23" s="97">
        <f>SUMPRODUCT(MMULT('M4'!$M23:$AZ23,'M1'!AC$10:AC$49))</f>
        <v/>
      </c>
      <c r="AD23" s="97">
        <f>SUMPRODUCT(MMULT('M4'!$M23:$AZ23,'M1'!AD$10:AD$49))</f>
        <v/>
      </c>
      <c r="AE23" s="97">
        <f>SUMPRODUCT(MMULT('M4'!$M23:$AZ23,'M1'!AE$10:AE$49))</f>
        <v/>
      </c>
      <c r="AF23" s="97">
        <f>SUMPRODUCT(MMULT('M4'!$M23:$AZ23,'M1'!AF$10:AF$49))</f>
        <v/>
      </c>
      <c r="AG23" s="97">
        <f>SUMPRODUCT(MMULT('M4'!$M23:$AZ23,'M1'!AG$10:AG$49))</f>
        <v/>
      </c>
      <c r="AH23" s="97">
        <f>SUMPRODUCT(MMULT('M4'!$M23:$AZ23,'M1'!AH$10:AH$49))</f>
        <v/>
      </c>
      <c r="AI23" s="97">
        <f>SUMPRODUCT(MMULT('M4'!$M23:$AZ23,'M1'!AI$10:AI$49))</f>
        <v/>
      </c>
      <c r="AJ23" s="97">
        <f>SUMPRODUCT(MMULT('M4'!$M23:$AZ23,'M1'!AJ$10:AJ$49))</f>
        <v/>
      </c>
      <c r="AK23" s="97">
        <f>SUMPRODUCT(MMULT('M4'!$M23:$AZ23,'M1'!AK$10:AK$49))</f>
        <v/>
      </c>
      <c r="AL23" s="97">
        <f>SUMPRODUCT(MMULT('M4'!$M23:$AZ23,'M1'!AL$10:AL$49))</f>
        <v/>
      </c>
      <c r="AM23" s="97">
        <f>SUMPRODUCT(MMULT('M4'!$M23:$AZ23,'M1'!AM$10:AM$49))</f>
        <v/>
      </c>
      <c r="AN23" s="97">
        <f>SUMPRODUCT(MMULT('M4'!$M23:$AZ23,'M1'!AN$10:AN$49))</f>
        <v/>
      </c>
      <c r="AO23" s="97">
        <f>SUMPRODUCT(MMULT('M4'!$M23:$AZ23,'M1'!AO$10:AO$49))</f>
        <v/>
      </c>
      <c r="AP23" s="97">
        <f>SUMPRODUCT(MMULT('M4'!$M23:$AZ23,'M1'!AP$10:AP$49))</f>
        <v/>
      </c>
      <c r="AQ23" s="97">
        <f>SUMPRODUCT(MMULT('M4'!$M23:$AZ23,'M1'!AQ$10:AQ$49))</f>
        <v/>
      </c>
      <c r="AR23" s="97">
        <f>SUMPRODUCT(MMULT('M4'!$M23:$AZ23,'M1'!AR$10:AR$49))</f>
        <v/>
      </c>
      <c r="AS23" s="97">
        <f>SUMPRODUCT(MMULT('M4'!$M23:$AZ23,'M1'!AS$10:AS$49))</f>
        <v/>
      </c>
      <c r="AT23" s="97">
        <f>SUMPRODUCT(MMULT('M4'!$M23:$AZ23,'M1'!AT$10:AT$49))</f>
        <v/>
      </c>
      <c r="AU23" s="97">
        <f>SUMPRODUCT(MMULT('M4'!$M23:$AZ23,'M1'!AU$10:AU$49))</f>
        <v/>
      </c>
      <c r="AV23" s="97">
        <f>SUMPRODUCT(MMULT('M4'!$M23:$AZ23,'M1'!AV$10:AV$49))</f>
        <v/>
      </c>
      <c r="AW23" s="97">
        <f>SUMPRODUCT(MMULT('M4'!$M23:$AZ23,'M1'!AW$10:AW$49))</f>
        <v/>
      </c>
      <c r="AX23" s="97">
        <f>SUMPRODUCT(MMULT('M4'!$M23:$AZ23,'M1'!AX$10:AX$49))</f>
        <v/>
      </c>
      <c r="AY23" s="97">
        <f>SUMPRODUCT(MMULT('M4'!$M23:$AZ23,'M1'!AY$10:AY$49))</f>
        <v/>
      </c>
      <c r="AZ23" s="97">
        <f>SUMPRODUCT(MMULT('M4'!$M23:$AZ23,'M1'!AZ$10:AZ$49))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SUMPRODUCT(MMULT('M4'!$M24:$AZ24,'M1'!M$10:M$49))</f>
        <v/>
      </c>
      <c r="N24" s="97">
        <f>SUMPRODUCT(MMULT('M4'!$M24:$AZ24,'M1'!N$10:N$49))</f>
        <v/>
      </c>
      <c r="O24" s="97">
        <f>SUMPRODUCT(MMULT('M4'!$M24:$AZ24,'M1'!O$10:O$49))</f>
        <v/>
      </c>
      <c r="P24" s="97">
        <f>SUMPRODUCT(MMULT('M4'!$M24:$AZ24,'M1'!P$10:P$49))</f>
        <v/>
      </c>
      <c r="Q24" s="97">
        <f>SUMPRODUCT(MMULT('M4'!$M24:$AZ24,'M1'!Q$10:Q$49))</f>
        <v/>
      </c>
      <c r="R24" s="97">
        <f>SUMPRODUCT(MMULT('M4'!$M24:$AZ24,'M1'!R$10:R$49))</f>
        <v/>
      </c>
      <c r="S24" s="97">
        <f>SUMPRODUCT(MMULT('M4'!$M24:$AZ24,'M1'!S$10:S$49))</f>
        <v/>
      </c>
      <c r="T24" s="97">
        <f>SUMPRODUCT(MMULT('M4'!$M24:$AZ24,'M1'!T$10:T$49))</f>
        <v/>
      </c>
      <c r="U24" s="97">
        <f>SUMPRODUCT(MMULT('M4'!$M24:$AZ24,'M1'!U$10:U$49))</f>
        <v/>
      </c>
      <c r="V24" s="97">
        <f>SUMPRODUCT(MMULT('M4'!$M24:$AZ24,'M1'!V$10:V$49))</f>
        <v/>
      </c>
      <c r="W24" s="97">
        <f>SUMPRODUCT(MMULT('M4'!$M24:$AZ24,'M1'!W$10:W$49))</f>
        <v/>
      </c>
      <c r="X24" s="97">
        <f>SUMPRODUCT(MMULT('M4'!$M24:$AZ24,'M1'!X$10:X$49))</f>
        <v/>
      </c>
      <c r="Y24" s="97">
        <f>SUMPRODUCT(MMULT('M4'!$M24:$AZ24,'M1'!Y$10:Y$49))</f>
        <v/>
      </c>
      <c r="Z24" s="97">
        <f>SUMPRODUCT(MMULT('M4'!$M24:$AZ24,'M1'!Z$10:Z$49))</f>
        <v/>
      </c>
      <c r="AA24" s="97">
        <f>SUMPRODUCT(MMULT('M4'!$M24:$AZ24,'M1'!AA$10:AA$49))</f>
        <v/>
      </c>
      <c r="AB24" s="97">
        <f>SUMPRODUCT(MMULT('M4'!$M24:$AZ24,'M1'!AB$10:AB$49))</f>
        <v/>
      </c>
      <c r="AC24" s="97">
        <f>SUMPRODUCT(MMULT('M4'!$M24:$AZ24,'M1'!AC$10:AC$49))</f>
        <v/>
      </c>
      <c r="AD24" s="97">
        <f>SUMPRODUCT(MMULT('M4'!$M24:$AZ24,'M1'!AD$10:AD$49))</f>
        <v/>
      </c>
      <c r="AE24" s="97">
        <f>SUMPRODUCT(MMULT('M4'!$M24:$AZ24,'M1'!AE$10:AE$49))</f>
        <v/>
      </c>
      <c r="AF24" s="97">
        <f>SUMPRODUCT(MMULT('M4'!$M24:$AZ24,'M1'!AF$10:AF$49))</f>
        <v/>
      </c>
      <c r="AG24" s="97">
        <f>SUMPRODUCT(MMULT('M4'!$M24:$AZ24,'M1'!AG$10:AG$49))</f>
        <v/>
      </c>
      <c r="AH24" s="97">
        <f>SUMPRODUCT(MMULT('M4'!$M24:$AZ24,'M1'!AH$10:AH$49))</f>
        <v/>
      </c>
      <c r="AI24" s="97">
        <f>SUMPRODUCT(MMULT('M4'!$M24:$AZ24,'M1'!AI$10:AI$49))</f>
        <v/>
      </c>
      <c r="AJ24" s="97">
        <f>SUMPRODUCT(MMULT('M4'!$M24:$AZ24,'M1'!AJ$10:AJ$49))</f>
        <v/>
      </c>
      <c r="AK24" s="97">
        <f>SUMPRODUCT(MMULT('M4'!$M24:$AZ24,'M1'!AK$10:AK$49))</f>
        <v/>
      </c>
      <c r="AL24" s="97">
        <f>SUMPRODUCT(MMULT('M4'!$M24:$AZ24,'M1'!AL$10:AL$49))</f>
        <v/>
      </c>
      <c r="AM24" s="97">
        <f>SUMPRODUCT(MMULT('M4'!$M24:$AZ24,'M1'!AM$10:AM$49))</f>
        <v/>
      </c>
      <c r="AN24" s="97">
        <f>SUMPRODUCT(MMULT('M4'!$M24:$AZ24,'M1'!AN$10:AN$49))</f>
        <v/>
      </c>
      <c r="AO24" s="97">
        <f>SUMPRODUCT(MMULT('M4'!$M24:$AZ24,'M1'!AO$10:AO$49))</f>
        <v/>
      </c>
      <c r="AP24" s="97">
        <f>SUMPRODUCT(MMULT('M4'!$M24:$AZ24,'M1'!AP$10:AP$49))</f>
        <v/>
      </c>
      <c r="AQ24" s="97">
        <f>SUMPRODUCT(MMULT('M4'!$M24:$AZ24,'M1'!AQ$10:AQ$49))</f>
        <v/>
      </c>
      <c r="AR24" s="97">
        <f>SUMPRODUCT(MMULT('M4'!$M24:$AZ24,'M1'!AR$10:AR$49))</f>
        <v/>
      </c>
      <c r="AS24" s="97">
        <f>SUMPRODUCT(MMULT('M4'!$M24:$AZ24,'M1'!AS$10:AS$49))</f>
        <v/>
      </c>
      <c r="AT24" s="97">
        <f>SUMPRODUCT(MMULT('M4'!$M24:$AZ24,'M1'!AT$10:AT$49))</f>
        <v/>
      </c>
      <c r="AU24" s="97">
        <f>SUMPRODUCT(MMULT('M4'!$M24:$AZ24,'M1'!AU$10:AU$49))</f>
        <v/>
      </c>
      <c r="AV24" s="97">
        <f>SUMPRODUCT(MMULT('M4'!$M24:$AZ24,'M1'!AV$10:AV$49))</f>
        <v/>
      </c>
      <c r="AW24" s="97">
        <f>SUMPRODUCT(MMULT('M4'!$M24:$AZ24,'M1'!AW$10:AW$49))</f>
        <v/>
      </c>
      <c r="AX24" s="97">
        <f>SUMPRODUCT(MMULT('M4'!$M24:$AZ24,'M1'!AX$10:AX$49))</f>
        <v/>
      </c>
      <c r="AY24" s="97">
        <f>SUMPRODUCT(MMULT('M4'!$M24:$AZ24,'M1'!AY$10:AY$49))</f>
        <v/>
      </c>
      <c r="AZ24" s="97">
        <f>SUMPRODUCT(MMULT('M4'!$M24:$AZ24,'M1'!AZ$10:AZ$49))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SUMPRODUCT(MMULT('M4'!$M25:$AZ25,'M1'!M$10:M$49))</f>
        <v/>
      </c>
      <c r="N25" s="97">
        <f>SUMPRODUCT(MMULT('M4'!$M25:$AZ25,'M1'!N$10:N$49))</f>
        <v/>
      </c>
      <c r="O25" s="97">
        <f>SUMPRODUCT(MMULT('M4'!$M25:$AZ25,'M1'!O$10:O$49))</f>
        <v/>
      </c>
      <c r="P25" s="97">
        <f>SUMPRODUCT(MMULT('M4'!$M25:$AZ25,'M1'!P$10:P$49))</f>
        <v/>
      </c>
      <c r="Q25" s="97">
        <f>SUMPRODUCT(MMULT('M4'!$M25:$AZ25,'M1'!Q$10:Q$49))</f>
        <v/>
      </c>
      <c r="R25" s="97">
        <f>SUMPRODUCT(MMULT('M4'!$M25:$AZ25,'M1'!R$10:R$49))</f>
        <v/>
      </c>
      <c r="S25" s="97">
        <f>SUMPRODUCT(MMULT('M4'!$M25:$AZ25,'M1'!S$10:S$49))</f>
        <v/>
      </c>
      <c r="T25" s="97">
        <f>SUMPRODUCT(MMULT('M4'!$M25:$AZ25,'M1'!T$10:T$49))</f>
        <v/>
      </c>
      <c r="U25" s="97">
        <f>SUMPRODUCT(MMULT('M4'!$M25:$AZ25,'M1'!U$10:U$49))</f>
        <v/>
      </c>
      <c r="V25" s="97">
        <f>SUMPRODUCT(MMULT('M4'!$M25:$AZ25,'M1'!V$10:V$49))</f>
        <v/>
      </c>
      <c r="W25" s="97">
        <f>SUMPRODUCT(MMULT('M4'!$M25:$AZ25,'M1'!W$10:W$49))</f>
        <v/>
      </c>
      <c r="X25" s="97">
        <f>SUMPRODUCT(MMULT('M4'!$M25:$AZ25,'M1'!X$10:X$49))</f>
        <v/>
      </c>
      <c r="Y25" s="97">
        <f>SUMPRODUCT(MMULT('M4'!$M25:$AZ25,'M1'!Y$10:Y$49))</f>
        <v/>
      </c>
      <c r="Z25" s="97">
        <f>SUMPRODUCT(MMULT('M4'!$M25:$AZ25,'M1'!Z$10:Z$49))</f>
        <v/>
      </c>
      <c r="AA25" s="97">
        <f>SUMPRODUCT(MMULT('M4'!$M25:$AZ25,'M1'!AA$10:AA$49))</f>
        <v/>
      </c>
      <c r="AB25" s="97">
        <f>SUMPRODUCT(MMULT('M4'!$M25:$AZ25,'M1'!AB$10:AB$49))</f>
        <v/>
      </c>
      <c r="AC25" s="97">
        <f>SUMPRODUCT(MMULT('M4'!$M25:$AZ25,'M1'!AC$10:AC$49))</f>
        <v/>
      </c>
      <c r="AD25" s="97">
        <f>SUMPRODUCT(MMULT('M4'!$M25:$AZ25,'M1'!AD$10:AD$49))</f>
        <v/>
      </c>
      <c r="AE25" s="97">
        <f>SUMPRODUCT(MMULT('M4'!$M25:$AZ25,'M1'!AE$10:AE$49))</f>
        <v/>
      </c>
      <c r="AF25" s="97">
        <f>SUMPRODUCT(MMULT('M4'!$M25:$AZ25,'M1'!AF$10:AF$49))</f>
        <v/>
      </c>
      <c r="AG25" s="97">
        <f>SUMPRODUCT(MMULT('M4'!$M25:$AZ25,'M1'!AG$10:AG$49))</f>
        <v/>
      </c>
      <c r="AH25" s="97">
        <f>SUMPRODUCT(MMULT('M4'!$M25:$AZ25,'M1'!AH$10:AH$49))</f>
        <v/>
      </c>
      <c r="AI25" s="97">
        <f>SUMPRODUCT(MMULT('M4'!$M25:$AZ25,'M1'!AI$10:AI$49))</f>
        <v/>
      </c>
      <c r="AJ25" s="97">
        <f>SUMPRODUCT(MMULT('M4'!$M25:$AZ25,'M1'!AJ$10:AJ$49))</f>
        <v/>
      </c>
      <c r="AK25" s="97">
        <f>SUMPRODUCT(MMULT('M4'!$M25:$AZ25,'M1'!AK$10:AK$49))</f>
        <v/>
      </c>
      <c r="AL25" s="97">
        <f>SUMPRODUCT(MMULT('M4'!$M25:$AZ25,'M1'!AL$10:AL$49))</f>
        <v/>
      </c>
      <c r="AM25" s="97">
        <f>SUMPRODUCT(MMULT('M4'!$M25:$AZ25,'M1'!AM$10:AM$49))</f>
        <v/>
      </c>
      <c r="AN25" s="97">
        <f>SUMPRODUCT(MMULT('M4'!$M25:$AZ25,'M1'!AN$10:AN$49))</f>
        <v/>
      </c>
      <c r="AO25" s="97">
        <f>SUMPRODUCT(MMULT('M4'!$M25:$AZ25,'M1'!AO$10:AO$49))</f>
        <v/>
      </c>
      <c r="AP25" s="97">
        <f>SUMPRODUCT(MMULT('M4'!$M25:$AZ25,'M1'!AP$10:AP$49))</f>
        <v/>
      </c>
      <c r="AQ25" s="97">
        <f>SUMPRODUCT(MMULT('M4'!$M25:$AZ25,'M1'!AQ$10:AQ$49))</f>
        <v/>
      </c>
      <c r="AR25" s="97">
        <f>SUMPRODUCT(MMULT('M4'!$M25:$AZ25,'M1'!AR$10:AR$49))</f>
        <v/>
      </c>
      <c r="AS25" s="97">
        <f>SUMPRODUCT(MMULT('M4'!$M25:$AZ25,'M1'!AS$10:AS$49))</f>
        <v/>
      </c>
      <c r="AT25" s="97">
        <f>SUMPRODUCT(MMULT('M4'!$M25:$AZ25,'M1'!AT$10:AT$49))</f>
        <v/>
      </c>
      <c r="AU25" s="97">
        <f>SUMPRODUCT(MMULT('M4'!$M25:$AZ25,'M1'!AU$10:AU$49))</f>
        <v/>
      </c>
      <c r="AV25" s="97">
        <f>SUMPRODUCT(MMULT('M4'!$M25:$AZ25,'M1'!AV$10:AV$49))</f>
        <v/>
      </c>
      <c r="AW25" s="97">
        <f>SUMPRODUCT(MMULT('M4'!$M25:$AZ25,'M1'!AW$10:AW$49))</f>
        <v/>
      </c>
      <c r="AX25" s="97">
        <f>SUMPRODUCT(MMULT('M4'!$M25:$AZ25,'M1'!AX$10:AX$49))</f>
        <v/>
      </c>
      <c r="AY25" s="97">
        <f>SUMPRODUCT(MMULT('M4'!$M25:$AZ25,'M1'!AY$10:AY$49))</f>
        <v/>
      </c>
      <c r="AZ25" s="97">
        <f>SUMPRODUCT(MMULT('M4'!$M25:$AZ25,'M1'!AZ$10:AZ$49))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SUMPRODUCT(MMULT('M4'!$M26:$AZ26,'M1'!M$10:M$49))</f>
        <v/>
      </c>
      <c r="N26" s="97">
        <f>SUMPRODUCT(MMULT('M4'!$M26:$AZ26,'M1'!N$10:N$49))</f>
        <v/>
      </c>
      <c r="O26" s="97">
        <f>SUMPRODUCT(MMULT('M4'!$M26:$AZ26,'M1'!O$10:O$49))</f>
        <v/>
      </c>
      <c r="P26" s="97">
        <f>SUMPRODUCT(MMULT('M4'!$M26:$AZ26,'M1'!P$10:P$49))</f>
        <v/>
      </c>
      <c r="Q26" s="97">
        <f>SUMPRODUCT(MMULT('M4'!$M26:$AZ26,'M1'!Q$10:Q$49))</f>
        <v/>
      </c>
      <c r="R26" s="97">
        <f>SUMPRODUCT(MMULT('M4'!$M26:$AZ26,'M1'!R$10:R$49))</f>
        <v/>
      </c>
      <c r="S26" s="97">
        <f>SUMPRODUCT(MMULT('M4'!$M26:$AZ26,'M1'!S$10:S$49))</f>
        <v/>
      </c>
      <c r="T26" s="97">
        <f>SUMPRODUCT(MMULT('M4'!$M26:$AZ26,'M1'!T$10:T$49))</f>
        <v/>
      </c>
      <c r="U26" s="97">
        <f>SUMPRODUCT(MMULT('M4'!$M26:$AZ26,'M1'!U$10:U$49))</f>
        <v/>
      </c>
      <c r="V26" s="97">
        <f>SUMPRODUCT(MMULT('M4'!$M26:$AZ26,'M1'!V$10:V$49))</f>
        <v/>
      </c>
      <c r="W26" s="97">
        <f>SUMPRODUCT(MMULT('M4'!$M26:$AZ26,'M1'!W$10:W$49))</f>
        <v/>
      </c>
      <c r="X26" s="97">
        <f>SUMPRODUCT(MMULT('M4'!$M26:$AZ26,'M1'!X$10:X$49))</f>
        <v/>
      </c>
      <c r="Y26" s="97">
        <f>SUMPRODUCT(MMULT('M4'!$M26:$AZ26,'M1'!Y$10:Y$49))</f>
        <v/>
      </c>
      <c r="Z26" s="97">
        <f>SUMPRODUCT(MMULT('M4'!$M26:$AZ26,'M1'!Z$10:Z$49))</f>
        <v/>
      </c>
      <c r="AA26" s="97">
        <f>SUMPRODUCT(MMULT('M4'!$M26:$AZ26,'M1'!AA$10:AA$49))</f>
        <v/>
      </c>
      <c r="AB26" s="97">
        <f>SUMPRODUCT(MMULT('M4'!$M26:$AZ26,'M1'!AB$10:AB$49))</f>
        <v/>
      </c>
      <c r="AC26" s="97">
        <f>SUMPRODUCT(MMULT('M4'!$M26:$AZ26,'M1'!AC$10:AC$49))</f>
        <v/>
      </c>
      <c r="AD26" s="97">
        <f>SUMPRODUCT(MMULT('M4'!$M26:$AZ26,'M1'!AD$10:AD$49))</f>
        <v/>
      </c>
      <c r="AE26" s="97">
        <f>SUMPRODUCT(MMULT('M4'!$M26:$AZ26,'M1'!AE$10:AE$49))</f>
        <v/>
      </c>
      <c r="AF26" s="97">
        <f>SUMPRODUCT(MMULT('M4'!$M26:$AZ26,'M1'!AF$10:AF$49))</f>
        <v/>
      </c>
      <c r="AG26" s="97">
        <f>SUMPRODUCT(MMULT('M4'!$M26:$AZ26,'M1'!AG$10:AG$49))</f>
        <v/>
      </c>
      <c r="AH26" s="97">
        <f>SUMPRODUCT(MMULT('M4'!$M26:$AZ26,'M1'!AH$10:AH$49))</f>
        <v/>
      </c>
      <c r="AI26" s="97">
        <f>SUMPRODUCT(MMULT('M4'!$M26:$AZ26,'M1'!AI$10:AI$49))</f>
        <v/>
      </c>
      <c r="AJ26" s="97">
        <f>SUMPRODUCT(MMULT('M4'!$M26:$AZ26,'M1'!AJ$10:AJ$49))</f>
        <v/>
      </c>
      <c r="AK26" s="97">
        <f>SUMPRODUCT(MMULT('M4'!$M26:$AZ26,'M1'!AK$10:AK$49))</f>
        <v/>
      </c>
      <c r="AL26" s="97">
        <f>SUMPRODUCT(MMULT('M4'!$M26:$AZ26,'M1'!AL$10:AL$49))</f>
        <v/>
      </c>
      <c r="AM26" s="97">
        <f>SUMPRODUCT(MMULT('M4'!$M26:$AZ26,'M1'!AM$10:AM$49))</f>
        <v/>
      </c>
      <c r="AN26" s="97">
        <f>SUMPRODUCT(MMULT('M4'!$M26:$AZ26,'M1'!AN$10:AN$49))</f>
        <v/>
      </c>
      <c r="AO26" s="97">
        <f>SUMPRODUCT(MMULT('M4'!$M26:$AZ26,'M1'!AO$10:AO$49))</f>
        <v/>
      </c>
      <c r="AP26" s="97">
        <f>SUMPRODUCT(MMULT('M4'!$M26:$AZ26,'M1'!AP$10:AP$49))</f>
        <v/>
      </c>
      <c r="AQ26" s="97">
        <f>SUMPRODUCT(MMULT('M4'!$M26:$AZ26,'M1'!AQ$10:AQ$49))</f>
        <v/>
      </c>
      <c r="AR26" s="97">
        <f>SUMPRODUCT(MMULT('M4'!$M26:$AZ26,'M1'!AR$10:AR$49))</f>
        <v/>
      </c>
      <c r="AS26" s="97">
        <f>SUMPRODUCT(MMULT('M4'!$M26:$AZ26,'M1'!AS$10:AS$49))</f>
        <v/>
      </c>
      <c r="AT26" s="97">
        <f>SUMPRODUCT(MMULT('M4'!$M26:$AZ26,'M1'!AT$10:AT$49))</f>
        <v/>
      </c>
      <c r="AU26" s="97">
        <f>SUMPRODUCT(MMULT('M4'!$M26:$AZ26,'M1'!AU$10:AU$49))</f>
        <v/>
      </c>
      <c r="AV26" s="97">
        <f>SUMPRODUCT(MMULT('M4'!$M26:$AZ26,'M1'!AV$10:AV$49))</f>
        <v/>
      </c>
      <c r="AW26" s="97">
        <f>SUMPRODUCT(MMULT('M4'!$M26:$AZ26,'M1'!AW$10:AW$49))</f>
        <v/>
      </c>
      <c r="AX26" s="97">
        <f>SUMPRODUCT(MMULT('M4'!$M26:$AZ26,'M1'!AX$10:AX$49))</f>
        <v/>
      </c>
      <c r="AY26" s="97">
        <f>SUMPRODUCT(MMULT('M4'!$M26:$AZ26,'M1'!AY$10:AY$49))</f>
        <v/>
      </c>
      <c r="AZ26" s="97">
        <f>SUMPRODUCT(MMULT('M4'!$M26:$AZ26,'M1'!AZ$10:AZ$49))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SUMPRODUCT(MMULT('M4'!$M27:$AZ27,'M1'!M$10:M$49))</f>
        <v/>
      </c>
      <c r="N27" s="97">
        <f>SUMPRODUCT(MMULT('M4'!$M27:$AZ27,'M1'!N$10:N$49))</f>
        <v/>
      </c>
      <c r="O27" s="97">
        <f>SUMPRODUCT(MMULT('M4'!$M27:$AZ27,'M1'!O$10:O$49))</f>
        <v/>
      </c>
      <c r="P27" s="97">
        <f>SUMPRODUCT(MMULT('M4'!$M27:$AZ27,'M1'!P$10:P$49))</f>
        <v/>
      </c>
      <c r="Q27" s="97">
        <f>SUMPRODUCT(MMULT('M4'!$M27:$AZ27,'M1'!Q$10:Q$49))</f>
        <v/>
      </c>
      <c r="R27" s="97">
        <f>SUMPRODUCT(MMULT('M4'!$M27:$AZ27,'M1'!R$10:R$49))</f>
        <v/>
      </c>
      <c r="S27" s="97">
        <f>SUMPRODUCT(MMULT('M4'!$M27:$AZ27,'M1'!S$10:S$49))</f>
        <v/>
      </c>
      <c r="T27" s="97">
        <f>SUMPRODUCT(MMULT('M4'!$M27:$AZ27,'M1'!T$10:T$49))</f>
        <v/>
      </c>
      <c r="U27" s="97">
        <f>SUMPRODUCT(MMULT('M4'!$M27:$AZ27,'M1'!U$10:U$49))</f>
        <v/>
      </c>
      <c r="V27" s="97">
        <f>SUMPRODUCT(MMULT('M4'!$M27:$AZ27,'M1'!V$10:V$49))</f>
        <v/>
      </c>
      <c r="W27" s="97">
        <f>SUMPRODUCT(MMULT('M4'!$M27:$AZ27,'M1'!W$10:W$49))</f>
        <v/>
      </c>
      <c r="X27" s="97">
        <f>SUMPRODUCT(MMULT('M4'!$M27:$AZ27,'M1'!X$10:X$49))</f>
        <v/>
      </c>
      <c r="Y27" s="97">
        <f>SUMPRODUCT(MMULT('M4'!$M27:$AZ27,'M1'!Y$10:Y$49))</f>
        <v/>
      </c>
      <c r="Z27" s="97">
        <f>SUMPRODUCT(MMULT('M4'!$M27:$AZ27,'M1'!Z$10:Z$49))</f>
        <v/>
      </c>
      <c r="AA27" s="97">
        <f>SUMPRODUCT(MMULT('M4'!$M27:$AZ27,'M1'!AA$10:AA$49))</f>
        <v/>
      </c>
      <c r="AB27" s="97">
        <f>SUMPRODUCT(MMULT('M4'!$M27:$AZ27,'M1'!AB$10:AB$49))</f>
        <v/>
      </c>
      <c r="AC27" s="97">
        <f>SUMPRODUCT(MMULT('M4'!$M27:$AZ27,'M1'!AC$10:AC$49))</f>
        <v/>
      </c>
      <c r="AD27" s="97">
        <f>SUMPRODUCT(MMULT('M4'!$M27:$AZ27,'M1'!AD$10:AD$49))</f>
        <v/>
      </c>
      <c r="AE27" s="97">
        <f>SUMPRODUCT(MMULT('M4'!$M27:$AZ27,'M1'!AE$10:AE$49))</f>
        <v/>
      </c>
      <c r="AF27" s="97">
        <f>SUMPRODUCT(MMULT('M4'!$M27:$AZ27,'M1'!AF$10:AF$49))</f>
        <v/>
      </c>
      <c r="AG27" s="97">
        <f>SUMPRODUCT(MMULT('M4'!$M27:$AZ27,'M1'!AG$10:AG$49))</f>
        <v/>
      </c>
      <c r="AH27" s="97">
        <f>SUMPRODUCT(MMULT('M4'!$M27:$AZ27,'M1'!AH$10:AH$49))</f>
        <v/>
      </c>
      <c r="AI27" s="97">
        <f>SUMPRODUCT(MMULT('M4'!$M27:$AZ27,'M1'!AI$10:AI$49))</f>
        <v/>
      </c>
      <c r="AJ27" s="97">
        <f>SUMPRODUCT(MMULT('M4'!$M27:$AZ27,'M1'!AJ$10:AJ$49))</f>
        <v/>
      </c>
      <c r="AK27" s="97">
        <f>SUMPRODUCT(MMULT('M4'!$M27:$AZ27,'M1'!AK$10:AK$49))</f>
        <v/>
      </c>
      <c r="AL27" s="97">
        <f>SUMPRODUCT(MMULT('M4'!$M27:$AZ27,'M1'!AL$10:AL$49))</f>
        <v/>
      </c>
      <c r="AM27" s="97">
        <f>SUMPRODUCT(MMULT('M4'!$M27:$AZ27,'M1'!AM$10:AM$49))</f>
        <v/>
      </c>
      <c r="AN27" s="97">
        <f>SUMPRODUCT(MMULT('M4'!$M27:$AZ27,'M1'!AN$10:AN$49))</f>
        <v/>
      </c>
      <c r="AO27" s="97">
        <f>SUMPRODUCT(MMULT('M4'!$M27:$AZ27,'M1'!AO$10:AO$49))</f>
        <v/>
      </c>
      <c r="AP27" s="97">
        <f>SUMPRODUCT(MMULT('M4'!$M27:$AZ27,'M1'!AP$10:AP$49))</f>
        <v/>
      </c>
      <c r="AQ27" s="97">
        <f>SUMPRODUCT(MMULT('M4'!$M27:$AZ27,'M1'!AQ$10:AQ$49))</f>
        <v/>
      </c>
      <c r="AR27" s="97">
        <f>SUMPRODUCT(MMULT('M4'!$M27:$AZ27,'M1'!AR$10:AR$49))</f>
        <v/>
      </c>
      <c r="AS27" s="97">
        <f>SUMPRODUCT(MMULT('M4'!$M27:$AZ27,'M1'!AS$10:AS$49))</f>
        <v/>
      </c>
      <c r="AT27" s="97">
        <f>SUMPRODUCT(MMULT('M4'!$M27:$AZ27,'M1'!AT$10:AT$49))</f>
        <v/>
      </c>
      <c r="AU27" s="97">
        <f>SUMPRODUCT(MMULT('M4'!$M27:$AZ27,'M1'!AU$10:AU$49))</f>
        <v/>
      </c>
      <c r="AV27" s="97">
        <f>SUMPRODUCT(MMULT('M4'!$M27:$AZ27,'M1'!AV$10:AV$49))</f>
        <v/>
      </c>
      <c r="AW27" s="97">
        <f>SUMPRODUCT(MMULT('M4'!$M27:$AZ27,'M1'!AW$10:AW$49))</f>
        <v/>
      </c>
      <c r="AX27" s="97">
        <f>SUMPRODUCT(MMULT('M4'!$M27:$AZ27,'M1'!AX$10:AX$49))</f>
        <v/>
      </c>
      <c r="AY27" s="97">
        <f>SUMPRODUCT(MMULT('M4'!$M27:$AZ27,'M1'!AY$10:AY$49))</f>
        <v/>
      </c>
      <c r="AZ27" s="97">
        <f>SUMPRODUCT(MMULT('M4'!$M27:$AZ27,'M1'!AZ$10:AZ$49))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SUMPRODUCT(MMULT('M4'!$M28:$AZ28,'M1'!M$10:M$49))</f>
        <v/>
      </c>
      <c r="N28" s="97">
        <f>SUMPRODUCT(MMULT('M4'!$M28:$AZ28,'M1'!N$10:N$49))</f>
        <v/>
      </c>
      <c r="O28" s="97">
        <f>SUMPRODUCT(MMULT('M4'!$M28:$AZ28,'M1'!O$10:O$49))</f>
        <v/>
      </c>
      <c r="P28" s="97">
        <f>SUMPRODUCT(MMULT('M4'!$M28:$AZ28,'M1'!P$10:P$49))</f>
        <v/>
      </c>
      <c r="Q28" s="97">
        <f>SUMPRODUCT(MMULT('M4'!$M28:$AZ28,'M1'!Q$10:Q$49))</f>
        <v/>
      </c>
      <c r="R28" s="97">
        <f>SUMPRODUCT(MMULT('M4'!$M28:$AZ28,'M1'!R$10:R$49))</f>
        <v/>
      </c>
      <c r="S28" s="97">
        <f>SUMPRODUCT(MMULT('M4'!$M28:$AZ28,'M1'!S$10:S$49))</f>
        <v/>
      </c>
      <c r="T28" s="97">
        <f>SUMPRODUCT(MMULT('M4'!$M28:$AZ28,'M1'!T$10:T$49))</f>
        <v/>
      </c>
      <c r="U28" s="97">
        <f>SUMPRODUCT(MMULT('M4'!$M28:$AZ28,'M1'!U$10:U$49))</f>
        <v/>
      </c>
      <c r="V28" s="97">
        <f>SUMPRODUCT(MMULT('M4'!$M28:$AZ28,'M1'!V$10:V$49))</f>
        <v/>
      </c>
      <c r="W28" s="97">
        <f>SUMPRODUCT(MMULT('M4'!$M28:$AZ28,'M1'!W$10:W$49))</f>
        <v/>
      </c>
      <c r="X28" s="97">
        <f>SUMPRODUCT(MMULT('M4'!$M28:$AZ28,'M1'!X$10:X$49))</f>
        <v/>
      </c>
      <c r="Y28" s="97">
        <f>SUMPRODUCT(MMULT('M4'!$M28:$AZ28,'M1'!Y$10:Y$49))</f>
        <v/>
      </c>
      <c r="Z28" s="97">
        <f>SUMPRODUCT(MMULT('M4'!$M28:$AZ28,'M1'!Z$10:Z$49))</f>
        <v/>
      </c>
      <c r="AA28" s="97">
        <f>SUMPRODUCT(MMULT('M4'!$M28:$AZ28,'M1'!AA$10:AA$49))</f>
        <v/>
      </c>
      <c r="AB28" s="97">
        <f>SUMPRODUCT(MMULT('M4'!$M28:$AZ28,'M1'!AB$10:AB$49))</f>
        <v/>
      </c>
      <c r="AC28" s="97">
        <f>SUMPRODUCT(MMULT('M4'!$M28:$AZ28,'M1'!AC$10:AC$49))</f>
        <v/>
      </c>
      <c r="AD28" s="97">
        <f>SUMPRODUCT(MMULT('M4'!$M28:$AZ28,'M1'!AD$10:AD$49))</f>
        <v/>
      </c>
      <c r="AE28" s="97">
        <f>SUMPRODUCT(MMULT('M4'!$M28:$AZ28,'M1'!AE$10:AE$49))</f>
        <v/>
      </c>
      <c r="AF28" s="97">
        <f>SUMPRODUCT(MMULT('M4'!$M28:$AZ28,'M1'!AF$10:AF$49))</f>
        <v/>
      </c>
      <c r="AG28" s="97">
        <f>SUMPRODUCT(MMULT('M4'!$M28:$AZ28,'M1'!AG$10:AG$49))</f>
        <v/>
      </c>
      <c r="AH28" s="97">
        <f>SUMPRODUCT(MMULT('M4'!$M28:$AZ28,'M1'!AH$10:AH$49))</f>
        <v/>
      </c>
      <c r="AI28" s="97">
        <f>SUMPRODUCT(MMULT('M4'!$M28:$AZ28,'M1'!AI$10:AI$49))</f>
        <v/>
      </c>
      <c r="AJ28" s="97">
        <f>SUMPRODUCT(MMULT('M4'!$M28:$AZ28,'M1'!AJ$10:AJ$49))</f>
        <v/>
      </c>
      <c r="AK28" s="97">
        <f>SUMPRODUCT(MMULT('M4'!$M28:$AZ28,'M1'!AK$10:AK$49))</f>
        <v/>
      </c>
      <c r="AL28" s="97">
        <f>SUMPRODUCT(MMULT('M4'!$M28:$AZ28,'M1'!AL$10:AL$49))</f>
        <v/>
      </c>
      <c r="AM28" s="97">
        <f>SUMPRODUCT(MMULT('M4'!$M28:$AZ28,'M1'!AM$10:AM$49))</f>
        <v/>
      </c>
      <c r="AN28" s="97">
        <f>SUMPRODUCT(MMULT('M4'!$M28:$AZ28,'M1'!AN$10:AN$49))</f>
        <v/>
      </c>
      <c r="AO28" s="97">
        <f>SUMPRODUCT(MMULT('M4'!$M28:$AZ28,'M1'!AO$10:AO$49))</f>
        <v/>
      </c>
      <c r="AP28" s="97">
        <f>SUMPRODUCT(MMULT('M4'!$M28:$AZ28,'M1'!AP$10:AP$49))</f>
        <v/>
      </c>
      <c r="AQ28" s="97">
        <f>SUMPRODUCT(MMULT('M4'!$M28:$AZ28,'M1'!AQ$10:AQ$49))</f>
        <v/>
      </c>
      <c r="AR28" s="97">
        <f>SUMPRODUCT(MMULT('M4'!$M28:$AZ28,'M1'!AR$10:AR$49))</f>
        <v/>
      </c>
      <c r="AS28" s="97">
        <f>SUMPRODUCT(MMULT('M4'!$M28:$AZ28,'M1'!AS$10:AS$49))</f>
        <v/>
      </c>
      <c r="AT28" s="97">
        <f>SUMPRODUCT(MMULT('M4'!$M28:$AZ28,'M1'!AT$10:AT$49))</f>
        <v/>
      </c>
      <c r="AU28" s="97">
        <f>SUMPRODUCT(MMULT('M4'!$M28:$AZ28,'M1'!AU$10:AU$49))</f>
        <v/>
      </c>
      <c r="AV28" s="97">
        <f>SUMPRODUCT(MMULT('M4'!$M28:$AZ28,'M1'!AV$10:AV$49))</f>
        <v/>
      </c>
      <c r="AW28" s="97">
        <f>SUMPRODUCT(MMULT('M4'!$M28:$AZ28,'M1'!AW$10:AW$49))</f>
        <v/>
      </c>
      <c r="AX28" s="97">
        <f>SUMPRODUCT(MMULT('M4'!$M28:$AZ28,'M1'!AX$10:AX$49))</f>
        <v/>
      </c>
      <c r="AY28" s="97">
        <f>SUMPRODUCT(MMULT('M4'!$M28:$AZ28,'M1'!AY$10:AY$49))</f>
        <v/>
      </c>
      <c r="AZ28" s="97">
        <f>SUMPRODUCT(MMULT('M4'!$M28:$AZ28,'M1'!AZ$10:AZ$49))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SUMPRODUCT(MMULT('M4'!$M29:$AZ29,'M1'!M$10:M$49))</f>
        <v/>
      </c>
      <c r="N29" s="97">
        <f>SUMPRODUCT(MMULT('M4'!$M29:$AZ29,'M1'!N$10:N$49))</f>
        <v/>
      </c>
      <c r="O29" s="97">
        <f>SUMPRODUCT(MMULT('M4'!$M29:$AZ29,'M1'!O$10:O$49))</f>
        <v/>
      </c>
      <c r="P29" s="97">
        <f>SUMPRODUCT(MMULT('M4'!$M29:$AZ29,'M1'!P$10:P$49))</f>
        <v/>
      </c>
      <c r="Q29" s="97">
        <f>SUMPRODUCT(MMULT('M4'!$M29:$AZ29,'M1'!Q$10:Q$49))</f>
        <v/>
      </c>
      <c r="R29" s="97">
        <f>SUMPRODUCT(MMULT('M4'!$M29:$AZ29,'M1'!R$10:R$49))</f>
        <v/>
      </c>
      <c r="S29" s="97">
        <f>SUMPRODUCT(MMULT('M4'!$M29:$AZ29,'M1'!S$10:S$49))</f>
        <v/>
      </c>
      <c r="T29" s="97">
        <f>SUMPRODUCT(MMULT('M4'!$M29:$AZ29,'M1'!T$10:T$49))</f>
        <v/>
      </c>
      <c r="U29" s="97">
        <f>SUMPRODUCT(MMULT('M4'!$M29:$AZ29,'M1'!U$10:U$49))</f>
        <v/>
      </c>
      <c r="V29" s="97">
        <f>SUMPRODUCT(MMULT('M4'!$M29:$AZ29,'M1'!V$10:V$49))</f>
        <v/>
      </c>
      <c r="W29" s="97">
        <f>SUMPRODUCT(MMULT('M4'!$M29:$AZ29,'M1'!W$10:W$49))</f>
        <v/>
      </c>
      <c r="X29" s="97">
        <f>SUMPRODUCT(MMULT('M4'!$M29:$AZ29,'M1'!X$10:X$49))</f>
        <v/>
      </c>
      <c r="Y29" s="97">
        <f>SUMPRODUCT(MMULT('M4'!$M29:$AZ29,'M1'!Y$10:Y$49))</f>
        <v/>
      </c>
      <c r="Z29" s="97">
        <f>SUMPRODUCT(MMULT('M4'!$M29:$AZ29,'M1'!Z$10:Z$49))</f>
        <v/>
      </c>
      <c r="AA29" s="97">
        <f>SUMPRODUCT(MMULT('M4'!$M29:$AZ29,'M1'!AA$10:AA$49))</f>
        <v/>
      </c>
      <c r="AB29" s="97">
        <f>SUMPRODUCT(MMULT('M4'!$M29:$AZ29,'M1'!AB$10:AB$49))</f>
        <v/>
      </c>
      <c r="AC29" s="97">
        <f>SUMPRODUCT(MMULT('M4'!$M29:$AZ29,'M1'!AC$10:AC$49))</f>
        <v/>
      </c>
      <c r="AD29" s="97">
        <f>SUMPRODUCT(MMULT('M4'!$M29:$AZ29,'M1'!AD$10:AD$49))</f>
        <v/>
      </c>
      <c r="AE29" s="97">
        <f>SUMPRODUCT(MMULT('M4'!$M29:$AZ29,'M1'!AE$10:AE$49))</f>
        <v/>
      </c>
      <c r="AF29" s="97">
        <f>SUMPRODUCT(MMULT('M4'!$M29:$AZ29,'M1'!AF$10:AF$49))</f>
        <v/>
      </c>
      <c r="AG29" s="97">
        <f>SUMPRODUCT(MMULT('M4'!$M29:$AZ29,'M1'!AG$10:AG$49))</f>
        <v/>
      </c>
      <c r="AH29" s="97">
        <f>SUMPRODUCT(MMULT('M4'!$M29:$AZ29,'M1'!AH$10:AH$49))</f>
        <v/>
      </c>
      <c r="AI29" s="97">
        <f>SUMPRODUCT(MMULT('M4'!$M29:$AZ29,'M1'!AI$10:AI$49))</f>
        <v/>
      </c>
      <c r="AJ29" s="97">
        <f>SUMPRODUCT(MMULT('M4'!$M29:$AZ29,'M1'!AJ$10:AJ$49))</f>
        <v/>
      </c>
      <c r="AK29" s="97">
        <f>SUMPRODUCT(MMULT('M4'!$M29:$AZ29,'M1'!AK$10:AK$49))</f>
        <v/>
      </c>
      <c r="AL29" s="97">
        <f>SUMPRODUCT(MMULT('M4'!$M29:$AZ29,'M1'!AL$10:AL$49))</f>
        <v/>
      </c>
      <c r="AM29" s="97">
        <f>SUMPRODUCT(MMULT('M4'!$M29:$AZ29,'M1'!AM$10:AM$49))</f>
        <v/>
      </c>
      <c r="AN29" s="97">
        <f>SUMPRODUCT(MMULT('M4'!$M29:$AZ29,'M1'!AN$10:AN$49))</f>
        <v/>
      </c>
      <c r="AO29" s="97">
        <f>SUMPRODUCT(MMULT('M4'!$M29:$AZ29,'M1'!AO$10:AO$49))</f>
        <v/>
      </c>
      <c r="AP29" s="97">
        <f>SUMPRODUCT(MMULT('M4'!$M29:$AZ29,'M1'!AP$10:AP$49))</f>
        <v/>
      </c>
      <c r="AQ29" s="97">
        <f>SUMPRODUCT(MMULT('M4'!$M29:$AZ29,'M1'!AQ$10:AQ$49))</f>
        <v/>
      </c>
      <c r="AR29" s="97">
        <f>SUMPRODUCT(MMULT('M4'!$M29:$AZ29,'M1'!AR$10:AR$49))</f>
        <v/>
      </c>
      <c r="AS29" s="97">
        <f>SUMPRODUCT(MMULT('M4'!$M29:$AZ29,'M1'!AS$10:AS$49))</f>
        <v/>
      </c>
      <c r="AT29" s="97">
        <f>SUMPRODUCT(MMULT('M4'!$M29:$AZ29,'M1'!AT$10:AT$49))</f>
        <v/>
      </c>
      <c r="AU29" s="97">
        <f>SUMPRODUCT(MMULT('M4'!$M29:$AZ29,'M1'!AU$10:AU$49))</f>
        <v/>
      </c>
      <c r="AV29" s="97">
        <f>SUMPRODUCT(MMULT('M4'!$M29:$AZ29,'M1'!AV$10:AV$49))</f>
        <v/>
      </c>
      <c r="AW29" s="97">
        <f>SUMPRODUCT(MMULT('M4'!$M29:$AZ29,'M1'!AW$10:AW$49))</f>
        <v/>
      </c>
      <c r="AX29" s="97">
        <f>SUMPRODUCT(MMULT('M4'!$M29:$AZ29,'M1'!AX$10:AX$49))</f>
        <v/>
      </c>
      <c r="AY29" s="97">
        <f>SUMPRODUCT(MMULT('M4'!$M29:$AZ29,'M1'!AY$10:AY$49))</f>
        <v/>
      </c>
      <c r="AZ29" s="97">
        <f>SUMPRODUCT(MMULT('M4'!$M29:$AZ29,'M1'!AZ$10:AZ$49))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SUMPRODUCT(MMULT('M4'!$M30:$AZ30,'M1'!M$10:M$49))</f>
        <v/>
      </c>
      <c r="N30" s="97">
        <f>SUMPRODUCT(MMULT('M4'!$M30:$AZ30,'M1'!N$10:N$49))</f>
        <v/>
      </c>
      <c r="O30" s="97">
        <f>SUMPRODUCT(MMULT('M4'!$M30:$AZ30,'M1'!O$10:O$49))</f>
        <v/>
      </c>
      <c r="P30" s="97">
        <f>SUMPRODUCT(MMULT('M4'!$M30:$AZ30,'M1'!P$10:P$49))</f>
        <v/>
      </c>
      <c r="Q30" s="97">
        <f>SUMPRODUCT(MMULT('M4'!$M30:$AZ30,'M1'!Q$10:Q$49))</f>
        <v/>
      </c>
      <c r="R30" s="97">
        <f>SUMPRODUCT(MMULT('M4'!$M30:$AZ30,'M1'!R$10:R$49))</f>
        <v/>
      </c>
      <c r="S30" s="97">
        <f>SUMPRODUCT(MMULT('M4'!$M30:$AZ30,'M1'!S$10:S$49))</f>
        <v/>
      </c>
      <c r="T30" s="97">
        <f>SUMPRODUCT(MMULT('M4'!$M30:$AZ30,'M1'!T$10:T$49))</f>
        <v/>
      </c>
      <c r="U30" s="97">
        <f>SUMPRODUCT(MMULT('M4'!$M30:$AZ30,'M1'!U$10:U$49))</f>
        <v/>
      </c>
      <c r="V30" s="97">
        <f>SUMPRODUCT(MMULT('M4'!$M30:$AZ30,'M1'!V$10:V$49))</f>
        <v/>
      </c>
      <c r="W30" s="97">
        <f>SUMPRODUCT(MMULT('M4'!$M30:$AZ30,'M1'!W$10:W$49))</f>
        <v/>
      </c>
      <c r="X30" s="97">
        <f>SUMPRODUCT(MMULT('M4'!$M30:$AZ30,'M1'!X$10:X$49))</f>
        <v/>
      </c>
      <c r="Y30" s="97">
        <f>SUMPRODUCT(MMULT('M4'!$M30:$AZ30,'M1'!Y$10:Y$49))</f>
        <v/>
      </c>
      <c r="Z30" s="97">
        <f>SUMPRODUCT(MMULT('M4'!$M30:$AZ30,'M1'!Z$10:Z$49))</f>
        <v/>
      </c>
      <c r="AA30" s="97">
        <f>SUMPRODUCT(MMULT('M4'!$M30:$AZ30,'M1'!AA$10:AA$49))</f>
        <v/>
      </c>
      <c r="AB30" s="97">
        <f>SUMPRODUCT(MMULT('M4'!$M30:$AZ30,'M1'!AB$10:AB$49))</f>
        <v/>
      </c>
      <c r="AC30" s="97">
        <f>SUMPRODUCT(MMULT('M4'!$M30:$AZ30,'M1'!AC$10:AC$49))</f>
        <v/>
      </c>
      <c r="AD30" s="97">
        <f>SUMPRODUCT(MMULT('M4'!$M30:$AZ30,'M1'!AD$10:AD$49))</f>
        <v/>
      </c>
      <c r="AE30" s="97">
        <f>SUMPRODUCT(MMULT('M4'!$M30:$AZ30,'M1'!AE$10:AE$49))</f>
        <v/>
      </c>
      <c r="AF30" s="97">
        <f>SUMPRODUCT(MMULT('M4'!$M30:$AZ30,'M1'!AF$10:AF$49))</f>
        <v/>
      </c>
      <c r="AG30" s="97">
        <f>SUMPRODUCT(MMULT('M4'!$M30:$AZ30,'M1'!AG$10:AG$49))</f>
        <v/>
      </c>
      <c r="AH30" s="97">
        <f>SUMPRODUCT(MMULT('M4'!$M30:$AZ30,'M1'!AH$10:AH$49))</f>
        <v/>
      </c>
      <c r="AI30" s="97">
        <f>SUMPRODUCT(MMULT('M4'!$M30:$AZ30,'M1'!AI$10:AI$49))</f>
        <v/>
      </c>
      <c r="AJ30" s="97">
        <f>SUMPRODUCT(MMULT('M4'!$M30:$AZ30,'M1'!AJ$10:AJ$49))</f>
        <v/>
      </c>
      <c r="AK30" s="97">
        <f>SUMPRODUCT(MMULT('M4'!$M30:$AZ30,'M1'!AK$10:AK$49))</f>
        <v/>
      </c>
      <c r="AL30" s="97">
        <f>SUMPRODUCT(MMULT('M4'!$M30:$AZ30,'M1'!AL$10:AL$49))</f>
        <v/>
      </c>
      <c r="AM30" s="97">
        <f>SUMPRODUCT(MMULT('M4'!$M30:$AZ30,'M1'!AM$10:AM$49))</f>
        <v/>
      </c>
      <c r="AN30" s="97">
        <f>SUMPRODUCT(MMULT('M4'!$M30:$AZ30,'M1'!AN$10:AN$49))</f>
        <v/>
      </c>
      <c r="AO30" s="97">
        <f>SUMPRODUCT(MMULT('M4'!$M30:$AZ30,'M1'!AO$10:AO$49))</f>
        <v/>
      </c>
      <c r="AP30" s="97">
        <f>SUMPRODUCT(MMULT('M4'!$M30:$AZ30,'M1'!AP$10:AP$49))</f>
        <v/>
      </c>
      <c r="AQ30" s="97">
        <f>SUMPRODUCT(MMULT('M4'!$M30:$AZ30,'M1'!AQ$10:AQ$49))</f>
        <v/>
      </c>
      <c r="AR30" s="97">
        <f>SUMPRODUCT(MMULT('M4'!$M30:$AZ30,'M1'!AR$10:AR$49))</f>
        <v/>
      </c>
      <c r="AS30" s="97">
        <f>SUMPRODUCT(MMULT('M4'!$M30:$AZ30,'M1'!AS$10:AS$49))</f>
        <v/>
      </c>
      <c r="AT30" s="97">
        <f>SUMPRODUCT(MMULT('M4'!$M30:$AZ30,'M1'!AT$10:AT$49))</f>
        <v/>
      </c>
      <c r="AU30" s="97">
        <f>SUMPRODUCT(MMULT('M4'!$M30:$AZ30,'M1'!AU$10:AU$49))</f>
        <v/>
      </c>
      <c r="AV30" s="97">
        <f>SUMPRODUCT(MMULT('M4'!$M30:$AZ30,'M1'!AV$10:AV$49))</f>
        <v/>
      </c>
      <c r="AW30" s="97">
        <f>SUMPRODUCT(MMULT('M4'!$M30:$AZ30,'M1'!AW$10:AW$49))</f>
        <v/>
      </c>
      <c r="AX30" s="97">
        <f>SUMPRODUCT(MMULT('M4'!$M30:$AZ30,'M1'!AX$10:AX$49))</f>
        <v/>
      </c>
      <c r="AY30" s="97">
        <f>SUMPRODUCT(MMULT('M4'!$M30:$AZ30,'M1'!AY$10:AY$49))</f>
        <v/>
      </c>
      <c r="AZ30" s="97">
        <f>SUMPRODUCT(MMULT('M4'!$M30:$AZ30,'M1'!AZ$10:AZ$49))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SUMPRODUCT(MMULT('M4'!$M31:$AZ31,'M1'!M$10:M$49))</f>
        <v/>
      </c>
      <c r="N31" s="97">
        <f>SUMPRODUCT(MMULT('M4'!$M31:$AZ31,'M1'!N$10:N$49))</f>
        <v/>
      </c>
      <c r="O31" s="97">
        <f>SUMPRODUCT(MMULT('M4'!$M31:$AZ31,'M1'!O$10:O$49))</f>
        <v/>
      </c>
      <c r="P31" s="97">
        <f>SUMPRODUCT(MMULT('M4'!$M31:$AZ31,'M1'!P$10:P$49))</f>
        <v/>
      </c>
      <c r="Q31" s="97">
        <f>SUMPRODUCT(MMULT('M4'!$M31:$AZ31,'M1'!Q$10:Q$49))</f>
        <v/>
      </c>
      <c r="R31" s="97">
        <f>SUMPRODUCT(MMULT('M4'!$M31:$AZ31,'M1'!R$10:R$49))</f>
        <v/>
      </c>
      <c r="S31" s="97">
        <f>SUMPRODUCT(MMULT('M4'!$M31:$AZ31,'M1'!S$10:S$49))</f>
        <v/>
      </c>
      <c r="T31" s="97">
        <f>SUMPRODUCT(MMULT('M4'!$M31:$AZ31,'M1'!T$10:T$49))</f>
        <v/>
      </c>
      <c r="U31" s="97">
        <f>SUMPRODUCT(MMULT('M4'!$M31:$AZ31,'M1'!U$10:U$49))</f>
        <v/>
      </c>
      <c r="V31" s="97">
        <f>SUMPRODUCT(MMULT('M4'!$M31:$AZ31,'M1'!V$10:V$49))</f>
        <v/>
      </c>
      <c r="W31" s="97">
        <f>SUMPRODUCT(MMULT('M4'!$M31:$AZ31,'M1'!W$10:W$49))</f>
        <v/>
      </c>
      <c r="X31" s="97">
        <f>SUMPRODUCT(MMULT('M4'!$M31:$AZ31,'M1'!X$10:X$49))</f>
        <v/>
      </c>
      <c r="Y31" s="97">
        <f>SUMPRODUCT(MMULT('M4'!$M31:$AZ31,'M1'!Y$10:Y$49))</f>
        <v/>
      </c>
      <c r="Z31" s="97">
        <f>SUMPRODUCT(MMULT('M4'!$M31:$AZ31,'M1'!Z$10:Z$49))</f>
        <v/>
      </c>
      <c r="AA31" s="97">
        <f>SUMPRODUCT(MMULT('M4'!$M31:$AZ31,'M1'!AA$10:AA$49))</f>
        <v/>
      </c>
      <c r="AB31" s="97">
        <f>SUMPRODUCT(MMULT('M4'!$M31:$AZ31,'M1'!AB$10:AB$49))</f>
        <v/>
      </c>
      <c r="AC31" s="97">
        <f>SUMPRODUCT(MMULT('M4'!$M31:$AZ31,'M1'!AC$10:AC$49))</f>
        <v/>
      </c>
      <c r="AD31" s="97">
        <f>SUMPRODUCT(MMULT('M4'!$M31:$AZ31,'M1'!AD$10:AD$49))</f>
        <v/>
      </c>
      <c r="AE31" s="97">
        <f>SUMPRODUCT(MMULT('M4'!$M31:$AZ31,'M1'!AE$10:AE$49))</f>
        <v/>
      </c>
      <c r="AF31" s="97">
        <f>SUMPRODUCT(MMULT('M4'!$M31:$AZ31,'M1'!AF$10:AF$49))</f>
        <v/>
      </c>
      <c r="AG31" s="97">
        <f>SUMPRODUCT(MMULT('M4'!$M31:$AZ31,'M1'!AG$10:AG$49))</f>
        <v/>
      </c>
      <c r="AH31" s="97">
        <f>SUMPRODUCT(MMULT('M4'!$M31:$AZ31,'M1'!AH$10:AH$49))</f>
        <v/>
      </c>
      <c r="AI31" s="97">
        <f>SUMPRODUCT(MMULT('M4'!$M31:$AZ31,'M1'!AI$10:AI$49))</f>
        <v/>
      </c>
      <c r="AJ31" s="97">
        <f>SUMPRODUCT(MMULT('M4'!$M31:$AZ31,'M1'!AJ$10:AJ$49))</f>
        <v/>
      </c>
      <c r="AK31" s="97">
        <f>SUMPRODUCT(MMULT('M4'!$M31:$AZ31,'M1'!AK$10:AK$49))</f>
        <v/>
      </c>
      <c r="AL31" s="97">
        <f>SUMPRODUCT(MMULT('M4'!$M31:$AZ31,'M1'!AL$10:AL$49))</f>
        <v/>
      </c>
      <c r="AM31" s="97">
        <f>SUMPRODUCT(MMULT('M4'!$M31:$AZ31,'M1'!AM$10:AM$49))</f>
        <v/>
      </c>
      <c r="AN31" s="97">
        <f>SUMPRODUCT(MMULT('M4'!$M31:$AZ31,'M1'!AN$10:AN$49))</f>
        <v/>
      </c>
      <c r="AO31" s="97">
        <f>SUMPRODUCT(MMULT('M4'!$M31:$AZ31,'M1'!AO$10:AO$49))</f>
        <v/>
      </c>
      <c r="AP31" s="97">
        <f>SUMPRODUCT(MMULT('M4'!$M31:$AZ31,'M1'!AP$10:AP$49))</f>
        <v/>
      </c>
      <c r="AQ31" s="97">
        <f>SUMPRODUCT(MMULT('M4'!$M31:$AZ31,'M1'!AQ$10:AQ$49))</f>
        <v/>
      </c>
      <c r="AR31" s="97">
        <f>SUMPRODUCT(MMULT('M4'!$M31:$AZ31,'M1'!AR$10:AR$49))</f>
        <v/>
      </c>
      <c r="AS31" s="97">
        <f>SUMPRODUCT(MMULT('M4'!$M31:$AZ31,'M1'!AS$10:AS$49))</f>
        <v/>
      </c>
      <c r="AT31" s="97">
        <f>SUMPRODUCT(MMULT('M4'!$M31:$AZ31,'M1'!AT$10:AT$49))</f>
        <v/>
      </c>
      <c r="AU31" s="97">
        <f>SUMPRODUCT(MMULT('M4'!$M31:$AZ31,'M1'!AU$10:AU$49))</f>
        <v/>
      </c>
      <c r="AV31" s="97">
        <f>SUMPRODUCT(MMULT('M4'!$M31:$AZ31,'M1'!AV$10:AV$49))</f>
        <v/>
      </c>
      <c r="AW31" s="97">
        <f>SUMPRODUCT(MMULT('M4'!$M31:$AZ31,'M1'!AW$10:AW$49))</f>
        <v/>
      </c>
      <c r="AX31" s="97">
        <f>SUMPRODUCT(MMULT('M4'!$M31:$AZ31,'M1'!AX$10:AX$49))</f>
        <v/>
      </c>
      <c r="AY31" s="97">
        <f>SUMPRODUCT(MMULT('M4'!$M31:$AZ31,'M1'!AY$10:AY$49))</f>
        <v/>
      </c>
      <c r="AZ31" s="97">
        <f>SUMPRODUCT(MMULT('M4'!$M31:$AZ31,'M1'!AZ$10:AZ$49))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SUMPRODUCT(MMULT('M4'!$M32:$AZ32,'M1'!M$10:M$49))</f>
        <v/>
      </c>
      <c r="N32" s="97">
        <f>SUMPRODUCT(MMULT('M4'!$M32:$AZ32,'M1'!N$10:N$49))</f>
        <v/>
      </c>
      <c r="O32" s="97">
        <f>SUMPRODUCT(MMULT('M4'!$M32:$AZ32,'M1'!O$10:O$49))</f>
        <v/>
      </c>
      <c r="P32" s="97">
        <f>SUMPRODUCT(MMULT('M4'!$M32:$AZ32,'M1'!P$10:P$49))</f>
        <v/>
      </c>
      <c r="Q32" s="97">
        <f>SUMPRODUCT(MMULT('M4'!$M32:$AZ32,'M1'!Q$10:Q$49))</f>
        <v/>
      </c>
      <c r="R32" s="97">
        <f>SUMPRODUCT(MMULT('M4'!$M32:$AZ32,'M1'!R$10:R$49))</f>
        <v/>
      </c>
      <c r="S32" s="97">
        <f>SUMPRODUCT(MMULT('M4'!$M32:$AZ32,'M1'!S$10:S$49))</f>
        <v/>
      </c>
      <c r="T32" s="97">
        <f>SUMPRODUCT(MMULT('M4'!$M32:$AZ32,'M1'!T$10:T$49))</f>
        <v/>
      </c>
      <c r="U32" s="97">
        <f>SUMPRODUCT(MMULT('M4'!$M32:$AZ32,'M1'!U$10:U$49))</f>
        <v/>
      </c>
      <c r="V32" s="97">
        <f>SUMPRODUCT(MMULT('M4'!$M32:$AZ32,'M1'!V$10:V$49))</f>
        <v/>
      </c>
      <c r="W32" s="97">
        <f>SUMPRODUCT(MMULT('M4'!$M32:$AZ32,'M1'!W$10:W$49))</f>
        <v/>
      </c>
      <c r="X32" s="97">
        <f>SUMPRODUCT(MMULT('M4'!$M32:$AZ32,'M1'!X$10:X$49))</f>
        <v/>
      </c>
      <c r="Y32" s="97">
        <f>SUMPRODUCT(MMULT('M4'!$M32:$AZ32,'M1'!Y$10:Y$49))</f>
        <v/>
      </c>
      <c r="Z32" s="97">
        <f>SUMPRODUCT(MMULT('M4'!$M32:$AZ32,'M1'!Z$10:Z$49))</f>
        <v/>
      </c>
      <c r="AA32" s="97">
        <f>SUMPRODUCT(MMULT('M4'!$M32:$AZ32,'M1'!AA$10:AA$49))</f>
        <v/>
      </c>
      <c r="AB32" s="97">
        <f>SUMPRODUCT(MMULT('M4'!$M32:$AZ32,'M1'!AB$10:AB$49))</f>
        <v/>
      </c>
      <c r="AC32" s="97">
        <f>SUMPRODUCT(MMULT('M4'!$M32:$AZ32,'M1'!AC$10:AC$49))</f>
        <v/>
      </c>
      <c r="AD32" s="97">
        <f>SUMPRODUCT(MMULT('M4'!$M32:$AZ32,'M1'!AD$10:AD$49))</f>
        <v/>
      </c>
      <c r="AE32" s="97">
        <f>SUMPRODUCT(MMULT('M4'!$M32:$AZ32,'M1'!AE$10:AE$49))</f>
        <v/>
      </c>
      <c r="AF32" s="97">
        <f>SUMPRODUCT(MMULT('M4'!$M32:$AZ32,'M1'!AF$10:AF$49))</f>
        <v/>
      </c>
      <c r="AG32" s="97">
        <f>SUMPRODUCT(MMULT('M4'!$M32:$AZ32,'M1'!AG$10:AG$49))</f>
        <v/>
      </c>
      <c r="AH32" s="97">
        <f>SUMPRODUCT(MMULT('M4'!$M32:$AZ32,'M1'!AH$10:AH$49))</f>
        <v/>
      </c>
      <c r="AI32" s="97">
        <f>SUMPRODUCT(MMULT('M4'!$M32:$AZ32,'M1'!AI$10:AI$49))</f>
        <v/>
      </c>
      <c r="AJ32" s="97">
        <f>SUMPRODUCT(MMULT('M4'!$M32:$AZ32,'M1'!AJ$10:AJ$49))</f>
        <v/>
      </c>
      <c r="AK32" s="97">
        <f>SUMPRODUCT(MMULT('M4'!$M32:$AZ32,'M1'!AK$10:AK$49))</f>
        <v/>
      </c>
      <c r="AL32" s="97">
        <f>SUMPRODUCT(MMULT('M4'!$M32:$AZ32,'M1'!AL$10:AL$49))</f>
        <v/>
      </c>
      <c r="AM32" s="97">
        <f>SUMPRODUCT(MMULT('M4'!$M32:$AZ32,'M1'!AM$10:AM$49))</f>
        <v/>
      </c>
      <c r="AN32" s="97">
        <f>SUMPRODUCT(MMULT('M4'!$M32:$AZ32,'M1'!AN$10:AN$49))</f>
        <v/>
      </c>
      <c r="AO32" s="97">
        <f>SUMPRODUCT(MMULT('M4'!$M32:$AZ32,'M1'!AO$10:AO$49))</f>
        <v/>
      </c>
      <c r="AP32" s="97">
        <f>SUMPRODUCT(MMULT('M4'!$M32:$AZ32,'M1'!AP$10:AP$49))</f>
        <v/>
      </c>
      <c r="AQ32" s="97">
        <f>SUMPRODUCT(MMULT('M4'!$M32:$AZ32,'M1'!AQ$10:AQ$49))</f>
        <v/>
      </c>
      <c r="AR32" s="97">
        <f>SUMPRODUCT(MMULT('M4'!$M32:$AZ32,'M1'!AR$10:AR$49))</f>
        <v/>
      </c>
      <c r="AS32" s="97">
        <f>SUMPRODUCT(MMULT('M4'!$M32:$AZ32,'M1'!AS$10:AS$49))</f>
        <v/>
      </c>
      <c r="AT32" s="97">
        <f>SUMPRODUCT(MMULT('M4'!$M32:$AZ32,'M1'!AT$10:AT$49))</f>
        <v/>
      </c>
      <c r="AU32" s="97">
        <f>SUMPRODUCT(MMULT('M4'!$M32:$AZ32,'M1'!AU$10:AU$49))</f>
        <v/>
      </c>
      <c r="AV32" s="97">
        <f>SUMPRODUCT(MMULT('M4'!$M32:$AZ32,'M1'!AV$10:AV$49))</f>
        <v/>
      </c>
      <c r="AW32" s="97">
        <f>SUMPRODUCT(MMULT('M4'!$M32:$AZ32,'M1'!AW$10:AW$49))</f>
        <v/>
      </c>
      <c r="AX32" s="97">
        <f>SUMPRODUCT(MMULT('M4'!$M32:$AZ32,'M1'!AX$10:AX$49))</f>
        <v/>
      </c>
      <c r="AY32" s="97">
        <f>SUMPRODUCT(MMULT('M4'!$M32:$AZ32,'M1'!AY$10:AY$49))</f>
        <v/>
      </c>
      <c r="AZ32" s="97">
        <f>SUMPRODUCT(MMULT('M4'!$M32:$AZ32,'M1'!AZ$10:AZ$49))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SUMPRODUCT(MMULT('M4'!$M33:$AZ33,'M1'!M$10:M$49))</f>
        <v/>
      </c>
      <c r="N33" s="97">
        <f>SUMPRODUCT(MMULT('M4'!$M33:$AZ33,'M1'!N$10:N$49))</f>
        <v/>
      </c>
      <c r="O33" s="97">
        <f>SUMPRODUCT(MMULT('M4'!$M33:$AZ33,'M1'!O$10:O$49))</f>
        <v/>
      </c>
      <c r="P33" s="97">
        <f>SUMPRODUCT(MMULT('M4'!$M33:$AZ33,'M1'!P$10:P$49))</f>
        <v/>
      </c>
      <c r="Q33" s="97">
        <f>SUMPRODUCT(MMULT('M4'!$M33:$AZ33,'M1'!Q$10:Q$49))</f>
        <v/>
      </c>
      <c r="R33" s="97">
        <f>SUMPRODUCT(MMULT('M4'!$M33:$AZ33,'M1'!R$10:R$49))</f>
        <v/>
      </c>
      <c r="S33" s="97">
        <f>SUMPRODUCT(MMULT('M4'!$M33:$AZ33,'M1'!S$10:S$49))</f>
        <v/>
      </c>
      <c r="T33" s="97">
        <f>SUMPRODUCT(MMULT('M4'!$M33:$AZ33,'M1'!T$10:T$49))</f>
        <v/>
      </c>
      <c r="U33" s="97">
        <f>SUMPRODUCT(MMULT('M4'!$M33:$AZ33,'M1'!U$10:U$49))</f>
        <v/>
      </c>
      <c r="V33" s="97">
        <f>SUMPRODUCT(MMULT('M4'!$M33:$AZ33,'M1'!V$10:V$49))</f>
        <v/>
      </c>
      <c r="W33" s="97">
        <f>SUMPRODUCT(MMULT('M4'!$M33:$AZ33,'M1'!W$10:W$49))</f>
        <v/>
      </c>
      <c r="X33" s="97">
        <f>SUMPRODUCT(MMULT('M4'!$M33:$AZ33,'M1'!X$10:X$49))</f>
        <v/>
      </c>
      <c r="Y33" s="97">
        <f>SUMPRODUCT(MMULT('M4'!$M33:$AZ33,'M1'!Y$10:Y$49))</f>
        <v/>
      </c>
      <c r="Z33" s="97">
        <f>SUMPRODUCT(MMULT('M4'!$M33:$AZ33,'M1'!Z$10:Z$49))</f>
        <v/>
      </c>
      <c r="AA33" s="97">
        <f>SUMPRODUCT(MMULT('M4'!$M33:$AZ33,'M1'!AA$10:AA$49))</f>
        <v/>
      </c>
      <c r="AB33" s="97">
        <f>SUMPRODUCT(MMULT('M4'!$M33:$AZ33,'M1'!AB$10:AB$49))</f>
        <v/>
      </c>
      <c r="AC33" s="97">
        <f>SUMPRODUCT(MMULT('M4'!$M33:$AZ33,'M1'!AC$10:AC$49))</f>
        <v/>
      </c>
      <c r="AD33" s="97">
        <f>SUMPRODUCT(MMULT('M4'!$M33:$AZ33,'M1'!AD$10:AD$49))</f>
        <v/>
      </c>
      <c r="AE33" s="97">
        <f>SUMPRODUCT(MMULT('M4'!$M33:$AZ33,'M1'!AE$10:AE$49))</f>
        <v/>
      </c>
      <c r="AF33" s="97">
        <f>SUMPRODUCT(MMULT('M4'!$M33:$AZ33,'M1'!AF$10:AF$49))</f>
        <v/>
      </c>
      <c r="AG33" s="97">
        <f>SUMPRODUCT(MMULT('M4'!$M33:$AZ33,'M1'!AG$10:AG$49))</f>
        <v/>
      </c>
      <c r="AH33" s="97">
        <f>SUMPRODUCT(MMULT('M4'!$M33:$AZ33,'M1'!AH$10:AH$49))</f>
        <v/>
      </c>
      <c r="AI33" s="97">
        <f>SUMPRODUCT(MMULT('M4'!$M33:$AZ33,'M1'!AI$10:AI$49))</f>
        <v/>
      </c>
      <c r="AJ33" s="97">
        <f>SUMPRODUCT(MMULT('M4'!$M33:$AZ33,'M1'!AJ$10:AJ$49))</f>
        <v/>
      </c>
      <c r="AK33" s="97">
        <f>SUMPRODUCT(MMULT('M4'!$M33:$AZ33,'M1'!AK$10:AK$49))</f>
        <v/>
      </c>
      <c r="AL33" s="97">
        <f>SUMPRODUCT(MMULT('M4'!$M33:$AZ33,'M1'!AL$10:AL$49))</f>
        <v/>
      </c>
      <c r="AM33" s="97">
        <f>SUMPRODUCT(MMULT('M4'!$M33:$AZ33,'M1'!AM$10:AM$49))</f>
        <v/>
      </c>
      <c r="AN33" s="97">
        <f>SUMPRODUCT(MMULT('M4'!$M33:$AZ33,'M1'!AN$10:AN$49))</f>
        <v/>
      </c>
      <c r="AO33" s="97">
        <f>SUMPRODUCT(MMULT('M4'!$M33:$AZ33,'M1'!AO$10:AO$49))</f>
        <v/>
      </c>
      <c r="AP33" s="97">
        <f>SUMPRODUCT(MMULT('M4'!$M33:$AZ33,'M1'!AP$10:AP$49))</f>
        <v/>
      </c>
      <c r="AQ33" s="97">
        <f>SUMPRODUCT(MMULT('M4'!$M33:$AZ33,'M1'!AQ$10:AQ$49))</f>
        <v/>
      </c>
      <c r="AR33" s="97">
        <f>SUMPRODUCT(MMULT('M4'!$M33:$AZ33,'M1'!AR$10:AR$49))</f>
        <v/>
      </c>
      <c r="AS33" s="97">
        <f>SUMPRODUCT(MMULT('M4'!$M33:$AZ33,'M1'!AS$10:AS$49))</f>
        <v/>
      </c>
      <c r="AT33" s="97">
        <f>SUMPRODUCT(MMULT('M4'!$M33:$AZ33,'M1'!AT$10:AT$49))</f>
        <v/>
      </c>
      <c r="AU33" s="97">
        <f>SUMPRODUCT(MMULT('M4'!$M33:$AZ33,'M1'!AU$10:AU$49))</f>
        <v/>
      </c>
      <c r="AV33" s="97">
        <f>SUMPRODUCT(MMULT('M4'!$M33:$AZ33,'M1'!AV$10:AV$49))</f>
        <v/>
      </c>
      <c r="AW33" s="97">
        <f>SUMPRODUCT(MMULT('M4'!$M33:$AZ33,'M1'!AW$10:AW$49))</f>
        <v/>
      </c>
      <c r="AX33" s="97">
        <f>SUMPRODUCT(MMULT('M4'!$M33:$AZ33,'M1'!AX$10:AX$49))</f>
        <v/>
      </c>
      <c r="AY33" s="97">
        <f>SUMPRODUCT(MMULT('M4'!$M33:$AZ33,'M1'!AY$10:AY$49))</f>
        <v/>
      </c>
      <c r="AZ33" s="97">
        <f>SUMPRODUCT(MMULT('M4'!$M33:$AZ33,'M1'!AZ$10:AZ$49))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SUMPRODUCT(MMULT('M4'!$M34:$AZ34,'M1'!M$10:M$49))</f>
        <v/>
      </c>
      <c r="N34" s="97">
        <f>SUMPRODUCT(MMULT('M4'!$M34:$AZ34,'M1'!N$10:N$49))</f>
        <v/>
      </c>
      <c r="O34" s="97">
        <f>SUMPRODUCT(MMULT('M4'!$M34:$AZ34,'M1'!O$10:O$49))</f>
        <v/>
      </c>
      <c r="P34" s="97">
        <f>SUMPRODUCT(MMULT('M4'!$M34:$AZ34,'M1'!P$10:P$49))</f>
        <v/>
      </c>
      <c r="Q34" s="97">
        <f>SUMPRODUCT(MMULT('M4'!$M34:$AZ34,'M1'!Q$10:Q$49))</f>
        <v/>
      </c>
      <c r="R34" s="97">
        <f>SUMPRODUCT(MMULT('M4'!$M34:$AZ34,'M1'!R$10:R$49))</f>
        <v/>
      </c>
      <c r="S34" s="97">
        <f>SUMPRODUCT(MMULT('M4'!$M34:$AZ34,'M1'!S$10:S$49))</f>
        <v/>
      </c>
      <c r="T34" s="97">
        <f>SUMPRODUCT(MMULT('M4'!$M34:$AZ34,'M1'!T$10:T$49))</f>
        <v/>
      </c>
      <c r="U34" s="97">
        <f>SUMPRODUCT(MMULT('M4'!$M34:$AZ34,'M1'!U$10:U$49))</f>
        <v/>
      </c>
      <c r="V34" s="97">
        <f>SUMPRODUCT(MMULT('M4'!$M34:$AZ34,'M1'!V$10:V$49))</f>
        <v/>
      </c>
      <c r="W34" s="97">
        <f>SUMPRODUCT(MMULT('M4'!$M34:$AZ34,'M1'!W$10:W$49))</f>
        <v/>
      </c>
      <c r="X34" s="97">
        <f>SUMPRODUCT(MMULT('M4'!$M34:$AZ34,'M1'!X$10:X$49))</f>
        <v/>
      </c>
      <c r="Y34" s="97">
        <f>SUMPRODUCT(MMULT('M4'!$M34:$AZ34,'M1'!Y$10:Y$49))</f>
        <v/>
      </c>
      <c r="Z34" s="97">
        <f>SUMPRODUCT(MMULT('M4'!$M34:$AZ34,'M1'!Z$10:Z$49))</f>
        <v/>
      </c>
      <c r="AA34" s="97">
        <f>SUMPRODUCT(MMULT('M4'!$M34:$AZ34,'M1'!AA$10:AA$49))</f>
        <v/>
      </c>
      <c r="AB34" s="97">
        <f>SUMPRODUCT(MMULT('M4'!$M34:$AZ34,'M1'!AB$10:AB$49))</f>
        <v/>
      </c>
      <c r="AC34" s="97">
        <f>SUMPRODUCT(MMULT('M4'!$M34:$AZ34,'M1'!AC$10:AC$49))</f>
        <v/>
      </c>
      <c r="AD34" s="97">
        <f>SUMPRODUCT(MMULT('M4'!$M34:$AZ34,'M1'!AD$10:AD$49))</f>
        <v/>
      </c>
      <c r="AE34" s="97">
        <f>SUMPRODUCT(MMULT('M4'!$M34:$AZ34,'M1'!AE$10:AE$49))</f>
        <v/>
      </c>
      <c r="AF34" s="97">
        <f>SUMPRODUCT(MMULT('M4'!$M34:$AZ34,'M1'!AF$10:AF$49))</f>
        <v/>
      </c>
      <c r="AG34" s="97">
        <f>SUMPRODUCT(MMULT('M4'!$M34:$AZ34,'M1'!AG$10:AG$49))</f>
        <v/>
      </c>
      <c r="AH34" s="97">
        <f>SUMPRODUCT(MMULT('M4'!$M34:$AZ34,'M1'!AH$10:AH$49))</f>
        <v/>
      </c>
      <c r="AI34" s="97">
        <f>SUMPRODUCT(MMULT('M4'!$M34:$AZ34,'M1'!AI$10:AI$49))</f>
        <v/>
      </c>
      <c r="AJ34" s="97">
        <f>SUMPRODUCT(MMULT('M4'!$M34:$AZ34,'M1'!AJ$10:AJ$49))</f>
        <v/>
      </c>
      <c r="AK34" s="97">
        <f>SUMPRODUCT(MMULT('M4'!$M34:$AZ34,'M1'!AK$10:AK$49))</f>
        <v/>
      </c>
      <c r="AL34" s="97">
        <f>SUMPRODUCT(MMULT('M4'!$M34:$AZ34,'M1'!AL$10:AL$49))</f>
        <v/>
      </c>
      <c r="AM34" s="97">
        <f>SUMPRODUCT(MMULT('M4'!$M34:$AZ34,'M1'!AM$10:AM$49))</f>
        <v/>
      </c>
      <c r="AN34" s="97">
        <f>SUMPRODUCT(MMULT('M4'!$M34:$AZ34,'M1'!AN$10:AN$49))</f>
        <v/>
      </c>
      <c r="AO34" s="97">
        <f>SUMPRODUCT(MMULT('M4'!$M34:$AZ34,'M1'!AO$10:AO$49))</f>
        <v/>
      </c>
      <c r="AP34" s="97">
        <f>SUMPRODUCT(MMULT('M4'!$M34:$AZ34,'M1'!AP$10:AP$49))</f>
        <v/>
      </c>
      <c r="AQ34" s="97">
        <f>SUMPRODUCT(MMULT('M4'!$M34:$AZ34,'M1'!AQ$10:AQ$49))</f>
        <v/>
      </c>
      <c r="AR34" s="97">
        <f>SUMPRODUCT(MMULT('M4'!$M34:$AZ34,'M1'!AR$10:AR$49))</f>
        <v/>
      </c>
      <c r="AS34" s="97">
        <f>SUMPRODUCT(MMULT('M4'!$M34:$AZ34,'M1'!AS$10:AS$49))</f>
        <v/>
      </c>
      <c r="AT34" s="97">
        <f>SUMPRODUCT(MMULT('M4'!$M34:$AZ34,'M1'!AT$10:AT$49))</f>
        <v/>
      </c>
      <c r="AU34" s="97">
        <f>SUMPRODUCT(MMULT('M4'!$M34:$AZ34,'M1'!AU$10:AU$49))</f>
        <v/>
      </c>
      <c r="AV34" s="97">
        <f>SUMPRODUCT(MMULT('M4'!$M34:$AZ34,'M1'!AV$10:AV$49))</f>
        <v/>
      </c>
      <c r="AW34" s="97">
        <f>SUMPRODUCT(MMULT('M4'!$M34:$AZ34,'M1'!AW$10:AW$49))</f>
        <v/>
      </c>
      <c r="AX34" s="97">
        <f>SUMPRODUCT(MMULT('M4'!$M34:$AZ34,'M1'!AX$10:AX$49))</f>
        <v/>
      </c>
      <c r="AY34" s="97">
        <f>SUMPRODUCT(MMULT('M4'!$M34:$AZ34,'M1'!AY$10:AY$49))</f>
        <v/>
      </c>
      <c r="AZ34" s="97">
        <f>SUMPRODUCT(MMULT('M4'!$M34:$AZ34,'M1'!AZ$10:AZ$49))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SUMPRODUCT(MMULT('M4'!$M35:$AZ35,'M1'!M$10:M$49))</f>
        <v/>
      </c>
      <c r="N35" s="97">
        <f>SUMPRODUCT(MMULT('M4'!$M35:$AZ35,'M1'!N$10:N$49))</f>
        <v/>
      </c>
      <c r="O35" s="97">
        <f>SUMPRODUCT(MMULT('M4'!$M35:$AZ35,'M1'!O$10:O$49))</f>
        <v/>
      </c>
      <c r="P35" s="97">
        <f>SUMPRODUCT(MMULT('M4'!$M35:$AZ35,'M1'!P$10:P$49))</f>
        <v/>
      </c>
      <c r="Q35" s="97">
        <f>SUMPRODUCT(MMULT('M4'!$M35:$AZ35,'M1'!Q$10:Q$49))</f>
        <v/>
      </c>
      <c r="R35" s="97">
        <f>SUMPRODUCT(MMULT('M4'!$M35:$AZ35,'M1'!R$10:R$49))</f>
        <v/>
      </c>
      <c r="S35" s="97">
        <f>SUMPRODUCT(MMULT('M4'!$M35:$AZ35,'M1'!S$10:S$49))</f>
        <v/>
      </c>
      <c r="T35" s="97">
        <f>SUMPRODUCT(MMULT('M4'!$M35:$AZ35,'M1'!T$10:T$49))</f>
        <v/>
      </c>
      <c r="U35" s="97">
        <f>SUMPRODUCT(MMULT('M4'!$M35:$AZ35,'M1'!U$10:U$49))</f>
        <v/>
      </c>
      <c r="V35" s="97">
        <f>SUMPRODUCT(MMULT('M4'!$M35:$AZ35,'M1'!V$10:V$49))</f>
        <v/>
      </c>
      <c r="W35" s="97">
        <f>SUMPRODUCT(MMULT('M4'!$M35:$AZ35,'M1'!W$10:W$49))</f>
        <v/>
      </c>
      <c r="X35" s="97">
        <f>SUMPRODUCT(MMULT('M4'!$M35:$AZ35,'M1'!X$10:X$49))</f>
        <v/>
      </c>
      <c r="Y35" s="97">
        <f>SUMPRODUCT(MMULT('M4'!$M35:$AZ35,'M1'!Y$10:Y$49))</f>
        <v/>
      </c>
      <c r="Z35" s="97">
        <f>SUMPRODUCT(MMULT('M4'!$M35:$AZ35,'M1'!Z$10:Z$49))</f>
        <v/>
      </c>
      <c r="AA35" s="97">
        <f>SUMPRODUCT(MMULT('M4'!$M35:$AZ35,'M1'!AA$10:AA$49))</f>
        <v/>
      </c>
      <c r="AB35" s="97">
        <f>SUMPRODUCT(MMULT('M4'!$M35:$AZ35,'M1'!AB$10:AB$49))</f>
        <v/>
      </c>
      <c r="AC35" s="97">
        <f>SUMPRODUCT(MMULT('M4'!$M35:$AZ35,'M1'!AC$10:AC$49))</f>
        <v/>
      </c>
      <c r="AD35" s="97">
        <f>SUMPRODUCT(MMULT('M4'!$M35:$AZ35,'M1'!AD$10:AD$49))</f>
        <v/>
      </c>
      <c r="AE35" s="97">
        <f>SUMPRODUCT(MMULT('M4'!$M35:$AZ35,'M1'!AE$10:AE$49))</f>
        <v/>
      </c>
      <c r="AF35" s="97">
        <f>SUMPRODUCT(MMULT('M4'!$M35:$AZ35,'M1'!AF$10:AF$49))</f>
        <v/>
      </c>
      <c r="AG35" s="97">
        <f>SUMPRODUCT(MMULT('M4'!$M35:$AZ35,'M1'!AG$10:AG$49))</f>
        <v/>
      </c>
      <c r="AH35" s="97">
        <f>SUMPRODUCT(MMULT('M4'!$M35:$AZ35,'M1'!AH$10:AH$49))</f>
        <v/>
      </c>
      <c r="AI35" s="97">
        <f>SUMPRODUCT(MMULT('M4'!$M35:$AZ35,'M1'!AI$10:AI$49))</f>
        <v/>
      </c>
      <c r="AJ35" s="97">
        <f>SUMPRODUCT(MMULT('M4'!$M35:$AZ35,'M1'!AJ$10:AJ$49))</f>
        <v/>
      </c>
      <c r="AK35" s="97">
        <f>SUMPRODUCT(MMULT('M4'!$M35:$AZ35,'M1'!AK$10:AK$49))</f>
        <v/>
      </c>
      <c r="AL35" s="97">
        <f>SUMPRODUCT(MMULT('M4'!$M35:$AZ35,'M1'!AL$10:AL$49))</f>
        <v/>
      </c>
      <c r="AM35" s="97">
        <f>SUMPRODUCT(MMULT('M4'!$M35:$AZ35,'M1'!AM$10:AM$49))</f>
        <v/>
      </c>
      <c r="AN35" s="97">
        <f>SUMPRODUCT(MMULT('M4'!$M35:$AZ35,'M1'!AN$10:AN$49))</f>
        <v/>
      </c>
      <c r="AO35" s="97">
        <f>SUMPRODUCT(MMULT('M4'!$M35:$AZ35,'M1'!AO$10:AO$49))</f>
        <v/>
      </c>
      <c r="AP35" s="97">
        <f>SUMPRODUCT(MMULT('M4'!$M35:$AZ35,'M1'!AP$10:AP$49))</f>
        <v/>
      </c>
      <c r="AQ35" s="97">
        <f>SUMPRODUCT(MMULT('M4'!$M35:$AZ35,'M1'!AQ$10:AQ$49))</f>
        <v/>
      </c>
      <c r="AR35" s="97">
        <f>SUMPRODUCT(MMULT('M4'!$M35:$AZ35,'M1'!AR$10:AR$49))</f>
        <v/>
      </c>
      <c r="AS35" s="97">
        <f>SUMPRODUCT(MMULT('M4'!$M35:$AZ35,'M1'!AS$10:AS$49))</f>
        <v/>
      </c>
      <c r="AT35" s="97">
        <f>SUMPRODUCT(MMULT('M4'!$M35:$AZ35,'M1'!AT$10:AT$49))</f>
        <v/>
      </c>
      <c r="AU35" s="97">
        <f>SUMPRODUCT(MMULT('M4'!$M35:$AZ35,'M1'!AU$10:AU$49))</f>
        <v/>
      </c>
      <c r="AV35" s="97">
        <f>SUMPRODUCT(MMULT('M4'!$M35:$AZ35,'M1'!AV$10:AV$49))</f>
        <v/>
      </c>
      <c r="AW35" s="97">
        <f>SUMPRODUCT(MMULT('M4'!$M35:$AZ35,'M1'!AW$10:AW$49))</f>
        <v/>
      </c>
      <c r="AX35" s="97">
        <f>SUMPRODUCT(MMULT('M4'!$M35:$AZ35,'M1'!AX$10:AX$49))</f>
        <v/>
      </c>
      <c r="AY35" s="97">
        <f>SUMPRODUCT(MMULT('M4'!$M35:$AZ35,'M1'!AY$10:AY$49))</f>
        <v/>
      </c>
      <c r="AZ35" s="97">
        <f>SUMPRODUCT(MMULT('M4'!$M35:$AZ35,'M1'!AZ$10:AZ$49))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SUMPRODUCT(MMULT('M4'!$M36:$AZ36,'M1'!M$10:M$49))</f>
        <v/>
      </c>
      <c r="N36" s="97">
        <f>SUMPRODUCT(MMULT('M4'!$M36:$AZ36,'M1'!N$10:N$49))</f>
        <v/>
      </c>
      <c r="O36" s="97">
        <f>SUMPRODUCT(MMULT('M4'!$M36:$AZ36,'M1'!O$10:O$49))</f>
        <v/>
      </c>
      <c r="P36" s="97">
        <f>SUMPRODUCT(MMULT('M4'!$M36:$AZ36,'M1'!P$10:P$49))</f>
        <v/>
      </c>
      <c r="Q36" s="97">
        <f>SUMPRODUCT(MMULT('M4'!$M36:$AZ36,'M1'!Q$10:Q$49))</f>
        <v/>
      </c>
      <c r="R36" s="97">
        <f>SUMPRODUCT(MMULT('M4'!$M36:$AZ36,'M1'!R$10:R$49))</f>
        <v/>
      </c>
      <c r="S36" s="97">
        <f>SUMPRODUCT(MMULT('M4'!$M36:$AZ36,'M1'!S$10:S$49))</f>
        <v/>
      </c>
      <c r="T36" s="97">
        <f>SUMPRODUCT(MMULT('M4'!$M36:$AZ36,'M1'!T$10:T$49))</f>
        <v/>
      </c>
      <c r="U36" s="97">
        <f>SUMPRODUCT(MMULT('M4'!$M36:$AZ36,'M1'!U$10:U$49))</f>
        <v/>
      </c>
      <c r="V36" s="97">
        <f>SUMPRODUCT(MMULT('M4'!$M36:$AZ36,'M1'!V$10:V$49))</f>
        <v/>
      </c>
      <c r="W36" s="97">
        <f>SUMPRODUCT(MMULT('M4'!$M36:$AZ36,'M1'!W$10:W$49))</f>
        <v/>
      </c>
      <c r="X36" s="97">
        <f>SUMPRODUCT(MMULT('M4'!$M36:$AZ36,'M1'!X$10:X$49))</f>
        <v/>
      </c>
      <c r="Y36" s="97">
        <f>SUMPRODUCT(MMULT('M4'!$M36:$AZ36,'M1'!Y$10:Y$49))</f>
        <v/>
      </c>
      <c r="Z36" s="97">
        <f>SUMPRODUCT(MMULT('M4'!$M36:$AZ36,'M1'!Z$10:Z$49))</f>
        <v/>
      </c>
      <c r="AA36" s="97">
        <f>SUMPRODUCT(MMULT('M4'!$M36:$AZ36,'M1'!AA$10:AA$49))</f>
        <v/>
      </c>
      <c r="AB36" s="97">
        <f>SUMPRODUCT(MMULT('M4'!$M36:$AZ36,'M1'!AB$10:AB$49))</f>
        <v/>
      </c>
      <c r="AC36" s="97">
        <f>SUMPRODUCT(MMULT('M4'!$M36:$AZ36,'M1'!AC$10:AC$49))</f>
        <v/>
      </c>
      <c r="AD36" s="97">
        <f>SUMPRODUCT(MMULT('M4'!$M36:$AZ36,'M1'!AD$10:AD$49))</f>
        <v/>
      </c>
      <c r="AE36" s="97">
        <f>SUMPRODUCT(MMULT('M4'!$M36:$AZ36,'M1'!AE$10:AE$49))</f>
        <v/>
      </c>
      <c r="AF36" s="97">
        <f>SUMPRODUCT(MMULT('M4'!$M36:$AZ36,'M1'!AF$10:AF$49))</f>
        <v/>
      </c>
      <c r="AG36" s="97">
        <f>SUMPRODUCT(MMULT('M4'!$M36:$AZ36,'M1'!AG$10:AG$49))</f>
        <v/>
      </c>
      <c r="AH36" s="97">
        <f>SUMPRODUCT(MMULT('M4'!$M36:$AZ36,'M1'!AH$10:AH$49))</f>
        <v/>
      </c>
      <c r="AI36" s="97">
        <f>SUMPRODUCT(MMULT('M4'!$M36:$AZ36,'M1'!AI$10:AI$49))</f>
        <v/>
      </c>
      <c r="AJ36" s="97">
        <f>SUMPRODUCT(MMULT('M4'!$M36:$AZ36,'M1'!AJ$10:AJ$49))</f>
        <v/>
      </c>
      <c r="AK36" s="97">
        <f>SUMPRODUCT(MMULT('M4'!$M36:$AZ36,'M1'!AK$10:AK$49))</f>
        <v/>
      </c>
      <c r="AL36" s="97">
        <f>SUMPRODUCT(MMULT('M4'!$M36:$AZ36,'M1'!AL$10:AL$49))</f>
        <v/>
      </c>
      <c r="AM36" s="97">
        <f>SUMPRODUCT(MMULT('M4'!$M36:$AZ36,'M1'!AM$10:AM$49))</f>
        <v/>
      </c>
      <c r="AN36" s="97">
        <f>SUMPRODUCT(MMULT('M4'!$M36:$AZ36,'M1'!AN$10:AN$49))</f>
        <v/>
      </c>
      <c r="AO36" s="97">
        <f>SUMPRODUCT(MMULT('M4'!$M36:$AZ36,'M1'!AO$10:AO$49))</f>
        <v/>
      </c>
      <c r="AP36" s="97">
        <f>SUMPRODUCT(MMULT('M4'!$M36:$AZ36,'M1'!AP$10:AP$49))</f>
        <v/>
      </c>
      <c r="AQ36" s="97">
        <f>SUMPRODUCT(MMULT('M4'!$M36:$AZ36,'M1'!AQ$10:AQ$49))</f>
        <v/>
      </c>
      <c r="AR36" s="97">
        <f>SUMPRODUCT(MMULT('M4'!$M36:$AZ36,'M1'!AR$10:AR$49))</f>
        <v/>
      </c>
      <c r="AS36" s="97">
        <f>SUMPRODUCT(MMULT('M4'!$M36:$AZ36,'M1'!AS$10:AS$49))</f>
        <v/>
      </c>
      <c r="AT36" s="97">
        <f>SUMPRODUCT(MMULT('M4'!$M36:$AZ36,'M1'!AT$10:AT$49))</f>
        <v/>
      </c>
      <c r="AU36" s="97">
        <f>SUMPRODUCT(MMULT('M4'!$M36:$AZ36,'M1'!AU$10:AU$49))</f>
        <v/>
      </c>
      <c r="AV36" s="97">
        <f>SUMPRODUCT(MMULT('M4'!$M36:$AZ36,'M1'!AV$10:AV$49))</f>
        <v/>
      </c>
      <c r="AW36" s="97">
        <f>SUMPRODUCT(MMULT('M4'!$M36:$AZ36,'M1'!AW$10:AW$49))</f>
        <v/>
      </c>
      <c r="AX36" s="97">
        <f>SUMPRODUCT(MMULT('M4'!$M36:$AZ36,'M1'!AX$10:AX$49))</f>
        <v/>
      </c>
      <c r="AY36" s="97">
        <f>SUMPRODUCT(MMULT('M4'!$M36:$AZ36,'M1'!AY$10:AY$49))</f>
        <v/>
      </c>
      <c r="AZ36" s="97">
        <f>SUMPRODUCT(MMULT('M4'!$M36:$AZ36,'M1'!AZ$10:AZ$49))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SUMPRODUCT(MMULT('M4'!$M37:$AZ37,'M1'!M$10:M$49))</f>
        <v/>
      </c>
      <c r="N37" s="97">
        <f>SUMPRODUCT(MMULT('M4'!$M37:$AZ37,'M1'!N$10:N$49))</f>
        <v/>
      </c>
      <c r="O37" s="97">
        <f>SUMPRODUCT(MMULT('M4'!$M37:$AZ37,'M1'!O$10:O$49))</f>
        <v/>
      </c>
      <c r="P37" s="97">
        <f>SUMPRODUCT(MMULT('M4'!$M37:$AZ37,'M1'!P$10:P$49))</f>
        <v/>
      </c>
      <c r="Q37" s="97">
        <f>SUMPRODUCT(MMULT('M4'!$M37:$AZ37,'M1'!Q$10:Q$49))</f>
        <v/>
      </c>
      <c r="R37" s="97">
        <f>SUMPRODUCT(MMULT('M4'!$M37:$AZ37,'M1'!R$10:R$49))</f>
        <v/>
      </c>
      <c r="S37" s="97">
        <f>SUMPRODUCT(MMULT('M4'!$M37:$AZ37,'M1'!S$10:S$49))</f>
        <v/>
      </c>
      <c r="T37" s="97">
        <f>SUMPRODUCT(MMULT('M4'!$M37:$AZ37,'M1'!T$10:T$49))</f>
        <v/>
      </c>
      <c r="U37" s="97">
        <f>SUMPRODUCT(MMULT('M4'!$M37:$AZ37,'M1'!U$10:U$49))</f>
        <v/>
      </c>
      <c r="V37" s="97">
        <f>SUMPRODUCT(MMULT('M4'!$M37:$AZ37,'M1'!V$10:V$49))</f>
        <v/>
      </c>
      <c r="W37" s="97">
        <f>SUMPRODUCT(MMULT('M4'!$M37:$AZ37,'M1'!W$10:W$49))</f>
        <v/>
      </c>
      <c r="X37" s="97">
        <f>SUMPRODUCT(MMULT('M4'!$M37:$AZ37,'M1'!X$10:X$49))</f>
        <v/>
      </c>
      <c r="Y37" s="97">
        <f>SUMPRODUCT(MMULT('M4'!$M37:$AZ37,'M1'!Y$10:Y$49))</f>
        <v/>
      </c>
      <c r="Z37" s="97">
        <f>SUMPRODUCT(MMULT('M4'!$M37:$AZ37,'M1'!Z$10:Z$49))</f>
        <v/>
      </c>
      <c r="AA37" s="97">
        <f>SUMPRODUCT(MMULT('M4'!$M37:$AZ37,'M1'!AA$10:AA$49))</f>
        <v/>
      </c>
      <c r="AB37" s="97">
        <f>SUMPRODUCT(MMULT('M4'!$M37:$AZ37,'M1'!AB$10:AB$49))</f>
        <v/>
      </c>
      <c r="AC37" s="97">
        <f>SUMPRODUCT(MMULT('M4'!$M37:$AZ37,'M1'!AC$10:AC$49))</f>
        <v/>
      </c>
      <c r="AD37" s="97">
        <f>SUMPRODUCT(MMULT('M4'!$M37:$AZ37,'M1'!AD$10:AD$49))</f>
        <v/>
      </c>
      <c r="AE37" s="97">
        <f>SUMPRODUCT(MMULT('M4'!$M37:$AZ37,'M1'!AE$10:AE$49))</f>
        <v/>
      </c>
      <c r="AF37" s="97">
        <f>SUMPRODUCT(MMULT('M4'!$M37:$AZ37,'M1'!AF$10:AF$49))</f>
        <v/>
      </c>
      <c r="AG37" s="97">
        <f>SUMPRODUCT(MMULT('M4'!$M37:$AZ37,'M1'!AG$10:AG$49))</f>
        <v/>
      </c>
      <c r="AH37" s="97">
        <f>SUMPRODUCT(MMULT('M4'!$M37:$AZ37,'M1'!AH$10:AH$49))</f>
        <v/>
      </c>
      <c r="AI37" s="97">
        <f>SUMPRODUCT(MMULT('M4'!$M37:$AZ37,'M1'!AI$10:AI$49))</f>
        <v/>
      </c>
      <c r="AJ37" s="97">
        <f>SUMPRODUCT(MMULT('M4'!$M37:$AZ37,'M1'!AJ$10:AJ$49))</f>
        <v/>
      </c>
      <c r="AK37" s="97">
        <f>SUMPRODUCT(MMULT('M4'!$M37:$AZ37,'M1'!AK$10:AK$49))</f>
        <v/>
      </c>
      <c r="AL37" s="97">
        <f>SUMPRODUCT(MMULT('M4'!$M37:$AZ37,'M1'!AL$10:AL$49))</f>
        <v/>
      </c>
      <c r="AM37" s="97">
        <f>SUMPRODUCT(MMULT('M4'!$M37:$AZ37,'M1'!AM$10:AM$49))</f>
        <v/>
      </c>
      <c r="AN37" s="97">
        <f>SUMPRODUCT(MMULT('M4'!$M37:$AZ37,'M1'!AN$10:AN$49))</f>
        <v/>
      </c>
      <c r="AO37" s="97">
        <f>SUMPRODUCT(MMULT('M4'!$M37:$AZ37,'M1'!AO$10:AO$49))</f>
        <v/>
      </c>
      <c r="AP37" s="97">
        <f>SUMPRODUCT(MMULT('M4'!$M37:$AZ37,'M1'!AP$10:AP$49))</f>
        <v/>
      </c>
      <c r="AQ37" s="97">
        <f>SUMPRODUCT(MMULT('M4'!$M37:$AZ37,'M1'!AQ$10:AQ$49))</f>
        <v/>
      </c>
      <c r="AR37" s="97">
        <f>SUMPRODUCT(MMULT('M4'!$M37:$AZ37,'M1'!AR$10:AR$49))</f>
        <v/>
      </c>
      <c r="AS37" s="97">
        <f>SUMPRODUCT(MMULT('M4'!$M37:$AZ37,'M1'!AS$10:AS$49))</f>
        <v/>
      </c>
      <c r="AT37" s="97">
        <f>SUMPRODUCT(MMULT('M4'!$M37:$AZ37,'M1'!AT$10:AT$49))</f>
        <v/>
      </c>
      <c r="AU37" s="97">
        <f>SUMPRODUCT(MMULT('M4'!$M37:$AZ37,'M1'!AU$10:AU$49))</f>
        <v/>
      </c>
      <c r="AV37" s="97">
        <f>SUMPRODUCT(MMULT('M4'!$M37:$AZ37,'M1'!AV$10:AV$49))</f>
        <v/>
      </c>
      <c r="AW37" s="97">
        <f>SUMPRODUCT(MMULT('M4'!$M37:$AZ37,'M1'!AW$10:AW$49))</f>
        <v/>
      </c>
      <c r="AX37" s="97">
        <f>SUMPRODUCT(MMULT('M4'!$M37:$AZ37,'M1'!AX$10:AX$49))</f>
        <v/>
      </c>
      <c r="AY37" s="97">
        <f>SUMPRODUCT(MMULT('M4'!$M37:$AZ37,'M1'!AY$10:AY$49))</f>
        <v/>
      </c>
      <c r="AZ37" s="97">
        <f>SUMPRODUCT(MMULT('M4'!$M37:$AZ37,'M1'!AZ$10:AZ$49))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SUMPRODUCT(MMULT('M4'!$M38:$AZ38,'M1'!M$10:M$49))</f>
        <v/>
      </c>
      <c r="N38" s="97">
        <f>SUMPRODUCT(MMULT('M4'!$M38:$AZ38,'M1'!N$10:N$49))</f>
        <v/>
      </c>
      <c r="O38" s="97">
        <f>SUMPRODUCT(MMULT('M4'!$M38:$AZ38,'M1'!O$10:O$49))</f>
        <v/>
      </c>
      <c r="P38" s="97">
        <f>SUMPRODUCT(MMULT('M4'!$M38:$AZ38,'M1'!P$10:P$49))</f>
        <v/>
      </c>
      <c r="Q38" s="97">
        <f>SUMPRODUCT(MMULT('M4'!$M38:$AZ38,'M1'!Q$10:Q$49))</f>
        <v/>
      </c>
      <c r="R38" s="97">
        <f>SUMPRODUCT(MMULT('M4'!$M38:$AZ38,'M1'!R$10:R$49))</f>
        <v/>
      </c>
      <c r="S38" s="97">
        <f>SUMPRODUCT(MMULT('M4'!$M38:$AZ38,'M1'!S$10:S$49))</f>
        <v/>
      </c>
      <c r="T38" s="97">
        <f>SUMPRODUCT(MMULT('M4'!$M38:$AZ38,'M1'!T$10:T$49))</f>
        <v/>
      </c>
      <c r="U38" s="97">
        <f>SUMPRODUCT(MMULT('M4'!$M38:$AZ38,'M1'!U$10:U$49))</f>
        <v/>
      </c>
      <c r="V38" s="97">
        <f>SUMPRODUCT(MMULT('M4'!$M38:$AZ38,'M1'!V$10:V$49))</f>
        <v/>
      </c>
      <c r="W38" s="97">
        <f>SUMPRODUCT(MMULT('M4'!$M38:$AZ38,'M1'!W$10:W$49))</f>
        <v/>
      </c>
      <c r="X38" s="97">
        <f>SUMPRODUCT(MMULT('M4'!$M38:$AZ38,'M1'!X$10:X$49))</f>
        <v/>
      </c>
      <c r="Y38" s="97">
        <f>SUMPRODUCT(MMULT('M4'!$M38:$AZ38,'M1'!Y$10:Y$49))</f>
        <v/>
      </c>
      <c r="Z38" s="97">
        <f>SUMPRODUCT(MMULT('M4'!$M38:$AZ38,'M1'!Z$10:Z$49))</f>
        <v/>
      </c>
      <c r="AA38" s="97">
        <f>SUMPRODUCT(MMULT('M4'!$M38:$AZ38,'M1'!AA$10:AA$49))</f>
        <v/>
      </c>
      <c r="AB38" s="97">
        <f>SUMPRODUCT(MMULT('M4'!$M38:$AZ38,'M1'!AB$10:AB$49))</f>
        <v/>
      </c>
      <c r="AC38" s="97">
        <f>SUMPRODUCT(MMULT('M4'!$M38:$AZ38,'M1'!AC$10:AC$49))</f>
        <v/>
      </c>
      <c r="AD38" s="97">
        <f>SUMPRODUCT(MMULT('M4'!$M38:$AZ38,'M1'!AD$10:AD$49))</f>
        <v/>
      </c>
      <c r="AE38" s="97">
        <f>SUMPRODUCT(MMULT('M4'!$M38:$AZ38,'M1'!AE$10:AE$49))</f>
        <v/>
      </c>
      <c r="AF38" s="97">
        <f>SUMPRODUCT(MMULT('M4'!$M38:$AZ38,'M1'!AF$10:AF$49))</f>
        <v/>
      </c>
      <c r="AG38" s="97">
        <f>SUMPRODUCT(MMULT('M4'!$M38:$AZ38,'M1'!AG$10:AG$49))</f>
        <v/>
      </c>
      <c r="AH38" s="97">
        <f>SUMPRODUCT(MMULT('M4'!$M38:$AZ38,'M1'!AH$10:AH$49))</f>
        <v/>
      </c>
      <c r="AI38" s="97">
        <f>SUMPRODUCT(MMULT('M4'!$M38:$AZ38,'M1'!AI$10:AI$49))</f>
        <v/>
      </c>
      <c r="AJ38" s="97">
        <f>SUMPRODUCT(MMULT('M4'!$M38:$AZ38,'M1'!AJ$10:AJ$49))</f>
        <v/>
      </c>
      <c r="AK38" s="97">
        <f>SUMPRODUCT(MMULT('M4'!$M38:$AZ38,'M1'!AK$10:AK$49))</f>
        <v/>
      </c>
      <c r="AL38" s="97">
        <f>SUMPRODUCT(MMULT('M4'!$M38:$AZ38,'M1'!AL$10:AL$49))</f>
        <v/>
      </c>
      <c r="AM38" s="97">
        <f>SUMPRODUCT(MMULT('M4'!$M38:$AZ38,'M1'!AM$10:AM$49))</f>
        <v/>
      </c>
      <c r="AN38" s="97">
        <f>SUMPRODUCT(MMULT('M4'!$M38:$AZ38,'M1'!AN$10:AN$49))</f>
        <v/>
      </c>
      <c r="AO38" s="97">
        <f>SUMPRODUCT(MMULT('M4'!$M38:$AZ38,'M1'!AO$10:AO$49))</f>
        <v/>
      </c>
      <c r="AP38" s="97">
        <f>SUMPRODUCT(MMULT('M4'!$M38:$AZ38,'M1'!AP$10:AP$49))</f>
        <v/>
      </c>
      <c r="AQ38" s="97">
        <f>SUMPRODUCT(MMULT('M4'!$M38:$AZ38,'M1'!AQ$10:AQ$49))</f>
        <v/>
      </c>
      <c r="AR38" s="97">
        <f>SUMPRODUCT(MMULT('M4'!$M38:$AZ38,'M1'!AR$10:AR$49))</f>
        <v/>
      </c>
      <c r="AS38" s="97">
        <f>SUMPRODUCT(MMULT('M4'!$M38:$AZ38,'M1'!AS$10:AS$49))</f>
        <v/>
      </c>
      <c r="AT38" s="97">
        <f>SUMPRODUCT(MMULT('M4'!$M38:$AZ38,'M1'!AT$10:AT$49))</f>
        <v/>
      </c>
      <c r="AU38" s="97">
        <f>SUMPRODUCT(MMULT('M4'!$M38:$AZ38,'M1'!AU$10:AU$49))</f>
        <v/>
      </c>
      <c r="AV38" s="97">
        <f>SUMPRODUCT(MMULT('M4'!$M38:$AZ38,'M1'!AV$10:AV$49))</f>
        <v/>
      </c>
      <c r="AW38" s="97">
        <f>SUMPRODUCT(MMULT('M4'!$M38:$AZ38,'M1'!AW$10:AW$49))</f>
        <v/>
      </c>
      <c r="AX38" s="97">
        <f>SUMPRODUCT(MMULT('M4'!$M38:$AZ38,'M1'!AX$10:AX$49))</f>
        <v/>
      </c>
      <c r="AY38" s="97">
        <f>SUMPRODUCT(MMULT('M4'!$M38:$AZ38,'M1'!AY$10:AY$49))</f>
        <v/>
      </c>
      <c r="AZ38" s="97">
        <f>SUMPRODUCT(MMULT('M4'!$M38:$AZ38,'M1'!AZ$10:AZ$49))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SUMPRODUCT(MMULT('M4'!$M39:$AZ39,'M1'!M$10:M$49))</f>
        <v/>
      </c>
      <c r="N39" s="97">
        <f>SUMPRODUCT(MMULT('M4'!$M39:$AZ39,'M1'!N$10:N$49))</f>
        <v/>
      </c>
      <c r="O39" s="97">
        <f>SUMPRODUCT(MMULT('M4'!$M39:$AZ39,'M1'!O$10:O$49))</f>
        <v/>
      </c>
      <c r="P39" s="97">
        <f>SUMPRODUCT(MMULT('M4'!$M39:$AZ39,'M1'!P$10:P$49))</f>
        <v/>
      </c>
      <c r="Q39" s="97">
        <f>SUMPRODUCT(MMULT('M4'!$M39:$AZ39,'M1'!Q$10:Q$49))</f>
        <v/>
      </c>
      <c r="R39" s="97">
        <f>SUMPRODUCT(MMULT('M4'!$M39:$AZ39,'M1'!R$10:R$49))</f>
        <v/>
      </c>
      <c r="S39" s="97">
        <f>SUMPRODUCT(MMULT('M4'!$M39:$AZ39,'M1'!S$10:S$49))</f>
        <v/>
      </c>
      <c r="T39" s="97">
        <f>SUMPRODUCT(MMULT('M4'!$M39:$AZ39,'M1'!T$10:T$49))</f>
        <v/>
      </c>
      <c r="U39" s="97">
        <f>SUMPRODUCT(MMULT('M4'!$M39:$AZ39,'M1'!U$10:U$49))</f>
        <v/>
      </c>
      <c r="V39" s="97">
        <f>SUMPRODUCT(MMULT('M4'!$M39:$AZ39,'M1'!V$10:V$49))</f>
        <v/>
      </c>
      <c r="W39" s="97">
        <f>SUMPRODUCT(MMULT('M4'!$M39:$AZ39,'M1'!W$10:W$49))</f>
        <v/>
      </c>
      <c r="X39" s="97">
        <f>SUMPRODUCT(MMULT('M4'!$M39:$AZ39,'M1'!X$10:X$49))</f>
        <v/>
      </c>
      <c r="Y39" s="97">
        <f>SUMPRODUCT(MMULT('M4'!$M39:$AZ39,'M1'!Y$10:Y$49))</f>
        <v/>
      </c>
      <c r="Z39" s="97">
        <f>SUMPRODUCT(MMULT('M4'!$M39:$AZ39,'M1'!Z$10:Z$49))</f>
        <v/>
      </c>
      <c r="AA39" s="97">
        <f>SUMPRODUCT(MMULT('M4'!$M39:$AZ39,'M1'!AA$10:AA$49))</f>
        <v/>
      </c>
      <c r="AB39" s="97">
        <f>SUMPRODUCT(MMULT('M4'!$M39:$AZ39,'M1'!AB$10:AB$49))</f>
        <v/>
      </c>
      <c r="AC39" s="97">
        <f>SUMPRODUCT(MMULT('M4'!$M39:$AZ39,'M1'!AC$10:AC$49))</f>
        <v/>
      </c>
      <c r="AD39" s="97">
        <f>SUMPRODUCT(MMULT('M4'!$M39:$AZ39,'M1'!AD$10:AD$49))</f>
        <v/>
      </c>
      <c r="AE39" s="97">
        <f>SUMPRODUCT(MMULT('M4'!$M39:$AZ39,'M1'!AE$10:AE$49))</f>
        <v/>
      </c>
      <c r="AF39" s="97">
        <f>SUMPRODUCT(MMULT('M4'!$M39:$AZ39,'M1'!AF$10:AF$49))</f>
        <v/>
      </c>
      <c r="AG39" s="97">
        <f>SUMPRODUCT(MMULT('M4'!$M39:$AZ39,'M1'!AG$10:AG$49))</f>
        <v/>
      </c>
      <c r="AH39" s="97">
        <f>SUMPRODUCT(MMULT('M4'!$M39:$AZ39,'M1'!AH$10:AH$49))</f>
        <v/>
      </c>
      <c r="AI39" s="97">
        <f>SUMPRODUCT(MMULT('M4'!$M39:$AZ39,'M1'!AI$10:AI$49))</f>
        <v/>
      </c>
      <c r="AJ39" s="97">
        <f>SUMPRODUCT(MMULT('M4'!$M39:$AZ39,'M1'!AJ$10:AJ$49))</f>
        <v/>
      </c>
      <c r="AK39" s="97">
        <f>SUMPRODUCT(MMULT('M4'!$M39:$AZ39,'M1'!AK$10:AK$49))</f>
        <v/>
      </c>
      <c r="AL39" s="97">
        <f>SUMPRODUCT(MMULT('M4'!$M39:$AZ39,'M1'!AL$10:AL$49))</f>
        <v/>
      </c>
      <c r="AM39" s="97">
        <f>SUMPRODUCT(MMULT('M4'!$M39:$AZ39,'M1'!AM$10:AM$49))</f>
        <v/>
      </c>
      <c r="AN39" s="97">
        <f>SUMPRODUCT(MMULT('M4'!$M39:$AZ39,'M1'!AN$10:AN$49))</f>
        <v/>
      </c>
      <c r="AO39" s="97">
        <f>SUMPRODUCT(MMULT('M4'!$M39:$AZ39,'M1'!AO$10:AO$49))</f>
        <v/>
      </c>
      <c r="AP39" s="97">
        <f>SUMPRODUCT(MMULT('M4'!$M39:$AZ39,'M1'!AP$10:AP$49))</f>
        <v/>
      </c>
      <c r="AQ39" s="97">
        <f>SUMPRODUCT(MMULT('M4'!$M39:$AZ39,'M1'!AQ$10:AQ$49))</f>
        <v/>
      </c>
      <c r="AR39" s="97">
        <f>SUMPRODUCT(MMULT('M4'!$M39:$AZ39,'M1'!AR$10:AR$49))</f>
        <v/>
      </c>
      <c r="AS39" s="97">
        <f>SUMPRODUCT(MMULT('M4'!$M39:$AZ39,'M1'!AS$10:AS$49))</f>
        <v/>
      </c>
      <c r="AT39" s="97">
        <f>SUMPRODUCT(MMULT('M4'!$M39:$AZ39,'M1'!AT$10:AT$49))</f>
        <v/>
      </c>
      <c r="AU39" s="97">
        <f>SUMPRODUCT(MMULT('M4'!$M39:$AZ39,'M1'!AU$10:AU$49))</f>
        <v/>
      </c>
      <c r="AV39" s="97">
        <f>SUMPRODUCT(MMULT('M4'!$M39:$AZ39,'M1'!AV$10:AV$49))</f>
        <v/>
      </c>
      <c r="AW39" s="97">
        <f>SUMPRODUCT(MMULT('M4'!$M39:$AZ39,'M1'!AW$10:AW$49))</f>
        <v/>
      </c>
      <c r="AX39" s="97">
        <f>SUMPRODUCT(MMULT('M4'!$M39:$AZ39,'M1'!AX$10:AX$49))</f>
        <v/>
      </c>
      <c r="AY39" s="97">
        <f>SUMPRODUCT(MMULT('M4'!$M39:$AZ39,'M1'!AY$10:AY$49))</f>
        <v/>
      </c>
      <c r="AZ39" s="97">
        <f>SUMPRODUCT(MMULT('M4'!$M39:$AZ39,'M1'!AZ$10:AZ$49))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SUMPRODUCT(MMULT('M4'!$M40:$AZ40,'M1'!M$10:M$49))</f>
        <v/>
      </c>
      <c r="N40" s="97">
        <f>SUMPRODUCT(MMULT('M4'!$M40:$AZ40,'M1'!N$10:N$49))</f>
        <v/>
      </c>
      <c r="O40" s="97">
        <f>SUMPRODUCT(MMULT('M4'!$M40:$AZ40,'M1'!O$10:O$49))</f>
        <v/>
      </c>
      <c r="P40" s="97">
        <f>SUMPRODUCT(MMULT('M4'!$M40:$AZ40,'M1'!P$10:P$49))</f>
        <v/>
      </c>
      <c r="Q40" s="97">
        <f>SUMPRODUCT(MMULT('M4'!$M40:$AZ40,'M1'!Q$10:Q$49))</f>
        <v/>
      </c>
      <c r="R40" s="97">
        <f>SUMPRODUCT(MMULT('M4'!$M40:$AZ40,'M1'!R$10:R$49))</f>
        <v/>
      </c>
      <c r="S40" s="97">
        <f>SUMPRODUCT(MMULT('M4'!$M40:$AZ40,'M1'!S$10:S$49))</f>
        <v/>
      </c>
      <c r="T40" s="97">
        <f>SUMPRODUCT(MMULT('M4'!$M40:$AZ40,'M1'!T$10:T$49))</f>
        <v/>
      </c>
      <c r="U40" s="97">
        <f>SUMPRODUCT(MMULT('M4'!$M40:$AZ40,'M1'!U$10:U$49))</f>
        <v/>
      </c>
      <c r="V40" s="97">
        <f>SUMPRODUCT(MMULT('M4'!$M40:$AZ40,'M1'!V$10:V$49))</f>
        <v/>
      </c>
      <c r="W40" s="97">
        <f>SUMPRODUCT(MMULT('M4'!$M40:$AZ40,'M1'!W$10:W$49))</f>
        <v/>
      </c>
      <c r="X40" s="97">
        <f>SUMPRODUCT(MMULT('M4'!$M40:$AZ40,'M1'!X$10:X$49))</f>
        <v/>
      </c>
      <c r="Y40" s="97">
        <f>SUMPRODUCT(MMULT('M4'!$M40:$AZ40,'M1'!Y$10:Y$49))</f>
        <v/>
      </c>
      <c r="Z40" s="97">
        <f>SUMPRODUCT(MMULT('M4'!$M40:$AZ40,'M1'!Z$10:Z$49))</f>
        <v/>
      </c>
      <c r="AA40" s="97">
        <f>SUMPRODUCT(MMULT('M4'!$M40:$AZ40,'M1'!AA$10:AA$49))</f>
        <v/>
      </c>
      <c r="AB40" s="97">
        <f>SUMPRODUCT(MMULT('M4'!$M40:$AZ40,'M1'!AB$10:AB$49))</f>
        <v/>
      </c>
      <c r="AC40" s="97">
        <f>SUMPRODUCT(MMULT('M4'!$M40:$AZ40,'M1'!AC$10:AC$49))</f>
        <v/>
      </c>
      <c r="AD40" s="97">
        <f>SUMPRODUCT(MMULT('M4'!$M40:$AZ40,'M1'!AD$10:AD$49))</f>
        <v/>
      </c>
      <c r="AE40" s="97">
        <f>SUMPRODUCT(MMULT('M4'!$M40:$AZ40,'M1'!AE$10:AE$49))</f>
        <v/>
      </c>
      <c r="AF40" s="97">
        <f>SUMPRODUCT(MMULT('M4'!$M40:$AZ40,'M1'!AF$10:AF$49))</f>
        <v/>
      </c>
      <c r="AG40" s="97">
        <f>SUMPRODUCT(MMULT('M4'!$M40:$AZ40,'M1'!AG$10:AG$49))</f>
        <v/>
      </c>
      <c r="AH40" s="97">
        <f>SUMPRODUCT(MMULT('M4'!$M40:$AZ40,'M1'!AH$10:AH$49))</f>
        <v/>
      </c>
      <c r="AI40" s="97">
        <f>SUMPRODUCT(MMULT('M4'!$M40:$AZ40,'M1'!AI$10:AI$49))</f>
        <v/>
      </c>
      <c r="AJ40" s="97">
        <f>SUMPRODUCT(MMULT('M4'!$M40:$AZ40,'M1'!AJ$10:AJ$49))</f>
        <v/>
      </c>
      <c r="AK40" s="97">
        <f>SUMPRODUCT(MMULT('M4'!$M40:$AZ40,'M1'!AK$10:AK$49))</f>
        <v/>
      </c>
      <c r="AL40" s="97">
        <f>SUMPRODUCT(MMULT('M4'!$M40:$AZ40,'M1'!AL$10:AL$49))</f>
        <v/>
      </c>
      <c r="AM40" s="97">
        <f>SUMPRODUCT(MMULT('M4'!$M40:$AZ40,'M1'!AM$10:AM$49))</f>
        <v/>
      </c>
      <c r="AN40" s="97">
        <f>SUMPRODUCT(MMULT('M4'!$M40:$AZ40,'M1'!AN$10:AN$49))</f>
        <v/>
      </c>
      <c r="AO40" s="97">
        <f>SUMPRODUCT(MMULT('M4'!$M40:$AZ40,'M1'!AO$10:AO$49))</f>
        <v/>
      </c>
      <c r="AP40" s="97">
        <f>SUMPRODUCT(MMULT('M4'!$M40:$AZ40,'M1'!AP$10:AP$49))</f>
        <v/>
      </c>
      <c r="AQ40" s="97">
        <f>SUMPRODUCT(MMULT('M4'!$M40:$AZ40,'M1'!AQ$10:AQ$49))</f>
        <v/>
      </c>
      <c r="AR40" s="97">
        <f>SUMPRODUCT(MMULT('M4'!$M40:$AZ40,'M1'!AR$10:AR$49))</f>
        <v/>
      </c>
      <c r="AS40" s="97">
        <f>SUMPRODUCT(MMULT('M4'!$M40:$AZ40,'M1'!AS$10:AS$49))</f>
        <v/>
      </c>
      <c r="AT40" s="97">
        <f>SUMPRODUCT(MMULT('M4'!$M40:$AZ40,'M1'!AT$10:AT$49))</f>
        <v/>
      </c>
      <c r="AU40" s="97">
        <f>SUMPRODUCT(MMULT('M4'!$M40:$AZ40,'M1'!AU$10:AU$49))</f>
        <v/>
      </c>
      <c r="AV40" s="97">
        <f>SUMPRODUCT(MMULT('M4'!$M40:$AZ40,'M1'!AV$10:AV$49))</f>
        <v/>
      </c>
      <c r="AW40" s="97">
        <f>SUMPRODUCT(MMULT('M4'!$M40:$AZ40,'M1'!AW$10:AW$49))</f>
        <v/>
      </c>
      <c r="AX40" s="97">
        <f>SUMPRODUCT(MMULT('M4'!$M40:$AZ40,'M1'!AX$10:AX$49))</f>
        <v/>
      </c>
      <c r="AY40" s="97">
        <f>SUMPRODUCT(MMULT('M4'!$M40:$AZ40,'M1'!AY$10:AY$49))</f>
        <v/>
      </c>
      <c r="AZ40" s="97">
        <f>SUMPRODUCT(MMULT('M4'!$M40:$AZ40,'M1'!AZ$10:AZ$49))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SUMPRODUCT(MMULT('M4'!$M41:$AZ41,'M1'!M$10:M$49))</f>
        <v/>
      </c>
      <c r="N41" s="97">
        <f>SUMPRODUCT(MMULT('M4'!$M41:$AZ41,'M1'!N$10:N$49))</f>
        <v/>
      </c>
      <c r="O41" s="97">
        <f>SUMPRODUCT(MMULT('M4'!$M41:$AZ41,'M1'!O$10:O$49))</f>
        <v/>
      </c>
      <c r="P41" s="97">
        <f>SUMPRODUCT(MMULT('M4'!$M41:$AZ41,'M1'!P$10:P$49))</f>
        <v/>
      </c>
      <c r="Q41" s="97">
        <f>SUMPRODUCT(MMULT('M4'!$M41:$AZ41,'M1'!Q$10:Q$49))</f>
        <v/>
      </c>
      <c r="R41" s="97">
        <f>SUMPRODUCT(MMULT('M4'!$M41:$AZ41,'M1'!R$10:R$49))</f>
        <v/>
      </c>
      <c r="S41" s="97">
        <f>SUMPRODUCT(MMULT('M4'!$M41:$AZ41,'M1'!S$10:S$49))</f>
        <v/>
      </c>
      <c r="T41" s="97">
        <f>SUMPRODUCT(MMULT('M4'!$M41:$AZ41,'M1'!T$10:T$49))</f>
        <v/>
      </c>
      <c r="U41" s="97">
        <f>SUMPRODUCT(MMULT('M4'!$M41:$AZ41,'M1'!U$10:U$49))</f>
        <v/>
      </c>
      <c r="V41" s="97">
        <f>SUMPRODUCT(MMULT('M4'!$M41:$AZ41,'M1'!V$10:V$49))</f>
        <v/>
      </c>
      <c r="W41" s="97">
        <f>SUMPRODUCT(MMULT('M4'!$M41:$AZ41,'M1'!W$10:W$49))</f>
        <v/>
      </c>
      <c r="X41" s="97">
        <f>SUMPRODUCT(MMULT('M4'!$M41:$AZ41,'M1'!X$10:X$49))</f>
        <v/>
      </c>
      <c r="Y41" s="97">
        <f>SUMPRODUCT(MMULT('M4'!$M41:$AZ41,'M1'!Y$10:Y$49))</f>
        <v/>
      </c>
      <c r="Z41" s="97">
        <f>SUMPRODUCT(MMULT('M4'!$M41:$AZ41,'M1'!Z$10:Z$49))</f>
        <v/>
      </c>
      <c r="AA41" s="97">
        <f>SUMPRODUCT(MMULT('M4'!$M41:$AZ41,'M1'!AA$10:AA$49))</f>
        <v/>
      </c>
      <c r="AB41" s="97">
        <f>SUMPRODUCT(MMULT('M4'!$M41:$AZ41,'M1'!AB$10:AB$49))</f>
        <v/>
      </c>
      <c r="AC41" s="97">
        <f>SUMPRODUCT(MMULT('M4'!$M41:$AZ41,'M1'!AC$10:AC$49))</f>
        <v/>
      </c>
      <c r="AD41" s="97">
        <f>SUMPRODUCT(MMULT('M4'!$M41:$AZ41,'M1'!AD$10:AD$49))</f>
        <v/>
      </c>
      <c r="AE41" s="97">
        <f>SUMPRODUCT(MMULT('M4'!$M41:$AZ41,'M1'!AE$10:AE$49))</f>
        <v/>
      </c>
      <c r="AF41" s="97">
        <f>SUMPRODUCT(MMULT('M4'!$M41:$AZ41,'M1'!AF$10:AF$49))</f>
        <v/>
      </c>
      <c r="AG41" s="97">
        <f>SUMPRODUCT(MMULT('M4'!$M41:$AZ41,'M1'!AG$10:AG$49))</f>
        <v/>
      </c>
      <c r="AH41" s="97">
        <f>SUMPRODUCT(MMULT('M4'!$M41:$AZ41,'M1'!AH$10:AH$49))</f>
        <v/>
      </c>
      <c r="AI41" s="97">
        <f>SUMPRODUCT(MMULT('M4'!$M41:$AZ41,'M1'!AI$10:AI$49))</f>
        <v/>
      </c>
      <c r="AJ41" s="97">
        <f>SUMPRODUCT(MMULT('M4'!$M41:$AZ41,'M1'!AJ$10:AJ$49))</f>
        <v/>
      </c>
      <c r="AK41" s="97">
        <f>SUMPRODUCT(MMULT('M4'!$M41:$AZ41,'M1'!AK$10:AK$49))</f>
        <v/>
      </c>
      <c r="AL41" s="97">
        <f>SUMPRODUCT(MMULT('M4'!$M41:$AZ41,'M1'!AL$10:AL$49))</f>
        <v/>
      </c>
      <c r="AM41" s="97">
        <f>SUMPRODUCT(MMULT('M4'!$M41:$AZ41,'M1'!AM$10:AM$49))</f>
        <v/>
      </c>
      <c r="AN41" s="97">
        <f>SUMPRODUCT(MMULT('M4'!$M41:$AZ41,'M1'!AN$10:AN$49))</f>
        <v/>
      </c>
      <c r="AO41" s="97">
        <f>SUMPRODUCT(MMULT('M4'!$M41:$AZ41,'M1'!AO$10:AO$49))</f>
        <v/>
      </c>
      <c r="AP41" s="97">
        <f>SUMPRODUCT(MMULT('M4'!$M41:$AZ41,'M1'!AP$10:AP$49))</f>
        <v/>
      </c>
      <c r="AQ41" s="97">
        <f>SUMPRODUCT(MMULT('M4'!$M41:$AZ41,'M1'!AQ$10:AQ$49))</f>
        <v/>
      </c>
      <c r="AR41" s="97">
        <f>SUMPRODUCT(MMULT('M4'!$M41:$AZ41,'M1'!AR$10:AR$49))</f>
        <v/>
      </c>
      <c r="AS41" s="97">
        <f>SUMPRODUCT(MMULT('M4'!$M41:$AZ41,'M1'!AS$10:AS$49))</f>
        <v/>
      </c>
      <c r="AT41" s="97">
        <f>SUMPRODUCT(MMULT('M4'!$M41:$AZ41,'M1'!AT$10:AT$49))</f>
        <v/>
      </c>
      <c r="AU41" s="97">
        <f>SUMPRODUCT(MMULT('M4'!$M41:$AZ41,'M1'!AU$10:AU$49))</f>
        <v/>
      </c>
      <c r="AV41" s="97">
        <f>SUMPRODUCT(MMULT('M4'!$M41:$AZ41,'M1'!AV$10:AV$49))</f>
        <v/>
      </c>
      <c r="AW41" s="97">
        <f>SUMPRODUCT(MMULT('M4'!$M41:$AZ41,'M1'!AW$10:AW$49))</f>
        <v/>
      </c>
      <c r="AX41" s="97">
        <f>SUMPRODUCT(MMULT('M4'!$M41:$AZ41,'M1'!AX$10:AX$49))</f>
        <v/>
      </c>
      <c r="AY41" s="97">
        <f>SUMPRODUCT(MMULT('M4'!$M41:$AZ41,'M1'!AY$10:AY$49))</f>
        <v/>
      </c>
      <c r="AZ41" s="97">
        <f>SUMPRODUCT(MMULT('M4'!$M41:$AZ41,'M1'!AZ$10:AZ$49))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SUMPRODUCT(MMULT('M4'!$M42:$AZ42,'M1'!M$10:M$49))</f>
        <v/>
      </c>
      <c r="N42" s="97">
        <f>SUMPRODUCT(MMULT('M4'!$M42:$AZ42,'M1'!N$10:N$49))</f>
        <v/>
      </c>
      <c r="O42" s="97">
        <f>SUMPRODUCT(MMULT('M4'!$M42:$AZ42,'M1'!O$10:O$49))</f>
        <v/>
      </c>
      <c r="P42" s="97">
        <f>SUMPRODUCT(MMULT('M4'!$M42:$AZ42,'M1'!P$10:P$49))</f>
        <v/>
      </c>
      <c r="Q42" s="97">
        <f>SUMPRODUCT(MMULT('M4'!$M42:$AZ42,'M1'!Q$10:Q$49))</f>
        <v/>
      </c>
      <c r="R42" s="97">
        <f>SUMPRODUCT(MMULT('M4'!$M42:$AZ42,'M1'!R$10:R$49))</f>
        <v/>
      </c>
      <c r="S42" s="97">
        <f>SUMPRODUCT(MMULT('M4'!$M42:$AZ42,'M1'!S$10:S$49))</f>
        <v/>
      </c>
      <c r="T42" s="97">
        <f>SUMPRODUCT(MMULT('M4'!$M42:$AZ42,'M1'!T$10:T$49))</f>
        <v/>
      </c>
      <c r="U42" s="97">
        <f>SUMPRODUCT(MMULT('M4'!$M42:$AZ42,'M1'!U$10:U$49))</f>
        <v/>
      </c>
      <c r="V42" s="97">
        <f>SUMPRODUCT(MMULT('M4'!$M42:$AZ42,'M1'!V$10:V$49))</f>
        <v/>
      </c>
      <c r="W42" s="97">
        <f>SUMPRODUCT(MMULT('M4'!$M42:$AZ42,'M1'!W$10:W$49))</f>
        <v/>
      </c>
      <c r="X42" s="97">
        <f>SUMPRODUCT(MMULT('M4'!$M42:$AZ42,'M1'!X$10:X$49))</f>
        <v/>
      </c>
      <c r="Y42" s="97">
        <f>SUMPRODUCT(MMULT('M4'!$M42:$AZ42,'M1'!Y$10:Y$49))</f>
        <v/>
      </c>
      <c r="Z42" s="97">
        <f>SUMPRODUCT(MMULT('M4'!$M42:$AZ42,'M1'!Z$10:Z$49))</f>
        <v/>
      </c>
      <c r="AA42" s="97">
        <f>SUMPRODUCT(MMULT('M4'!$M42:$AZ42,'M1'!AA$10:AA$49))</f>
        <v/>
      </c>
      <c r="AB42" s="97">
        <f>SUMPRODUCT(MMULT('M4'!$M42:$AZ42,'M1'!AB$10:AB$49))</f>
        <v/>
      </c>
      <c r="AC42" s="97">
        <f>SUMPRODUCT(MMULT('M4'!$M42:$AZ42,'M1'!AC$10:AC$49))</f>
        <v/>
      </c>
      <c r="AD42" s="97">
        <f>SUMPRODUCT(MMULT('M4'!$M42:$AZ42,'M1'!AD$10:AD$49))</f>
        <v/>
      </c>
      <c r="AE42" s="97">
        <f>SUMPRODUCT(MMULT('M4'!$M42:$AZ42,'M1'!AE$10:AE$49))</f>
        <v/>
      </c>
      <c r="AF42" s="97">
        <f>SUMPRODUCT(MMULT('M4'!$M42:$AZ42,'M1'!AF$10:AF$49))</f>
        <v/>
      </c>
      <c r="AG42" s="97">
        <f>SUMPRODUCT(MMULT('M4'!$M42:$AZ42,'M1'!AG$10:AG$49))</f>
        <v/>
      </c>
      <c r="AH42" s="97">
        <f>SUMPRODUCT(MMULT('M4'!$M42:$AZ42,'M1'!AH$10:AH$49))</f>
        <v/>
      </c>
      <c r="AI42" s="97">
        <f>SUMPRODUCT(MMULT('M4'!$M42:$AZ42,'M1'!AI$10:AI$49))</f>
        <v/>
      </c>
      <c r="AJ42" s="97">
        <f>SUMPRODUCT(MMULT('M4'!$M42:$AZ42,'M1'!AJ$10:AJ$49))</f>
        <v/>
      </c>
      <c r="AK42" s="97">
        <f>SUMPRODUCT(MMULT('M4'!$M42:$AZ42,'M1'!AK$10:AK$49))</f>
        <v/>
      </c>
      <c r="AL42" s="97">
        <f>SUMPRODUCT(MMULT('M4'!$M42:$AZ42,'M1'!AL$10:AL$49))</f>
        <v/>
      </c>
      <c r="AM42" s="97">
        <f>SUMPRODUCT(MMULT('M4'!$M42:$AZ42,'M1'!AM$10:AM$49))</f>
        <v/>
      </c>
      <c r="AN42" s="97">
        <f>SUMPRODUCT(MMULT('M4'!$M42:$AZ42,'M1'!AN$10:AN$49))</f>
        <v/>
      </c>
      <c r="AO42" s="97">
        <f>SUMPRODUCT(MMULT('M4'!$M42:$AZ42,'M1'!AO$10:AO$49))</f>
        <v/>
      </c>
      <c r="AP42" s="97">
        <f>SUMPRODUCT(MMULT('M4'!$M42:$AZ42,'M1'!AP$10:AP$49))</f>
        <v/>
      </c>
      <c r="AQ42" s="97">
        <f>SUMPRODUCT(MMULT('M4'!$M42:$AZ42,'M1'!AQ$10:AQ$49))</f>
        <v/>
      </c>
      <c r="AR42" s="97">
        <f>SUMPRODUCT(MMULT('M4'!$M42:$AZ42,'M1'!AR$10:AR$49))</f>
        <v/>
      </c>
      <c r="AS42" s="97">
        <f>SUMPRODUCT(MMULT('M4'!$M42:$AZ42,'M1'!AS$10:AS$49))</f>
        <v/>
      </c>
      <c r="AT42" s="97">
        <f>SUMPRODUCT(MMULT('M4'!$M42:$AZ42,'M1'!AT$10:AT$49))</f>
        <v/>
      </c>
      <c r="AU42" s="97">
        <f>SUMPRODUCT(MMULT('M4'!$M42:$AZ42,'M1'!AU$10:AU$49))</f>
        <v/>
      </c>
      <c r="AV42" s="97">
        <f>SUMPRODUCT(MMULT('M4'!$M42:$AZ42,'M1'!AV$10:AV$49))</f>
        <v/>
      </c>
      <c r="AW42" s="97">
        <f>SUMPRODUCT(MMULT('M4'!$M42:$AZ42,'M1'!AW$10:AW$49))</f>
        <v/>
      </c>
      <c r="AX42" s="97">
        <f>SUMPRODUCT(MMULT('M4'!$M42:$AZ42,'M1'!AX$10:AX$49))</f>
        <v/>
      </c>
      <c r="AY42" s="97">
        <f>SUMPRODUCT(MMULT('M4'!$M42:$AZ42,'M1'!AY$10:AY$49))</f>
        <v/>
      </c>
      <c r="AZ42" s="97">
        <f>SUMPRODUCT(MMULT('M4'!$M42:$AZ42,'M1'!AZ$10:AZ$49))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SUMPRODUCT(MMULT('M4'!$M43:$AZ43,'M1'!M$10:M$49))</f>
        <v/>
      </c>
      <c r="N43" s="97">
        <f>SUMPRODUCT(MMULT('M4'!$M43:$AZ43,'M1'!N$10:N$49))</f>
        <v/>
      </c>
      <c r="O43" s="97">
        <f>SUMPRODUCT(MMULT('M4'!$M43:$AZ43,'M1'!O$10:O$49))</f>
        <v/>
      </c>
      <c r="P43" s="97">
        <f>SUMPRODUCT(MMULT('M4'!$M43:$AZ43,'M1'!P$10:P$49))</f>
        <v/>
      </c>
      <c r="Q43" s="97">
        <f>SUMPRODUCT(MMULT('M4'!$M43:$AZ43,'M1'!Q$10:Q$49))</f>
        <v/>
      </c>
      <c r="R43" s="97">
        <f>SUMPRODUCT(MMULT('M4'!$M43:$AZ43,'M1'!R$10:R$49))</f>
        <v/>
      </c>
      <c r="S43" s="97">
        <f>SUMPRODUCT(MMULT('M4'!$M43:$AZ43,'M1'!S$10:S$49))</f>
        <v/>
      </c>
      <c r="T43" s="97">
        <f>SUMPRODUCT(MMULT('M4'!$M43:$AZ43,'M1'!T$10:T$49))</f>
        <v/>
      </c>
      <c r="U43" s="97">
        <f>SUMPRODUCT(MMULT('M4'!$M43:$AZ43,'M1'!U$10:U$49))</f>
        <v/>
      </c>
      <c r="V43" s="97">
        <f>SUMPRODUCT(MMULT('M4'!$M43:$AZ43,'M1'!V$10:V$49))</f>
        <v/>
      </c>
      <c r="W43" s="97">
        <f>SUMPRODUCT(MMULT('M4'!$M43:$AZ43,'M1'!W$10:W$49))</f>
        <v/>
      </c>
      <c r="X43" s="97">
        <f>SUMPRODUCT(MMULT('M4'!$M43:$AZ43,'M1'!X$10:X$49))</f>
        <v/>
      </c>
      <c r="Y43" s="97">
        <f>SUMPRODUCT(MMULT('M4'!$M43:$AZ43,'M1'!Y$10:Y$49))</f>
        <v/>
      </c>
      <c r="Z43" s="97">
        <f>SUMPRODUCT(MMULT('M4'!$M43:$AZ43,'M1'!Z$10:Z$49))</f>
        <v/>
      </c>
      <c r="AA43" s="97">
        <f>SUMPRODUCT(MMULT('M4'!$M43:$AZ43,'M1'!AA$10:AA$49))</f>
        <v/>
      </c>
      <c r="AB43" s="97">
        <f>SUMPRODUCT(MMULT('M4'!$M43:$AZ43,'M1'!AB$10:AB$49))</f>
        <v/>
      </c>
      <c r="AC43" s="97">
        <f>SUMPRODUCT(MMULT('M4'!$M43:$AZ43,'M1'!AC$10:AC$49))</f>
        <v/>
      </c>
      <c r="AD43" s="97">
        <f>SUMPRODUCT(MMULT('M4'!$M43:$AZ43,'M1'!AD$10:AD$49))</f>
        <v/>
      </c>
      <c r="AE43" s="97">
        <f>SUMPRODUCT(MMULT('M4'!$M43:$AZ43,'M1'!AE$10:AE$49))</f>
        <v/>
      </c>
      <c r="AF43" s="97">
        <f>SUMPRODUCT(MMULT('M4'!$M43:$AZ43,'M1'!AF$10:AF$49))</f>
        <v/>
      </c>
      <c r="AG43" s="97">
        <f>SUMPRODUCT(MMULT('M4'!$M43:$AZ43,'M1'!AG$10:AG$49))</f>
        <v/>
      </c>
      <c r="AH43" s="97">
        <f>SUMPRODUCT(MMULT('M4'!$M43:$AZ43,'M1'!AH$10:AH$49))</f>
        <v/>
      </c>
      <c r="AI43" s="97">
        <f>SUMPRODUCT(MMULT('M4'!$M43:$AZ43,'M1'!AI$10:AI$49))</f>
        <v/>
      </c>
      <c r="AJ43" s="97">
        <f>SUMPRODUCT(MMULT('M4'!$M43:$AZ43,'M1'!AJ$10:AJ$49))</f>
        <v/>
      </c>
      <c r="AK43" s="97">
        <f>SUMPRODUCT(MMULT('M4'!$M43:$AZ43,'M1'!AK$10:AK$49))</f>
        <v/>
      </c>
      <c r="AL43" s="97">
        <f>SUMPRODUCT(MMULT('M4'!$M43:$AZ43,'M1'!AL$10:AL$49))</f>
        <v/>
      </c>
      <c r="AM43" s="97">
        <f>SUMPRODUCT(MMULT('M4'!$M43:$AZ43,'M1'!AM$10:AM$49))</f>
        <v/>
      </c>
      <c r="AN43" s="97">
        <f>SUMPRODUCT(MMULT('M4'!$M43:$AZ43,'M1'!AN$10:AN$49))</f>
        <v/>
      </c>
      <c r="AO43" s="97">
        <f>SUMPRODUCT(MMULT('M4'!$M43:$AZ43,'M1'!AO$10:AO$49))</f>
        <v/>
      </c>
      <c r="AP43" s="97">
        <f>SUMPRODUCT(MMULT('M4'!$M43:$AZ43,'M1'!AP$10:AP$49))</f>
        <v/>
      </c>
      <c r="AQ43" s="97">
        <f>SUMPRODUCT(MMULT('M4'!$M43:$AZ43,'M1'!AQ$10:AQ$49))</f>
        <v/>
      </c>
      <c r="AR43" s="97">
        <f>SUMPRODUCT(MMULT('M4'!$M43:$AZ43,'M1'!AR$10:AR$49))</f>
        <v/>
      </c>
      <c r="AS43" s="97">
        <f>SUMPRODUCT(MMULT('M4'!$M43:$AZ43,'M1'!AS$10:AS$49))</f>
        <v/>
      </c>
      <c r="AT43" s="97">
        <f>SUMPRODUCT(MMULT('M4'!$M43:$AZ43,'M1'!AT$10:AT$49))</f>
        <v/>
      </c>
      <c r="AU43" s="97">
        <f>SUMPRODUCT(MMULT('M4'!$M43:$AZ43,'M1'!AU$10:AU$49))</f>
        <v/>
      </c>
      <c r="AV43" s="97">
        <f>SUMPRODUCT(MMULT('M4'!$M43:$AZ43,'M1'!AV$10:AV$49))</f>
        <v/>
      </c>
      <c r="AW43" s="97">
        <f>SUMPRODUCT(MMULT('M4'!$M43:$AZ43,'M1'!AW$10:AW$49))</f>
        <v/>
      </c>
      <c r="AX43" s="97">
        <f>SUMPRODUCT(MMULT('M4'!$M43:$AZ43,'M1'!AX$10:AX$49))</f>
        <v/>
      </c>
      <c r="AY43" s="97">
        <f>SUMPRODUCT(MMULT('M4'!$M43:$AZ43,'M1'!AY$10:AY$49))</f>
        <v/>
      </c>
      <c r="AZ43" s="97">
        <f>SUMPRODUCT(MMULT('M4'!$M43:$AZ43,'M1'!AZ$10:AZ$49))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SUMPRODUCT(MMULT('M4'!$M44:$AZ44,'M1'!M$10:M$49))</f>
        <v/>
      </c>
      <c r="N44" s="97">
        <f>SUMPRODUCT(MMULT('M4'!$M44:$AZ44,'M1'!N$10:N$49))</f>
        <v/>
      </c>
      <c r="O44" s="97">
        <f>SUMPRODUCT(MMULT('M4'!$M44:$AZ44,'M1'!O$10:O$49))</f>
        <v/>
      </c>
      <c r="P44" s="97">
        <f>SUMPRODUCT(MMULT('M4'!$M44:$AZ44,'M1'!P$10:P$49))</f>
        <v/>
      </c>
      <c r="Q44" s="97">
        <f>SUMPRODUCT(MMULT('M4'!$M44:$AZ44,'M1'!Q$10:Q$49))</f>
        <v/>
      </c>
      <c r="R44" s="97">
        <f>SUMPRODUCT(MMULT('M4'!$M44:$AZ44,'M1'!R$10:R$49))</f>
        <v/>
      </c>
      <c r="S44" s="97">
        <f>SUMPRODUCT(MMULT('M4'!$M44:$AZ44,'M1'!S$10:S$49))</f>
        <v/>
      </c>
      <c r="T44" s="97">
        <f>SUMPRODUCT(MMULT('M4'!$M44:$AZ44,'M1'!T$10:T$49))</f>
        <v/>
      </c>
      <c r="U44" s="97">
        <f>SUMPRODUCT(MMULT('M4'!$M44:$AZ44,'M1'!U$10:U$49))</f>
        <v/>
      </c>
      <c r="V44" s="97">
        <f>SUMPRODUCT(MMULT('M4'!$M44:$AZ44,'M1'!V$10:V$49))</f>
        <v/>
      </c>
      <c r="W44" s="97">
        <f>SUMPRODUCT(MMULT('M4'!$M44:$AZ44,'M1'!W$10:W$49))</f>
        <v/>
      </c>
      <c r="X44" s="97">
        <f>SUMPRODUCT(MMULT('M4'!$M44:$AZ44,'M1'!X$10:X$49))</f>
        <v/>
      </c>
      <c r="Y44" s="97">
        <f>SUMPRODUCT(MMULT('M4'!$M44:$AZ44,'M1'!Y$10:Y$49))</f>
        <v/>
      </c>
      <c r="Z44" s="97">
        <f>SUMPRODUCT(MMULT('M4'!$M44:$AZ44,'M1'!Z$10:Z$49))</f>
        <v/>
      </c>
      <c r="AA44" s="97">
        <f>SUMPRODUCT(MMULT('M4'!$M44:$AZ44,'M1'!AA$10:AA$49))</f>
        <v/>
      </c>
      <c r="AB44" s="97">
        <f>SUMPRODUCT(MMULT('M4'!$M44:$AZ44,'M1'!AB$10:AB$49))</f>
        <v/>
      </c>
      <c r="AC44" s="97">
        <f>SUMPRODUCT(MMULT('M4'!$M44:$AZ44,'M1'!AC$10:AC$49))</f>
        <v/>
      </c>
      <c r="AD44" s="97">
        <f>SUMPRODUCT(MMULT('M4'!$M44:$AZ44,'M1'!AD$10:AD$49))</f>
        <v/>
      </c>
      <c r="AE44" s="97">
        <f>SUMPRODUCT(MMULT('M4'!$M44:$AZ44,'M1'!AE$10:AE$49))</f>
        <v/>
      </c>
      <c r="AF44" s="97">
        <f>SUMPRODUCT(MMULT('M4'!$M44:$AZ44,'M1'!AF$10:AF$49))</f>
        <v/>
      </c>
      <c r="AG44" s="97">
        <f>SUMPRODUCT(MMULT('M4'!$M44:$AZ44,'M1'!AG$10:AG$49))</f>
        <v/>
      </c>
      <c r="AH44" s="97">
        <f>SUMPRODUCT(MMULT('M4'!$M44:$AZ44,'M1'!AH$10:AH$49))</f>
        <v/>
      </c>
      <c r="AI44" s="97">
        <f>SUMPRODUCT(MMULT('M4'!$M44:$AZ44,'M1'!AI$10:AI$49))</f>
        <v/>
      </c>
      <c r="AJ44" s="97">
        <f>SUMPRODUCT(MMULT('M4'!$M44:$AZ44,'M1'!AJ$10:AJ$49))</f>
        <v/>
      </c>
      <c r="AK44" s="97">
        <f>SUMPRODUCT(MMULT('M4'!$M44:$AZ44,'M1'!AK$10:AK$49))</f>
        <v/>
      </c>
      <c r="AL44" s="97">
        <f>SUMPRODUCT(MMULT('M4'!$M44:$AZ44,'M1'!AL$10:AL$49))</f>
        <v/>
      </c>
      <c r="AM44" s="97">
        <f>SUMPRODUCT(MMULT('M4'!$M44:$AZ44,'M1'!AM$10:AM$49))</f>
        <v/>
      </c>
      <c r="AN44" s="97">
        <f>SUMPRODUCT(MMULT('M4'!$M44:$AZ44,'M1'!AN$10:AN$49))</f>
        <v/>
      </c>
      <c r="AO44" s="97">
        <f>SUMPRODUCT(MMULT('M4'!$M44:$AZ44,'M1'!AO$10:AO$49))</f>
        <v/>
      </c>
      <c r="AP44" s="97">
        <f>SUMPRODUCT(MMULT('M4'!$M44:$AZ44,'M1'!AP$10:AP$49))</f>
        <v/>
      </c>
      <c r="AQ44" s="97">
        <f>SUMPRODUCT(MMULT('M4'!$M44:$AZ44,'M1'!AQ$10:AQ$49))</f>
        <v/>
      </c>
      <c r="AR44" s="97">
        <f>SUMPRODUCT(MMULT('M4'!$M44:$AZ44,'M1'!AR$10:AR$49))</f>
        <v/>
      </c>
      <c r="AS44" s="97">
        <f>SUMPRODUCT(MMULT('M4'!$M44:$AZ44,'M1'!AS$10:AS$49))</f>
        <v/>
      </c>
      <c r="AT44" s="97">
        <f>SUMPRODUCT(MMULT('M4'!$M44:$AZ44,'M1'!AT$10:AT$49))</f>
        <v/>
      </c>
      <c r="AU44" s="97">
        <f>SUMPRODUCT(MMULT('M4'!$M44:$AZ44,'M1'!AU$10:AU$49))</f>
        <v/>
      </c>
      <c r="AV44" s="97">
        <f>SUMPRODUCT(MMULT('M4'!$M44:$AZ44,'M1'!AV$10:AV$49))</f>
        <v/>
      </c>
      <c r="AW44" s="97">
        <f>SUMPRODUCT(MMULT('M4'!$M44:$AZ44,'M1'!AW$10:AW$49))</f>
        <v/>
      </c>
      <c r="AX44" s="97">
        <f>SUMPRODUCT(MMULT('M4'!$M44:$AZ44,'M1'!AX$10:AX$49))</f>
        <v/>
      </c>
      <c r="AY44" s="97">
        <f>SUMPRODUCT(MMULT('M4'!$M44:$AZ44,'M1'!AY$10:AY$49))</f>
        <v/>
      </c>
      <c r="AZ44" s="97">
        <f>SUMPRODUCT(MMULT('M4'!$M44:$AZ44,'M1'!AZ$10:AZ$49))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SUMPRODUCT(MMULT('M4'!$M45:$AZ45,'M1'!M$10:M$49))</f>
        <v/>
      </c>
      <c r="N45" s="97">
        <f>SUMPRODUCT(MMULT('M4'!$M45:$AZ45,'M1'!N$10:N$49))</f>
        <v/>
      </c>
      <c r="O45" s="97">
        <f>SUMPRODUCT(MMULT('M4'!$M45:$AZ45,'M1'!O$10:O$49))</f>
        <v/>
      </c>
      <c r="P45" s="97">
        <f>SUMPRODUCT(MMULT('M4'!$M45:$AZ45,'M1'!P$10:P$49))</f>
        <v/>
      </c>
      <c r="Q45" s="97">
        <f>SUMPRODUCT(MMULT('M4'!$M45:$AZ45,'M1'!Q$10:Q$49))</f>
        <v/>
      </c>
      <c r="R45" s="97">
        <f>SUMPRODUCT(MMULT('M4'!$M45:$AZ45,'M1'!R$10:R$49))</f>
        <v/>
      </c>
      <c r="S45" s="97">
        <f>SUMPRODUCT(MMULT('M4'!$M45:$AZ45,'M1'!S$10:S$49))</f>
        <v/>
      </c>
      <c r="T45" s="97">
        <f>SUMPRODUCT(MMULT('M4'!$M45:$AZ45,'M1'!T$10:T$49))</f>
        <v/>
      </c>
      <c r="U45" s="97">
        <f>SUMPRODUCT(MMULT('M4'!$M45:$AZ45,'M1'!U$10:U$49))</f>
        <v/>
      </c>
      <c r="V45" s="97">
        <f>SUMPRODUCT(MMULT('M4'!$M45:$AZ45,'M1'!V$10:V$49))</f>
        <v/>
      </c>
      <c r="W45" s="97">
        <f>SUMPRODUCT(MMULT('M4'!$M45:$AZ45,'M1'!W$10:W$49))</f>
        <v/>
      </c>
      <c r="X45" s="97">
        <f>SUMPRODUCT(MMULT('M4'!$M45:$AZ45,'M1'!X$10:X$49))</f>
        <v/>
      </c>
      <c r="Y45" s="97">
        <f>SUMPRODUCT(MMULT('M4'!$M45:$AZ45,'M1'!Y$10:Y$49))</f>
        <v/>
      </c>
      <c r="Z45" s="97">
        <f>SUMPRODUCT(MMULT('M4'!$M45:$AZ45,'M1'!Z$10:Z$49))</f>
        <v/>
      </c>
      <c r="AA45" s="97">
        <f>SUMPRODUCT(MMULT('M4'!$M45:$AZ45,'M1'!AA$10:AA$49))</f>
        <v/>
      </c>
      <c r="AB45" s="97">
        <f>SUMPRODUCT(MMULT('M4'!$M45:$AZ45,'M1'!AB$10:AB$49))</f>
        <v/>
      </c>
      <c r="AC45" s="97">
        <f>SUMPRODUCT(MMULT('M4'!$M45:$AZ45,'M1'!AC$10:AC$49))</f>
        <v/>
      </c>
      <c r="AD45" s="97">
        <f>SUMPRODUCT(MMULT('M4'!$M45:$AZ45,'M1'!AD$10:AD$49))</f>
        <v/>
      </c>
      <c r="AE45" s="97">
        <f>SUMPRODUCT(MMULT('M4'!$M45:$AZ45,'M1'!AE$10:AE$49))</f>
        <v/>
      </c>
      <c r="AF45" s="97">
        <f>SUMPRODUCT(MMULT('M4'!$M45:$AZ45,'M1'!AF$10:AF$49))</f>
        <v/>
      </c>
      <c r="AG45" s="97">
        <f>SUMPRODUCT(MMULT('M4'!$M45:$AZ45,'M1'!AG$10:AG$49))</f>
        <v/>
      </c>
      <c r="AH45" s="97">
        <f>SUMPRODUCT(MMULT('M4'!$M45:$AZ45,'M1'!AH$10:AH$49))</f>
        <v/>
      </c>
      <c r="AI45" s="97">
        <f>SUMPRODUCT(MMULT('M4'!$M45:$AZ45,'M1'!AI$10:AI$49))</f>
        <v/>
      </c>
      <c r="AJ45" s="97">
        <f>SUMPRODUCT(MMULT('M4'!$M45:$AZ45,'M1'!AJ$10:AJ$49))</f>
        <v/>
      </c>
      <c r="AK45" s="97">
        <f>SUMPRODUCT(MMULT('M4'!$M45:$AZ45,'M1'!AK$10:AK$49))</f>
        <v/>
      </c>
      <c r="AL45" s="97">
        <f>SUMPRODUCT(MMULT('M4'!$M45:$AZ45,'M1'!AL$10:AL$49))</f>
        <v/>
      </c>
      <c r="AM45" s="97">
        <f>SUMPRODUCT(MMULT('M4'!$M45:$AZ45,'M1'!AM$10:AM$49))</f>
        <v/>
      </c>
      <c r="AN45" s="97">
        <f>SUMPRODUCT(MMULT('M4'!$M45:$AZ45,'M1'!AN$10:AN$49))</f>
        <v/>
      </c>
      <c r="AO45" s="97">
        <f>SUMPRODUCT(MMULT('M4'!$M45:$AZ45,'M1'!AO$10:AO$49))</f>
        <v/>
      </c>
      <c r="AP45" s="97">
        <f>SUMPRODUCT(MMULT('M4'!$M45:$AZ45,'M1'!AP$10:AP$49))</f>
        <v/>
      </c>
      <c r="AQ45" s="97">
        <f>SUMPRODUCT(MMULT('M4'!$M45:$AZ45,'M1'!AQ$10:AQ$49))</f>
        <v/>
      </c>
      <c r="AR45" s="97">
        <f>SUMPRODUCT(MMULT('M4'!$M45:$AZ45,'M1'!AR$10:AR$49))</f>
        <v/>
      </c>
      <c r="AS45" s="97">
        <f>SUMPRODUCT(MMULT('M4'!$M45:$AZ45,'M1'!AS$10:AS$49))</f>
        <v/>
      </c>
      <c r="AT45" s="97">
        <f>SUMPRODUCT(MMULT('M4'!$M45:$AZ45,'M1'!AT$10:AT$49))</f>
        <v/>
      </c>
      <c r="AU45" s="97">
        <f>SUMPRODUCT(MMULT('M4'!$M45:$AZ45,'M1'!AU$10:AU$49))</f>
        <v/>
      </c>
      <c r="AV45" s="97">
        <f>SUMPRODUCT(MMULT('M4'!$M45:$AZ45,'M1'!AV$10:AV$49))</f>
        <v/>
      </c>
      <c r="AW45" s="97">
        <f>SUMPRODUCT(MMULT('M4'!$M45:$AZ45,'M1'!AW$10:AW$49))</f>
        <v/>
      </c>
      <c r="AX45" s="97">
        <f>SUMPRODUCT(MMULT('M4'!$M45:$AZ45,'M1'!AX$10:AX$49))</f>
        <v/>
      </c>
      <c r="AY45" s="97">
        <f>SUMPRODUCT(MMULT('M4'!$M45:$AZ45,'M1'!AY$10:AY$49))</f>
        <v/>
      </c>
      <c r="AZ45" s="97">
        <f>SUMPRODUCT(MMULT('M4'!$M45:$AZ45,'M1'!AZ$10:AZ$49))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SUMPRODUCT(MMULT('M4'!$M46:$AZ46,'M1'!M$10:M$49))</f>
        <v/>
      </c>
      <c r="N46" s="97">
        <f>SUMPRODUCT(MMULT('M4'!$M46:$AZ46,'M1'!N$10:N$49))</f>
        <v/>
      </c>
      <c r="O46" s="97">
        <f>SUMPRODUCT(MMULT('M4'!$M46:$AZ46,'M1'!O$10:O$49))</f>
        <v/>
      </c>
      <c r="P46" s="97">
        <f>SUMPRODUCT(MMULT('M4'!$M46:$AZ46,'M1'!P$10:P$49))</f>
        <v/>
      </c>
      <c r="Q46" s="97">
        <f>SUMPRODUCT(MMULT('M4'!$M46:$AZ46,'M1'!Q$10:Q$49))</f>
        <v/>
      </c>
      <c r="R46" s="97">
        <f>SUMPRODUCT(MMULT('M4'!$M46:$AZ46,'M1'!R$10:R$49))</f>
        <v/>
      </c>
      <c r="S46" s="97">
        <f>SUMPRODUCT(MMULT('M4'!$M46:$AZ46,'M1'!S$10:S$49))</f>
        <v/>
      </c>
      <c r="T46" s="97">
        <f>SUMPRODUCT(MMULT('M4'!$M46:$AZ46,'M1'!T$10:T$49))</f>
        <v/>
      </c>
      <c r="U46" s="97">
        <f>SUMPRODUCT(MMULT('M4'!$M46:$AZ46,'M1'!U$10:U$49))</f>
        <v/>
      </c>
      <c r="V46" s="97">
        <f>SUMPRODUCT(MMULT('M4'!$M46:$AZ46,'M1'!V$10:V$49))</f>
        <v/>
      </c>
      <c r="W46" s="97">
        <f>SUMPRODUCT(MMULT('M4'!$M46:$AZ46,'M1'!W$10:W$49))</f>
        <v/>
      </c>
      <c r="X46" s="97">
        <f>SUMPRODUCT(MMULT('M4'!$M46:$AZ46,'M1'!X$10:X$49))</f>
        <v/>
      </c>
      <c r="Y46" s="97">
        <f>SUMPRODUCT(MMULT('M4'!$M46:$AZ46,'M1'!Y$10:Y$49))</f>
        <v/>
      </c>
      <c r="Z46" s="97">
        <f>SUMPRODUCT(MMULT('M4'!$M46:$AZ46,'M1'!Z$10:Z$49))</f>
        <v/>
      </c>
      <c r="AA46" s="97">
        <f>SUMPRODUCT(MMULT('M4'!$M46:$AZ46,'M1'!AA$10:AA$49))</f>
        <v/>
      </c>
      <c r="AB46" s="97">
        <f>SUMPRODUCT(MMULT('M4'!$M46:$AZ46,'M1'!AB$10:AB$49))</f>
        <v/>
      </c>
      <c r="AC46" s="97">
        <f>SUMPRODUCT(MMULT('M4'!$M46:$AZ46,'M1'!AC$10:AC$49))</f>
        <v/>
      </c>
      <c r="AD46" s="97">
        <f>SUMPRODUCT(MMULT('M4'!$M46:$AZ46,'M1'!AD$10:AD$49))</f>
        <v/>
      </c>
      <c r="AE46" s="97">
        <f>SUMPRODUCT(MMULT('M4'!$M46:$AZ46,'M1'!AE$10:AE$49))</f>
        <v/>
      </c>
      <c r="AF46" s="97">
        <f>SUMPRODUCT(MMULT('M4'!$M46:$AZ46,'M1'!AF$10:AF$49))</f>
        <v/>
      </c>
      <c r="AG46" s="97">
        <f>SUMPRODUCT(MMULT('M4'!$M46:$AZ46,'M1'!AG$10:AG$49))</f>
        <v/>
      </c>
      <c r="AH46" s="97">
        <f>SUMPRODUCT(MMULT('M4'!$M46:$AZ46,'M1'!AH$10:AH$49))</f>
        <v/>
      </c>
      <c r="AI46" s="97">
        <f>SUMPRODUCT(MMULT('M4'!$M46:$AZ46,'M1'!AI$10:AI$49))</f>
        <v/>
      </c>
      <c r="AJ46" s="97">
        <f>SUMPRODUCT(MMULT('M4'!$M46:$AZ46,'M1'!AJ$10:AJ$49))</f>
        <v/>
      </c>
      <c r="AK46" s="97">
        <f>SUMPRODUCT(MMULT('M4'!$M46:$AZ46,'M1'!AK$10:AK$49))</f>
        <v/>
      </c>
      <c r="AL46" s="97">
        <f>SUMPRODUCT(MMULT('M4'!$M46:$AZ46,'M1'!AL$10:AL$49))</f>
        <v/>
      </c>
      <c r="AM46" s="97">
        <f>SUMPRODUCT(MMULT('M4'!$M46:$AZ46,'M1'!AM$10:AM$49))</f>
        <v/>
      </c>
      <c r="AN46" s="97">
        <f>SUMPRODUCT(MMULT('M4'!$M46:$AZ46,'M1'!AN$10:AN$49))</f>
        <v/>
      </c>
      <c r="AO46" s="97">
        <f>SUMPRODUCT(MMULT('M4'!$M46:$AZ46,'M1'!AO$10:AO$49))</f>
        <v/>
      </c>
      <c r="AP46" s="97">
        <f>SUMPRODUCT(MMULT('M4'!$M46:$AZ46,'M1'!AP$10:AP$49))</f>
        <v/>
      </c>
      <c r="AQ46" s="97">
        <f>SUMPRODUCT(MMULT('M4'!$M46:$AZ46,'M1'!AQ$10:AQ$49))</f>
        <v/>
      </c>
      <c r="AR46" s="97">
        <f>SUMPRODUCT(MMULT('M4'!$M46:$AZ46,'M1'!AR$10:AR$49))</f>
        <v/>
      </c>
      <c r="AS46" s="97">
        <f>SUMPRODUCT(MMULT('M4'!$M46:$AZ46,'M1'!AS$10:AS$49))</f>
        <v/>
      </c>
      <c r="AT46" s="97">
        <f>SUMPRODUCT(MMULT('M4'!$M46:$AZ46,'M1'!AT$10:AT$49))</f>
        <v/>
      </c>
      <c r="AU46" s="97">
        <f>SUMPRODUCT(MMULT('M4'!$M46:$AZ46,'M1'!AU$10:AU$49))</f>
        <v/>
      </c>
      <c r="AV46" s="97">
        <f>SUMPRODUCT(MMULT('M4'!$M46:$AZ46,'M1'!AV$10:AV$49))</f>
        <v/>
      </c>
      <c r="AW46" s="97">
        <f>SUMPRODUCT(MMULT('M4'!$M46:$AZ46,'M1'!AW$10:AW$49))</f>
        <v/>
      </c>
      <c r="AX46" s="97">
        <f>SUMPRODUCT(MMULT('M4'!$M46:$AZ46,'M1'!AX$10:AX$49))</f>
        <v/>
      </c>
      <c r="AY46" s="97">
        <f>SUMPRODUCT(MMULT('M4'!$M46:$AZ46,'M1'!AY$10:AY$49))</f>
        <v/>
      </c>
      <c r="AZ46" s="97">
        <f>SUMPRODUCT(MMULT('M4'!$M46:$AZ46,'M1'!AZ$10:AZ$49))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SUMPRODUCT(MMULT('M4'!$M47:$AZ47,'M1'!M$10:M$49))</f>
        <v/>
      </c>
      <c r="N47" s="97">
        <f>SUMPRODUCT(MMULT('M4'!$M47:$AZ47,'M1'!N$10:N$49))</f>
        <v/>
      </c>
      <c r="O47" s="97">
        <f>SUMPRODUCT(MMULT('M4'!$M47:$AZ47,'M1'!O$10:O$49))</f>
        <v/>
      </c>
      <c r="P47" s="97">
        <f>SUMPRODUCT(MMULT('M4'!$M47:$AZ47,'M1'!P$10:P$49))</f>
        <v/>
      </c>
      <c r="Q47" s="97">
        <f>SUMPRODUCT(MMULT('M4'!$M47:$AZ47,'M1'!Q$10:Q$49))</f>
        <v/>
      </c>
      <c r="R47" s="97">
        <f>SUMPRODUCT(MMULT('M4'!$M47:$AZ47,'M1'!R$10:R$49))</f>
        <v/>
      </c>
      <c r="S47" s="97">
        <f>SUMPRODUCT(MMULT('M4'!$M47:$AZ47,'M1'!S$10:S$49))</f>
        <v/>
      </c>
      <c r="T47" s="97">
        <f>SUMPRODUCT(MMULT('M4'!$M47:$AZ47,'M1'!T$10:T$49))</f>
        <v/>
      </c>
      <c r="U47" s="97">
        <f>SUMPRODUCT(MMULT('M4'!$M47:$AZ47,'M1'!U$10:U$49))</f>
        <v/>
      </c>
      <c r="V47" s="97">
        <f>SUMPRODUCT(MMULT('M4'!$M47:$AZ47,'M1'!V$10:V$49))</f>
        <v/>
      </c>
      <c r="W47" s="97">
        <f>SUMPRODUCT(MMULT('M4'!$M47:$AZ47,'M1'!W$10:W$49))</f>
        <v/>
      </c>
      <c r="X47" s="97">
        <f>SUMPRODUCT(MMULT('M4'!$M47:$AZ47,'M1'!X$10:X$49))</f>
        <v/>
      </c>
      <c r="Y47" s="97">
        <f>SUMPRODUCT(MMULT('M4'!$M47:$AZ47,'M1'!Y$10:Y$49))</f>
        <v/>
      </c>
      <c r="Z47" s="97">
        <f>SUMPRODUCT(MMULT('M4'!$M47:$AZ47,'M1'!Z$10:Z$49))</f>
        <v/>
      </c>
      <c r="AA47" s="97">
        <f>SUMPRODUCT(MMULT('M4'!$M47:$AZ47,'M1'!AA$10:AA$49))</f>
        <v/>
      </c>
      <c r="AB47" s="97">
        <f>SUMPRODUCT(MMULT('M4'!$M47:$AZ47,'M1'!AB$10:AB$49))</f>
        <v/>
      </c>
      <c r="AC47" s="97">
        <f>SUMPRODUCT(MMULT('M4'!$M47:$AZ47,'M1'!AC$10:AC$49))</f>
        <v/>
      </c>
      <c r="AD47" s="97">
        <f>SUMPRODUCT(MMULT('M4'!$M47:$AZ47,'M1'!AD$10:AD$49))</f>
        <v/>
      </c>
      <c r="AE47" s="97">
        <f>SUMPRODUCT(MMULT('M4'!$M47:$AZ47,'M1'!AE$10:AE$49))</f>
        <v/>
      </c>
      <c r="AF47" s="97">
        <f>SUMPRODUCT(MMULT('M4'!$M47:$AZ47,'M1'!AF$10:AF$49))</f>
        <v/>
      </c>
      <c r="AG47" s="97">
        <f>SUMPRODUCT(MMULT('M4'!$M47:$AZ47,'M1'!AG$10:AG$49))</f>
        <v/>
      </c>
      <c r="AH47" s="97">
        <f>SUMPRODUCT(MMULT('M4'!$M47:$AZ47,'M1'!AH$10:AH$49))</f>
        <v/>
      </c>
      <c r="AI47" s="97">
        <f>SUMPRODUCT(MMULT('M4'!$M47:$AZ47,'M1'!AI$10:AI$49))</f>
        <v/>
      </c>
      <c r="AJ47" s="97">
        <f>SUMPRODUCT(MMULT('M4'!$M47:$AZ47,'M1'!AJ$10:AJ$49))</f>
        <v/>
      </c>
      <c r="AK47" s="97">
        <f>SUMPRODUCT(MMULT('M4'!$M47:$AZ47,'M1'!AK$10:AK$49))</f>
        <v/>
      </c>
      <c r="AL47" s="97">
        <f>SUMPRODUCT(MMULT('M4'!$M47:$AZ47,'M1'!AL$10:AL$49))</f>
        <v/>
      </c>
      <c r="AM47" s="97">
        <f>SUMPRODUCT(MMULT('M4'!$M47:$AZ47,'M1'!AM$10:AM$49))</f>
        <v/>
      </c>
      <c r="AN47" s="97">
        <f>SUMPRODUCT(MMULT('M4'!$M47:$AZ47,'M1'!AN$10:AN$49))</f>
        <v/>
      </c>
      <c r="AO47" s="97">
        <f>SUMPRODUCT(MMULT('M4'!$M47:$AZ47,'M1'!AO$10:AO$49))</f>
        <v/>
      </c>
      <c r="AP47" s="97">
        <f>SUMPRODUCT(MMULT('M4'!$M47:$AZ47,'M1'!AP$10:AP$49))</f>
        <v/>
      </c>
      <c r="AQ47" s="97">
        <f>SUMPRODUCT(MMULT('M4'!$M47:$AZ47,'M1'!AQ$10:AQ$49))</f>
        <v/>
      </c>
      <c r="AR47" s="97">
        <f>SUMPRODUCT(MMULT('M4'!$M47:$AZ47,'M1'!AR$10:AR$49))</f>
        <v/>
      </c>
      <c r="AS47" s="97">
        <f>SUMPRODUCT(MMULT('M4'!$M47:$AZ47,'M1'!AS$10:AS$49))</f>
        <v/>
      </c>
      <c r="AT47" s="97">
        <f>SUMPRODUCT(MMULT('M4'!$M47:$AZ47,'M1'!AT$10:AT$49))</f>
        <v/>
      </c>
      <c r="AU47" s="97">
        <f>SUMPRODUCT(MMULT('M4'!$M47:$AZ47,'M1'!AU$10:AU$49))</f>
        <v/>
      </c>
      <c r="AV47" s="97">
        <f>SUMPRODUCT(MMULT('M4'!$M47:$AZ47,'M1'!AV$10:AV$49))</f>
        <v/>
      </c>
      <c r="AW47" s="97">
        <f>SUMPRODUCT(MMULT('M4'!$M47:$AZ47,'M1'!AW$10:AW$49))</f>
        <v/>
      </c>
      <c r="AX47" s="97">
        <f>SUMPRODUCT(MMULT('M4'!$M47:$AZ47,'M1'!AX$10:AX$49))</f>
        <v/>
      </c>
      <c r="AY47" s="97">
        <f>SUMPRODUCT(MMULT('M4'!$M47:$AZ47,'M1'!AY$10:AY$49))</f>
        <v/>
      </c>
      <c r="AZ47" s="97">
        <f>SUMPRODUCT(MMULT('M4'!$M47:$AZ47,'M1'!AZ$10:AZ$49))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SUMPRODUCT(MMULT('M4'!$M48:$AZ48,'M1'!M$10:M$49))</f>
        <v/>
      </c>
      <c r="N48" s="97">
        <f>SUMPRODUCT(MMULT('M4'!$M48:$AZ48,'M1'!N$10:N$49))</f>
        <v/>
      </c>
      <c r="O48" s="97">
        <f>SUMPRODUCT(MMULT('M4'!$M48:$AZ48,'M1'!O$10:O$49))</f>
        <v/>
      </c>
      <c r="P48" s="97">
        <f>SUMPRODUCT(MMULT('M4'!$M48:$AZ48,'M1'!P$10:P$49))</f>
        <v/>
      </c>
      <c r="Q48" s="97">
        <f>SUMPRODUCT(MMULT('M4'!$M48:$AZ48,'M1'!Q$10:Q$49))</f>
        <v/>
      </c>
      <c r="R48" s="97">
        <f>SUMPRODUCT(MMULT('M4'!$M48:$AZ48,'M1'!R$10:R$49))</f>
        <v/>
      </c>
      <c r="S48" s="97">
        <f>SUMPRODUCT(MMULT('M4'!$M48:$AZ48,'M1'!S$10:S$49))</f>
        <v/>
      </c>
      <c r="T48" s="97">
        <f>SUMPRODUCT(MMULT('M4'!$M48:$AZ48,'M1'!T$10:T$49))</f>
        <v/>
      </c>
      <c r="U48" s="97">
        <f>SUMPRODUCT(MMULT('M4'!$M48:$AZ48,'M1'!U$10:U$49))</f>
        <v/>
      </c>
      <c r="V48" s="97">
        <f>SUMPRODUCT(MMULT('M4'!$M48:$AZ48,'M1'!V$10:V$49))</f>
        <v/>
      </c>
      <c r="W48" s="97">
        <f>SUMPRODUCT(MMULT('M4'!$M48:$AZ48,'M1'!W$10:W$49))</f>
        <v/>
      </c>
      <c r="X48" s="97">
        <f>SUMPRODUCT(MMULT('M4'!$M48:$AZ48,'M1'!X$10:X$49))</f>
        <v/>
      </c>
      <c r="Y48" s="97">
        <f>SUMPRODUCT(MMULT('M4'!$M48:$AZ48,'M1'!Y$10:Y$49))</f>
        <v/>
      </c>
      <c r="Z48" s="97">
        <f>SUMPRODUCT(MMULT('M4'!$M48:$AZ48,'M1'!Z$10:Z$49))</f>
        <v/>
      </c>
      <c r="AA48" s="97">
        <f>SUMPRODUCT(MMULT('M4'!$M48:$AZ48,'M1'!AA$10:AA$49))</f>
        <v/>
      </c>
      <c r="AB48" s="97">
        <f>SUMPRODUCT(MMULT('M4'!$M48:$AZ48,'M1'!AB$10:AB$49))</f>
        <v/>
      </c>
      <c r="AC48" s="97">
        <f>SUMPRODUCT(MMULT('M4'!$M48:$AZ48,'M1'!AC$10:AC$49))</f>
        <v/>
      </c>
      <c r="AD48" s="97">
        <f>SUMPRODUCT(MMULT('M4'!$M48:$AZ48,'M1'!AD$10:AD$49))</f>
        <v/>
      </c>
      <c r="AE48" s="97">
        <f>SUMPRODUCT(MMULT('M4'!$M48:$AZ48,'M1'!AE$10:AE$49))</f>
        <v/>
      </c>
      <c r="AF48" s="97">
        <f>SUMPRODUCT(MMULT('M4'!$M48:$AZ48,'M1'!AF$10:AF$49))</f>
        <v/>
      </c>
      <c r="AG48" s="97">
        <f>SUMPRODUCT(MMULT('M4'!$M48:$AZ48,'M1'!AG$10:AG$49))</f>
        <v/>
      </c>
      <c r="AH48" s="97">
        <f>SUMPRODUCT(MMULT('M4'!$M48:$AZ48,'M1'!AH$10:AH$49))</f>
        <v/>
      </c>
      <c r="AI48" s="97">
        <f>SUMPRODUCT(MMULT('M4'!$M48:$AZ48,'M1'!AI$10:AI$49))</f>
        <v/>
      </c>
      <c r="AJ48" s="97">
        <f>SUMPRODUCT(MMULT('M4'!$M48:$AZ48,'M1'!AJ$10:AJ$49))</f>
        <v/>
      </c>
      <c r="AK48" s="97">
        <f>SUMPRODUCT(MMULT('M4'!$M48:$AZ48,'M1'!AK$10:AK$49))</f>
        <v/>
      </c>
      <c r="AL48" s="97">
        <f>SUMPRODUCT(MMULT('M4'!$M48:$AZ48,'M1'!AL$10:AL$49))</f>
        <v/>
      </c>
      <c r="AM48" s="97">
        <f>SUMPRODUCT(MMULT('M4'!$M48:$AZ48,'M1'!AM$10:AM$49))</f>
        <v/>
      </c>
      <c r="AN48" s="97">
        <f>SUMPRODUCT(MMULT('M4'!$M48:$AZ48,'M1'!AN$10:AN$49))</f>
        <v/>
      </c>
      <c r="AO48" s="97">
        <f>SUMPRODUCT(MMULT('M4'!$M48:$AZ48,'M1'!AO$10:AO$49))</f>
        <v/>
      </c>
      <c r="AP48" s="97">
        <f>SUMPRODUCT(MMULT('M4'!$M48:$AZ48,'M1'!AP$10:AP$49))</f>
        <v/>
      </c>
      <c r="AQ48" s="97">
        <f>SUMPRODUCT(MMULT('M4'!$M48:$AZ48,'M1'!AQ$10:AQ$49))</f>
        <v/>
      </c>
      <c r="AR48" s="97">
        <f>SUMPRODUCT(MMULT('M4'!$M48:$AZ48,'M1'!AR$10:AR$49))</f>
        <v/>
      </c>
      <c r="AS48" s="97">
        <f>SUMPRODUCT(MMULT('M4'!$M48:$AZ48,'M1'!AS$10:AS$49))</f>
        <v/>
      </c>
      <c r="AT48" s="97">
        <f>SUMPRODUCT(MMULT('M4'!$M48:$AZ48,'M1'!AT$10:AT$49))</f>
        <v/>
      </c>
      <c r="AU48" s="97">
        <f>SUMPRODUCT(MMULT('M4'!$M48:$AZ48,'M1'!AU$10:AU$49))</f>
        <v/>
      </c>
      <c r="AV48" s="97">
        <f>SUMPRODUCT(MMULT('M4'!$M48:$AZ48,'M1'!AV$10:AV$49))</f>
        <v/>
      </c>
      <c r="AW48" s="97">
        <f>SUMPRODUCT(MMULT('M4'!$M48:$AZ48,'M1'!AW$10:AW$49))</f>
        <v/>
      </c>
      <c r="AX48" s="97">
        <f>SUMPRODUCT(MMULT('M4'!$M48:$AZ48,'M1'!AX$10:AX$49))</f>
        <v/>
      </c>
      <c r="AY48" s="97">
        <f>SUMPRODUCT(MMULT('M4'!$M48:$AZ48,'M1'!AY$10:AY$49))</f>
        <v/>
      </c>
      <c r="AZ48" s="97">
        <f>SUMPRODUCT(MMULT('M4'!$M48:$AZ48,'M1'!AZ$10:AZ$49))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SUMPRODUCT(MMULT('M4'!$M49:$AZ49,'M1'!M$10:M$49))</f>
        <v/>
      </c>
      <c r="N49" s="97">
        <f>SUMPRODUCT(MMULT('M4'!$M49:$AZ49,'M1'!N$10:N$49))</f>
        <v/>
      </c>
      <c r="O49" s="97">
        <f>SUMPRODUCT(MMULT('M4'!$M49:$AZ49,'M1'!O$10:O$49))</f>
        <v/>
      </c>
      <c r="P49" s="97">
        <f>SUMPRODUCT(MMULT('M4'!$M49:$AZ49,'M1'!P$10:P$49))</f>
        <v/>
      </c>
      <c r="Q49" s="97">
        <f>SUMPRODUCT(MMULT('M4'!$M49:$AZ49,'M1'!Q$10:Q$49))</f>
        <v/>
      </c>
      <c r="R49" s="97">
        <f>SUMPRODUCT(MMULT('M4'!$M49:$AZ49,'M1'!R$10:R$49))</f>
        <v/>
      </c>
      <c r="S49" s="97">
        <f>SUMPRODUCT(MMULT('M4'!$M49:$AZ49,'M1'!S$10:S$49))</f>
        <v/>
      </c>
      <c r="T49" s="97">
        <f>SUMPRODUCT(MMULT('M4'!$M49:$AZ49,'M1'!T$10:T$49))</f>
        <v/>
      </c>
      <c r="U49" s="97">
        <f>SUMPRODUCT(MMULT('M4'!$M49:$AZ49,'M1'!U$10:U$49))</f>
        <v/>
      </c>
      <c r="V49" s="97">
        <f>SUMPRODUCT(MMULT('M4'!$M49:$AZ49,'M1'!V$10:V$49))</f>
        <v/>
      </c>
      <c r="W49" s="97">
        <f>SUMPRODUCT(MMULT('M4'!$M49:$AZ49,'M1'!W$10:W$49))</f>
        <v/>
      </c>
      <c r="X49" s="97">
        <f>SUMPRODUCT(MMULT('M4'!$M49:$AZ49,'M1'!X$10:X$49))</f>
        <v/>
      </c>
      <c r="Y49" s="97">
        <f>SUMPRODUCT(MMULT('M4'!$M49:$AZ49,'M1'!Y$10:Y$49))</f>
        <v/>
      </c>
      <c r="Z49" s="97">
        <f>SUMPRODUCT(MMULT('M4'!$M49:$AZ49,'M1'!Z$10:Z$49))</f>
        <v/>
      </c>
      <c r="AA49" s="97">
        <f>SUMPRODUCT(MMULT('M4'!$M49:$AZ49,'M1'!AA$10:AA$49))</f>
        <v/>
      </c>
      <c r="AB49" s="97">
        <f>SUMPRODUCT(MMULT('M4'!$M49:$AZ49,'M1'!AB$10:AB$49))</f>
        <v/>
      </c>
      <c r="AC49" s="97">
        <f>SUMPRODUCT(MMULT('M4'!$M49:$AZ49,'M1'!AC$10:AC$49))</f>
        <v/>
      </c>
      <c r="AD49" s="97">
        <f>SUMPRODUCT(MMULT('M4'!$M49:$AZ49,'M1'!AD$10:AD$49))</f>
        <v/>
      </c>
      <c r="AE49" s="97">
        <f>SUMPRODUCT(MMULT('M4'!$M49:$AZ49,'M1'!AE$10:AE$49))</f>
        <v/>
      </c>
      <c r="AF49" s="97">
        <f>SUMPRODUCT(MMULT('M4'!$M49:$AZ49,'M1'!AF$10:AF$49))</f>
        <v/>
      </c>
      <c r="AG49" s="97">
        <f>SUMPRODUCT(MMULT('M4'!$M49:$AZ49,'M1'!AG$10:AG$49))</f>
        <v/>
      </c>
      <c r="AH49" s="97">
        <f>SUMPRODUCT(MMULT('M4'!$M49:$AZ49,'M1'!AH$10:AH$49))</f>
        <v/>
      </c>
      <c r="AI49" s="97">
        <f>SUMPRODUCT(MMULT('M4'!$M49:$AZ49,'M1'!AI$10:AI$49))</f>
        <v/>
      </c>
      <c r="AJ49" s="97">
        <f>SUMPRODUCT(MMULT('M4'!$M49:$AZ49,'M1'!AJ$10:AJ$49))</f>
        <v/>
      </c>
      <c r="AK49" s="97">
        <f>SUMPRODUCT(MMULT('M4'!$M49:$AZ49,'M1'!AK$10:AK$49))</f>
        <v/>
      </c>
      <c r="AL49" s="97">
        <f>SUMPRODUCT(MMULT('M4'!$M49:$AZ49,'M1'!AL$10:AL$49))</f>
        <v/>
      </c>
      <c r="AM49" s="97">
        <f>SUMPRODUCT(MMULT('M4'!$M49:$AZ49,'M1'!AM$10:AM$49))</f>
        <v/>
      </c>
      <c r="AN49" s="97">
        <f>SUMPRODUCT(MMULT('M4'!$M49:$AZ49,'M1'!AN$10:AN$49))</f>
        <v/>
      </c>
      <c r="AO49" s="97">
        <f>SUMPRODUCT(MMULT('M4'!$M49:$AZ49,'M1'!AO$10:AO$49))</f>
        <v/>
      </c>
      <c r="AP49" s="97">
        <f>SUMPRODUCT(MMULT('M4'!$M49:$AZ49,'M1'!AP$10:AP$49))</f>
        <v/>
      </c>
      <c r="AQ49" s="97">
        <f>SUMPRODUCT(MMULT('M4'!$M49:$AZ49,'M1'!AQ$10:AQ$49))</f>
        <v/>
      </c>
      <c r="AR49" s="97">
        <f>SUMPRODUCT(MMULT('M4'!$M49:$AZ49,'M1'!AR$10:AR$49))</f>
        <v/>
      </c>
      <c r="AS49" s="97">
        <f>SUMPRODUCT(MMULT('M4'!$M49:$AZ49,'M1'!AS$10:AS$49))</f>
        <v/>
      </c>
      <c r="AT49" s="97">
        <f>SUMPRODUCT(MMULT('M4'!$M49:$AZ49,'M1'!AT$10:AT$49))</f>
        <v/>
      </c>
      <c r="AU49" s="97">
        <f>SUMPRODUCT(MMULT('M4'!$M49:$AZ49,'M1'!AU$10:AU$49))</f>
        <v/>
      </c>
      <c r="AV49" s="97">
        <f>SUMPRODUCT(MMULT('M4'!$M49:$AZ49,'M1'!AV$10:AV$49))</f>
        <v/>
      </c>
      <c r="AW49" s="97">
        <f>SUMPRODUCT(MMULT('M4'!$M49:$AZ49,'M1'!AW$10:AW$49))</f>
        <v/>
      </c>
      <c r="AX49" s="97">
        <f>SUMPRODUCT(MMULT('M4'!$M49:$AZ49,'M1'!AX$10:AX$49))</f>
        <v/>
      </c>
      <c r="AY49" s="97">
        <f>SUMPRODUCT(MMULT('M4'!$M49:$AZ49,'M1'!AY$10:AY$49))</f>
        <v/>
      </c>
      <c r="AZ49" s="97">
        <f>SUMPRODUCT(MMULT('M4'!$M49:$AZ49,'M1'!AZ$10:AZ$49))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8.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C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6.5" customWidth="1" style="62" min="13" max="52"/>
  </cols>
  <sheetData>
    <row r="1" ht="30" customHeight="1" s="62">
      <c r="A1" s="65" t="inlineStr">
        <is>
          <t>M6  |  Recorridos de exactamente 6 vínculos</t>
        </is>
      </c>
    </row>
    <row r="2" ht="46" customHeight="1" s="62">
      <c r="A2" s="63" t="inlineStr">
        <is>
          <t>Cada celda suma productos de una fila de M5 por una columna de M (≡ M1). Los valores son pesos de recorridos, no personas ni porcentajes. Regla: M6 = M5 × M. No eleve cada celda al exponente 6; no multiplique M5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SUMPRODUCT(MMULT('M5'!$M10:$AZ10,'M1'!M$10:M$49))</f>
        <v/>
      </c>
      <c r="N10" s="97">
        <f>SUMPRODUCT(MMULT('M5'!$M10:$AZ10,'M1'!N$10:N$49))</f>
        <v/>
      </c>
      <c r="O10" s="97">
        <f>SUMPRODUCT(MMULT('M5'!$M10:$AZ10,'M1'!O$10:O$49))</f>
        <v/>
      </c>
      <c r="P10" s="97">
        <f>SUMPRODUCT(MMULT('M5'!$M10:$AZ10,'M1'!P$10:P$49))</f>
        <v/>
      </c>
      <c r="Q10" s="97">
        <f>SUMPRODUCT(MMULT('M5'!$M10:$AZ10,'M1'!Q$10:Q$49))</f>
        <v/>
      </c>
      <c r="R10" s="97">
        <f>SUMPRODUCT(MMULT('M5'!$M10:$AZ10,'M1'!R$10:R$49))</f>
        <v/>
      </c>
      <c r="S10" s="97">
        <f>SUMPRODUCT(MMULT('M5'!$M10:$AZ10,'M1'!S$10:S$49))</f>
        <v/>
      </c>
      <c r="T10" s="97">
        <f>SUMPRODUCT(MMULT('M5'!$M10:$AZ10,'M1'!T$10:T$49))</f>
        <v/>
      </c>
      <c r="U10" s="97">
        <f>SUMPRODUCT(MMULT('M5'!$M10:$AZ10,'M1'!U$10:U$49))</f>
        <v/>
      </c>
      <c r="V10" s="97">
        <f>SUMPRODUCT(MMULT('M5'!$M10:$AZ10,'M1'!V$10:V$49))</f>
        <v/>
      </c>
      <c r="W10" s="97">
        <f>SUMPRODUCT(MMULT('M5'!$M10:$AZ10,'M1'!W$10:W$49))</f>
        <v/>
      </c>
      <c r="X10" s="97">
        <f>SUMPRODUCT(MMULT('M5'!$M10:$AZ10,'M1'!X$10:X$49))</f>
        <v/>
      </c>
      <c r="Y10" s="97">
        <f>SUMPRODUCT(MMULT('M5'!$M10:$AZ10,'M1'!Y$10:Y$49))</f>
        <v/>
      </c>
      <c r="Z10" s="97">
        <f>SUMPRODUCT(MMULT('M5'!$M10:$AZ10,'M1'!Z$10:Z$49))</f>
        <v/>
      </c>
      <c r="AA10" s="97">
        <f>SUMPRODUCT(MMULT('M5'!$M10:$AZ10,'M1'!AA$10:AA$49))</f>
        <v/>
      </c>
      <c r="AB10" s="97">
        <f>SUMPRODUCT(MMULT('M5'!$M10:$AZ10,'M1'!AB$10:AB$49))</f>
        <v/>
      </c>
      <c r="AC10" s="97">
        <f>SUMPRODUCT(MMULT('M5'!$M10:$AZ10,'M1'!AC$10:AC$49))</f>
        <v/>
      </c>
      <c r="AD10" s="97">
        <f>SUMPRODUCT(MMULT('M5'!$M10:$AZ10,'M1'!AD$10:AD$49))</f>
        <v/>
      </c>
      <c r="AE10" s="97">
        <f>SUMPRODUCT(MMULT('M5'!$M10:$AZ10,'M1'!AE$10:AE$49))</f>
        <v/>
      </c>
      <c r="AF10" s="97">
        <f>SUMPRODUCT(MMULT('M5'!$M10:$AZ10,'M1'!AF$10:AF$49))</f>
        <v/>
      </c>
      <c r="AG10" s="97">
        <f>SUMPRODUCT(MMULT('M5'!$M10:$AZ10,'M1'!AG$10:AG$49))</f>
        <v/>
      </c>
      <c r="AH10" s="97">
        <f>SUMPRODUCT(MMULT('M5'!$M10:$AZ10,'M1'!AH$10:AH$49))</f>
        <v/>
      </c>
      <c r="AI10" s="97">
        <f>SUMPRODUCT(MMULT('M5'!$M10:$AZ10,'M1'!AI$10:AI$49))</f>
        <v/>
      </c>
      <c r="AJ10" s="97">
        <f>SUMPRODUCT(MMULT('M5'!$M10:$AZ10,'M1'!AJ$10:AJ$49))</f>
        <v/>
      </c>
      <c r="AK10" s="97">
        <f>SUMPRODUCT(MMULT('M5'!$M10:$AZ10,'M1'!AK$10:AK$49))</f>
        <v/>
      </c>
      <c r="AL10" s="97">
        <f>SUMPRODUCT(MMULT('M5'!$M10:$AZ10,'M1'!AL$10:AL$49))</f>
        <v/>
      </c>
      <c r="AM10" s="97">
        <f>SUMPRODUCT(MMULT('M5'!$M10:$AZ10,'M1'!AM$10:AM$49))</f>
        <v/>
      </c>
      <c r="AN10" s="97">
        <f>SUMPRODUCT(MMULT('M5'!$M10:$AZ10,'M1'!AN$10:AN$49))</f>
        <v/>
      </c>
      <c r="AO10" s="97">
        <f>SUMPRODUCT(MMULT('M5'!$M10:$AZ10,'M1'!AO$10:AO$49))</f>
        <v/>
      </c>
      <c r="AP10" s="97">
        <f>SUMPRODUCT(MMULT('M5'!$M10:$AZ10,'M1'!AP$10:AP$49))</f>
        <v/>
      </c>
      <c r="AQ10" s="97">
        <f>SUMPRODUCT(MMULT('M5'!$M10:$AZ10,'M1'!AQ$10:AQ$49))</f>
        <v/>
      </c>
      <c r="AR10" s="97">
        <f>SUMPRODUCT(MMULT('M5'!$M10:$AZ10,'M1'!AR$10:AR$49))</f>
        <v/>
      </c>
      <c r="AS10" s="97">
        <f>SUMPRODUCT(MMULT('M5'!$M10:$AZ10,'M1'!AS$10:AS$49))</f>
        <v/>
      </c>
      <c r="AT10" s="97">
        <f>SUMPRODUCT(MMULT('M5'!$M10:$AZ10,'M1'!AT$10:AT$49))</f>
        <v/>
      </c>
      <c r="AU10" s="97">
        <f>SUMPRODUCT(MMULT('M5'!$M10:$AZ10,'M1'!AU$10:AU$49))</f>
        <v/>
      </c>
      <c r="AV10" s="97">
        <f>SUMPRODUCT(MMULT('M5'!$M10:$AZ10,'M1'!AV$10:AV$49))</f>
        <v/>
      </c>
      <c r="AW10" s="97">
        <f>SUMPRODUCT(MMULT('M5'!$M10:$AZ10,'M1'!AW$10:AW$49))</f>
        <v/>
      </c>
      <c r="AX10" s="97">
        <f>SUMPRODUCT(MMULT('M5'!$M10:$AZ10,'M1'!AX$10:AX$49))</f>
        <v/>
      </c>
      <c r="AY10" s="97">
        <f>SUMPRODUCT(MMULT('M5'!$M10:$AZ10,'M1'!AY$10:AY$49))</f>
        <v/>
      </c>
      <c r="AZ10" s="97">
        <f>SUMPRODUCT(MMULT('M5'!$M10:$AZ10,'M1'!AZ$10:AZ$49))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SUMPRODUCT(MMULT('M5'!$M11:$AZ11,'M1'!M$10:M$49))</f>
        <v/>
      </c>
      <c r="N11" s="97">
        <f>SUMPRODUCT(MMULT('M5'!$M11:$AZ11,'M1'!N$10:N$49))</f>
        <v/>
      </c>
      <c r="O11" s="97">
        <f>SUMPRODUCT(MMULT('M5'!$M11:$AZ11,'M1'!O$10:O$49))</f>
        <v/>
      </c>
      <c r="P11" s="97">
        <f>SUMPRODUCT(MMULT('M5'!$M11:$AZ11,'M1'!P$10:P$49))</f>
        <v/>
      </c>
      <c r="Q11" s="97">
        <f>SUMPRODUCT(MMULT('M5'!$M11:$AZ11,'M1'!Q$10:Q$49))</f>
        <v/>
      </c>
      <c r="R11" s="97">
        <f>SUMPRODUCT(MMULT('M5'!$M11:$AZ11,'M1'!R$10:R$49))</f>
        <v/>
      </c>
      <c r="S11" s="97">
        <f>SUMPRODUCT(MMULT('M5'!$M11:$AZ11,'M1'!S$10:S$49))</f>
        <v/>
      </c>
      <c r="T11" s="97">
        <f>SUMPRODUCT(MMULT('M5'!$M11:$AZ11,'M1'!T$10:T$49))</f>
        <v/>
      </c>
      <c r="U11" s="97">
        <f>SUMPRODUCT(MMULT('M5'!$M11:$AZ11,'M1'!U$10:U$49))</f>
        <v/>
      </c>
      <c r="V11" s="97">
        <f>SUMPRODUCT(MMULT('M5'!$M11:$AZ11,'M1'!V$10:V$49))</f>
        <v/>
      </c>
      <c r="W11" s="97">
        <f>SUMPRODUCT(MMULT('M5'!$M11:$AZ11,'M1'!W$10:W$49))</f>
        <v/>
      </c>
      <c r="X11" s="97">
        <f>SUMPRODUCT(MMULT('M5'!$M11:$AZ11,'M1'!X$10:X$49))</f>
        <v/>
      </c>
      <c r="Y11" s="97">
        <f>SUMPRODUCT(MMULT('M5'!$M11:$AZ11,'M1'!Y$10:Y$49))</f>
        <v/>
      </c>
      <c r="Z11" s="97">
        <f>SUMPRODUCT(MMULT('M5'!$M11:$AZ11,'M1'!Z$10:Z$49))</f>
        <v/>
      </c>
      <c r="AA11" s="97">
        <f>SUMPRODUCT(MMULT('M5'!$M11:$AZ11,'M1'!AA$10:AA$49))</f>
        <v/>
      </c>
      <c r="AB11" s="97">
        <f>SUMPRODUCT(MMULT('M5'!$M11:$AZ11,'M1'!AB$10:AB$49))</f>
        <v/>
      </c>
      <c r="AC11" s="97">
        <f>SUMPRODUCT(MMULT('M5'!$M11:$AZ11,'M1'!AC$10:AC$49))</f>
        <v/>
      </c>
      <c r="AD11" s="97">
        <f>SUMPRODUCT(MMULT('M5'!$M11:$AZ11,'M1'!AD$10:AD$49))</f>
        <v/>
      </c>
      <c r="AE11" s="97">
        <f>SUMPRODUCT(MMULT('M5'!$M11:$AZ11,'M1'!AE$10:AE$49))</f>
        <v/>
      </c>
      <c r="AF11" s="97">
        <f>SUMPRODUCT(MMULT('M5'!$M11:$AZ11,'M1'!AF$10:AF$49))</f>
        <v/>
      </c>
      <c r="AG11" s="97">
        <f>SUMPRODUCT(MMULT('M5'!$M11:$AZ11,'M1'!AG$10:AG$49))</f>
        <v/>
      </c>
      <c r="AH11" s="97">
        <f>SUMPRODUCT(MMULT('M5'!$M11:$AZ11,'M1'!AH$10:AH$49))</f>
        <v/>
      </c>
      <c r="AI11" s="97">
        <f>SUMPRODUCT(MMULT('M5'!$M11:$AZ11,'M1'!AI$10:AI$49))</f>
        <v/>
      </c>
      <c r="AJ11" s="97">
        <f>SUMPRODUCT(MMULT('M5'!$M11:$AZ11,'M1'!AJ$10:AJ$49))</f>
        <v/>
      </c>
      <c r="AK11" s="97">
        <f>SUMPRODUCT(MMULT('M5'!$M11:$AZ11,'M1'!AK$10:AK$49))</f>
        <v/>
      </c>
      <c r="AL11" s="97">
        <f>SUMPRODUCT(MMULT('M5'!$M11:$AZ11,'M1'!AL$10:AL$49))</f>
        <v/>
      </c>
      <c r="AM11" s="97">
        <f>SUMPRODUCT(MMULT('M5'!$M11:$AZ11,'M1'!AM$10:AM$49))</f>
        <v/>
      </c>
      <c r="AN11" s="97">
        <f>SUMPRODUCT(MMULT('M5'!$M11:$AZ11,'M1'!AN$10:AN$49))</f>
        <v/>
      </c>
      <c r="AO11" s="97">
        <f>SUMPRODUCT(MMULT('M5'!$M11:$AZ11,'M1'!AO$10:AO$49))</f>
        <v/>
      </c>
      <c r="AP11" s="97">
        <f>SUMPRODUCT(MMULT('M5'!$M11:$AZ11,'M1'!AP$10:AP$49))</f>
        <v/>
      </c>
      <c r="AQ11" s="97">
        <f>SUMPRODUCT(MMULT('M5'!$M11:$AZ11,'M1'!AQ$10:AQ$49))</f>
        <v/>
      </c>
      <c r="AR11" s="97">
        <f>SUMPRODUCT(MMULT('M5'!$M11:$AZ11,'M1'!AR$10:AR$49))</f>
        <v/>
      </c>
      <c r="AS11" s="97">
        <f>SUMPRODUCT(MMULT('M5'!$M11:$AZ11,'M1'!AS$10:AS$49))</f>
        <v/>
      </c>
      <c r="AT11" s="97">
        <f>SUMPRODUCT(MMULT('M5'!$M11:$AZ11,'M1'!AT$10:AT$49))</f>
        <v/>
      </c>
      <c r="AU11" s="97">
        <f>SUMPRODUCT(MMULT('M5'!$M11:$AZ11,'M1'!AU$10:AU$49))</f>
        <v/>
      </c>
      <c r="AV11" s="97">
        <f>SUMPRODUCT(MMULT('M5'!$M11:$AZ11,'M1'!AV$10:AV$49))</f>
        <v/>
      </c>
      <c r="AW11" s="97">
        <f>SUMPRODUCT(MMULT('M5'!$M11:$AZ11,'M1'!AW$10:AW$49))</f>
        <v/>
      </c>
      <c r="AX11" s="97">
        <f>SUMPRODUCT(MMULT('M5'!$M11:$AZ11,'M1'!AX$10:AX$49))</f>
        <v/>
      </c>
      <c r="AY11" s="97">
        <f>SUMPRODUCT(MMULT('M5'!$M11:$AZ11,'M1'!AY$10:AY$49))</f>
        <v/>
      </c>
      <c r="AZ11" s="97">
        <f>SUMPRODUCT(MMULT('M5'!$M11:$AZ11,'M1'!AZ$10:AZ$49))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SUMPRODUCT(MMULT('M5'!$M12:$AZ12,'M1'!M$10:M$49))</f>
        <v/>
      </c>
      <c r="N12" s="97">
        <f>SUMPRODUCT(MMULT('M5'!$M12:$AZ12,'M1'!N$10:N$49))</f>
        <v/>
      </c>
      <c r="O12" s="97">
        <f>SUMPRODUCT(MMULT('M5'!$M12:$AZ12,'M1'!O$10:O$49))</f>
        <v/>
      </c>
      <c r="P12" s="97">
        <f>SUMPRODUCT(MMULT('M5'!$M12:$AZ12,'M1'!P$10:P$49))</f>
        <v/>
      </c>
      <c r="Q12" s="97">
        <f>SUMPRODUCT(MMULT('M5'!$M12:$AZ12,'M1'!Q$10:Q$49))</f>
        <v/>
      </c>
      <c r="R12" s="97">
        <f>SUMPRODUCT(MMULT('M5'!$M12:$AZ12,'M1'!R$10:R$49))</f>
        <v/>
      </c>
      <c r="S12" s="97">
        <f>SUMPRODUCT(MMULT('M5'!$M12:$AZ12,'M1'!S$10:S$49))</f>
        <v/>
      </c>
      <c r="T12" s="97">
        <f>SUMPRODUCT(MMULT('M5'!$M12:$AZ12,'M1'!T$10:T$49))</f>
        <v/>
      </c>
      <c r="U12" s="97">
        <f>SUMPRODUCT(MMULT('M5'!$M12:$AZ12,'M1'!U$10:U$49))</f>
        <v/>
      </c>
      <c r="V12" s="97">
        <f>SUMPRODUCT(MMULT('M5'!$M12:$AZ12,'M1'!V$10:V$49))</f>
        <v/>
      </c>
      <c r="W12" s="97">
        <f>SUMPRODUCT(MMULT('M5'!$M12:$AZ12,'M1'!W$10:W$49))</f>
        <v/>
      </c>
      <c r="X12" s="97">
        <f>SUMPRODUCT(MMULT('M5'!$M12:$AZ12,'M1'!X$10:X$49))</f>
        <v/>
      </c>
      <c r="Y12" s="97">
        <f>SUMPRODUCT(MMULT('M5'!$M12:$AZ12,'M1'!Y$10:Y$49))</f>
        <v/>
      </c>
      <c r="Z12" s="97">
        <f>SUMPRODUCT(MMULT('M5'!$M12:$AZ12,'M1'!Z$10:Z$49))</f>
        <v/>
      </c>
      <c r="AA12" s="97">
        <f>SUMPRODUCT(MMULT('M5'!$M12:$AZ12,'M1'!AA$10:AA$49))</f>
        <v/>
      </c>
      <c r="AB12" s="97">
        <f>SUMPRODUCT(MMULT('M5'!$M12:$AZ12,'M1'!AB$10:AB$49))</f>
        <v/>
      </c>
      <c r="AC12" s="97">
        <f>SUMPRODUCT(MMULT('M5'!$M12:$AZ12,'M1'!AC$10:AC$49))</f>
        <v/>
      </c>
      <c r="AD12" s="97">
        <f>SUMPRODUCT(MMULT('M5'!$M12:$AZ12,'M1'!AD$10:AD$49))</f>
        <v/>
      </c>
      <c r="AE12" s="97">
        <f>SUMPRODUCT(MMULT('M5'!$M12:$AZ12,'M1'!AE$10:AE$49))</f>
        <v/>
      </c>
      <c r="AF12" s="97">
        <f>SUMPRODUCT(MMULT('M5'!$M12:$AZ12,'M1'!AF$10:AF$49))</f>
        <v/>
      </c>
      <c r="AG12" s="97">
        <f>SUMPRODUCT(MMULT('M5'!$M12:$AZ12,'M1'!AG$10:AG$49))</f>
        <v/>
      </c>
      <c r="AH12" s="97">
        <f>SUMPRODUCT(MMULT('M5'!$M12:$AZ12,'M1'!AH$10:AH$49))</f>
        <v/>
      </c>
      <c r="AI12" s="97">
        <f>SUMPRODUCT(MMULT('M5'!$M12:$AZ12,'M1'!AI$10:AI$49))</f>
        <v/>
      </c>
      <c r="AJ12" s="97">
        <f>SUMPRODUCT(MMULT('M5'!$M12:$AZ12,'M1'!AJ$10:AJ$49))</f>
        <v/>
      </c>
      <c r="AK12" s="97">
        <f>SUMPRODUCT(MMULT('M5'!$M12:$AZ12,'M1'!AK$10:AK$49))</f>
        <v/>
      </c>
      <c r="AL12" s="97">
        <f>SUMPRODUCT(MMULT('M5'!$M12:$AZ12,'M1'!AL$10:AL$49))</f>
        <v/>
      </c>
      <c r="AM12" s="97">
        <f>SUMPRODUCT(MMULT('M5'!$M12:$AZ12,'M1'!AM$10:AM$49))</f>
        <v/>
      </c>
      <c r="AN12" s="97">
        <f>SUMPRODUCT(MMULT('M5'!$M12:$AZ12,'M1'!AN$10:AN$49))</f>
        <v/>
      </c>
      <c r="AO12" s="97">
        <f>SUMPRODUCT(MMULT('M5'!$M12:$AZ12,'M1'!AO$10:AO$49))</f>
        <v/>
      </c>
      <c r="AP12" s="97">
        <f>SUMPRODUCT(MMULT('M5'!$M12:$AZ12,'M1'!AP$10:AP$49))</f>
        <v/>
      </c>
      <c r="AQ12" s="97">
        <f>SUMPRODUCT(MMULT('M5'!$M12:$AZ12,'M1'!AQ$10:AQ$49))</f>
        <v/>
      </c>
      <c r="AR12" s="97">
        <f>SUMPRODUCT(MMULT('M5'!$M12:$AZ12,'M1'!AR$10:AR$49))</f>
        <v/>
      </c>
      <c r="AS12" s="97">
        <f>SUMPRODUCT(MMULT('M5'!$M12:$AZ12,'M1'!AS$10:AS$49))</f>
        <v/>
      </c>
      <c r="AT12" s="97">
        <f>SUMPRODUCT(MMULT('M5'!$M12:$AZ12,'M1'!AT$10:AT$49))</f>
        <v/>
      </c>
      <c r="AU12" s="97">
        <f>SUMPRODUCT(MMULT('M5'!$M12:$AZ12,'M1'!AU$10:AU$49))</f>
        <v/>
      </c>
      <c r="AV12" s="97">
        <f>SUMPRODUCT(MMULT('M5'!$M12:$AZ12,'M1'!AV$10:AV$49))</f>
        <v/>
      </c>
      <c r="AW12" s="97">
        <f>SUMPRODUCT(MMULT('M5'!$M12:$AZ12,'M1'!AW$10:AW$49))</f>
        <v/>
      </c>
      <c r="AX12" s="97">
        <f>SUMPRODUCT(MMULT('M5'!$M12:$AZ12,'M1'!AX$10:AX$49))</f>
        <v/>
      </c>
      <c r="AY12" s="97">
        <f>SUMPRODUCT(MMULT('M5'!$M12:$AZ12,'M1'!AY$10:AY$49))</f>
        <v/>
      </c>
      <c r="AZ12" s="97">
        <f>SUMPRODUCT(MMULT('M5'!$M12:$AZ12,'M1'!AZ$10:AZ$49))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SUMPRODUCT(MMULT('M5'!$M13:$AZ13,'M1'!M$10:M$49))</f>
        <v/>
      </c>
      <c r="N13" s="97">
        <f>SUMPRODUCT(MMULT('M5'!$M13:$AZ13,'M1'!N$10:N$49))</f>
        <v/>
      </c>
      <c r="O13" s="97">
        <f>SUMPRODUCT(MMULT('M5'!$M13:$AZ13,'M1'!O$10:O$49))</f>
        <v/>
      </c>
      <c r="P13" s="97">
        <f>SUMPRODUCT(MMULT('M5'!$M13:$AZ13,'M1'!P$10:P$49))</f>
        <v/>
      </c>
      <c r="Q13" s="97">
        <f>SUMPRODUCT(MMULT('M5'!$M13:$AZ13,'M1'!Q$10:Q$49))</f>
        <v/>
      </c>
      <c r="R13" s="97">
        <f>SUMPRODUCT(MMULT('M5'!$M13:$AZ13,'M1'!R$10:R$49))</f>
        <v/>
      </c>
      <c r="S13" s="97">
        <f>SUMPRODUCT(MMULT('M5'!$M13:$AZ13,'M1'!S$10:S$49))</f>
        <v/>
      </c>
      <c r="T13" s="97">
        <f>SUMPRODUCT(MMULT('M5'!$M13:$AZ13,'M1'!T$10:T$49))</f>
        <v/>
      </c>
      <c r="U13" s="97">
        <f>SUMPRODUCT(MMULT('M5'!$M13:$AZ13,'M1'!U$10:U$49))</f>
        <v/>
      </c>
      <c r="V13" s="97">
        <f>SUMPRODUCT(MMULT('M5'!$M13:$AZ13,'M1'!V$10:V$49))</f>
        <v/>
      </c>
      <c r="W13" s="97">
        <f>SUMPRODUCT(MMULT('M5'!$M13:$AZ13,'M1'!W$10:W$49))</f>
        <v/>
      </c>
      <c r="X13" s="97">
        <f>SUMPRODUCT(MMULT('M5'!$M13:$AZ13,'M1'!X$10:X$49))</f>
        <v/>
      </c>
      <c r="Y13" s="97">
        <f>SUMPRODUCT(MMULT('M5'!$M13:$AZ13,'M1'!Y$10:Y$49))</f>
        <v/>
      </c>
      <c r="Z13" s="97">
        <f>SUMPRODUCT(MMULT('M5'!$M13:$AZ13,'M1'!Z$10:Z$49))</f>
        <v/>
      </c>
      <c r="AA13" s="97">
        <f>SUMPRODUCT(MMULT('M5'!$M13:$AZ13,'M1'!AA$10:AA$49))</f>
        <v/>
      </c>
      <c r="AB13" s="97">
        <f>SUMPRODUCT(MMULT('M5'!$M13:$AZ13,'M1'!AB$10:AB$49))</f>
        <v/>
      </c>
      <c r="AC13" s="97">
        <f>SUMPRODUCT(MMULT('M5'!$M13:$AZ13,'M1'!AC$10:AC$49))</f>
        <v/>
      </c>
      <c r="AD13" s="97">
        <f>SUMPRODUCT(MMULT('M5'!$M13:$AZ13,'M1'!AD$10:AD$49))</f>
        <v/>
      </c>
      <c r="AE13" s="97">
        <f>SUMPRODUCT(MMULT('M5'!$M13:$AZ13,'M1'!AE$10:AE$49))</f>
        <v/>
      </c>
      <c r="AF13" s="97">
        <f>SUMPRODUCT(MMULT('M5'!$M13:$AZ13,'M1'!AF$10:AF$49))</f>
        <v/>
      </c>
      <c r="AG13" s="97">
        <f>SUMPRODUCT(MMULT('M5'!$M13:$AZ13,'M1'!AG$10:AG$49))</f>
        <v/>
      </c>
      <c r="AH13" s="97">
        <f>SUMPRODUCT(MMULT('M5'!$M13:$AZ13,'M1'!AH$10:AH$49))</f>
        <v/>
      </c>
      <c r="AI13" s="97">
        <f>SUMPRODUCT(MMULT('M5'!$M13:$AZ13,'M1'!AI$10:AI$49))</f>
        <v/>
      </c>
      <c r="AJ13" s="97">
        <f>SUMPRODUCT(MMULT('M5'!$M13:$AZ13,'M1'!AJ$10:AJ$49))</f>
        <v/>
      </c>
      <c r="AK13" s="97">
        <f>SUMPRODUCT(MMULT('M5'!$M13:$AZ13,'M1'!AK$10:AK$49))</f>
        <v/>
      </c>
      <c r="AL13" s="97">
        <f>SUMPRODUCT(MMULT('M5'!$M13:$AZ13,'M1'!AL$10:AL$49))</f>
        <v/>
      </c>
      <c r="AM13" s="97">
        <f>SUMPRODUCT(MMULT('M5'!$M13:$AZ13,'M1'!AM$10:AM$49))</f>
        <v/>
      </c>
      <c r="AN13" s="97">
        <f>SUMPRODUCT(MMULT('M5'!$M13:$AZ13,'M1'!AN$10:AN$49))</f>
        <v/>
      </c>
      <c r="AO13" s="97">
        <f>SUMPRODUCT(MMULT('M5'!$M13:$AZ13,'M1'!AO$10:AO$49))</f>
        <v/>
      </c>
      <c r="AP13" s="97">
        <f>SUMPRODUCT(MMULT('M5'!$M13:$AZ13,'M1'!AP$10:AP$49))</f>
        <v/>
      </c>
      <c r="AQ13" s="97">
        <f>SUMPRODUCT(MMULT('M5'!$M13:$AZ13,'M1'!AQ$10:AQ$49))</f>
        <v/>
      </c>
      <c r="AR13" s="97">
        <f>SUMPRODUCT(MMULT('M5'!$M13:$AZ13,'M1'!AR$10:AR$49))</f>
        <v/>
      </c>
      <c r="AS13" s="97">
        <f>SUMPRODUCT(MMULT('M5'!$M13:$AZ13,'M1'!AS$10:AS$49))</f>
        <v/>
      </c>
      <c r="AT13" s="97">
        <f>SUMPRODUCT(MMULT('M5'!$M13:$AZ13,'M1'!AT$10:AT$49))</f>
        <v/>
      </c>
      <c r="AU13" s="97">
        <f>SUMPRODUCT(MMULT('M5'!$M13:$AZ13,'M1'!AU$10:AU$49))</f>
        <v/>
      </c>
      <c r="AV13" s="97">
        <f>SUMPRODUCT(MMULT('M5'!$M13:$AZ13,'M1'!AV$10:AV$49))</f>
        <v/>
      </c>
      <c r="AW13" s="97">
        <f>SUMPRODUCT(MMULT('M5'!$M13:$AZ13,'M1'!AW$10:AW$49))</f>
        <v/>
      </c>
      <c r="AX13" s="97">
        <f>SUMPRODUCT(MMULT('M5'!$M13:$AZ13,'M1'!AX$10:AX$49))</f>
        <v/>
      </c>
      <c r="AY13" s="97">
        <f>SUMPRODUCT(MMULT('M5'!$M13:$AZ13,'M1'!AY$10:AY$49))</f>
        <v/>
      </c>
      <c r="AZ13" s="97">
        <f>SUMPRODUCT(MMULT('M5'!$M13:$AZ13,'M1'!AZ$10:AZ$49))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SUMPRODUCT(MMULT('M5'!$M14:$AZ14,'M1'!M$10:M$49))</f>
        <v/>
      </c>
      <c r="N14" s="97">
        <f>SUMPRODUCT(MMULT('M5'!$M14:$AZ14,'M1'!N$10:N$49))</f>
        <v/>
      </c>
      <c r="O14" s="97">
        <f>SUMPRODUCT(MMULT('M5'!$M14:$AZ14,'M1'!O$10:O$49))</f>
        <v/>
      </c>
      <c r="P14" s="97">
        <f>SUMPRODUCT(MMULT('M5'!$M14:$AZ14,'M1'!P$10:P$49))</f>
        <v/>
      </c>
      <c r="Q14" s="97">
        <f>SUMPRODUCT(MMULT('M5'!$M14:$AZ14,'M1'!Q$10:Q$49))</f>
        <v/>
      </c>
      <c r="R14" s="97">
        <f>SUMPRODUCT(MMULT('M5'!$M14:$AZ14,'M1'!R$10:R$49))</f>
        <v/>
      </c>
      <c r="S14" s="97">
        <f>SUMPRODUCT(MMULT('M5'!$M14:$AZ14,'M1'!S$10:S$49))</f>
        <v/>
      </c>
      <c r="T14" s="97">
        <f>SUMPRODUCT(MMULT('M5'!$M14:$AZ14,'M1'!T$10:T$49))</f>
        <v/>
      </c>
      <c r="U14" s="97">
        <f>SUMPRODUCT(MMULT('M5'!$M14:$AZ14,'M1'!U$10:U$49))</f>
        <v/>
      </c>
      <c r="V14" s="97">
        <f>SUMPRODUCT(MMULT('M5'!$M14:$AZ14,'M1'!V$10:V$49))</f>
        <v/>
      </c>
      <c r="W14" s="97">
        <f>SUMPRODUCT(MMULT('M5'!$M14:$AZ14,'M1'!W$10:W$49))</f>
        <v/>
      </c>
      <c r="X14" s="97">
        <f>SUMPRODUCT(MMULT('M5'!$M14:$AZ14,'M1'!X$10:X$49))</f>
        <v/>
      </c>
      <c r="Y14" s="97">
        <f>SUMPRODUCT(MMULT('M5'!$M14:$AZ14,'M1'!Y$10:Y$49))</f>
        <v/>
      </c>
      <c r="Z14" s="97">
        <f>SUMPRODUCT(MMULT('M5'!$M14:$AZ14,'M1'!Z$10:Z$49))</f>
        <v/>
      </c>
      <c r="AA14" s="97">
        <f>SUMPRODUCT(MMULT('M5'!$M14:$AZ14,'M1'!AA$10:AA$49))</f>
        <v/>
      </c>
      <c r="AB14" s="97">
        <f>SUMPRODUCT(MMULT('M5'!$M14:$AZ14,'M1'!AB$10:AB$49))</f>
        <v/>
      </c>
      <c r="AC14" s="97">
        <f>SUMPRODUCT(MMULT('M5'!$M14:$AZ14,'M1'!AC$10:AC$49))</f>
        <v/>
      </c>
      <c r="AD14" s="97">
        <f>SUMPRODUCT(MMULT('M5'!$M14:$AZ14,'M1'!AD$10:AD$49))</f>
        <v/>
      </c>
      <c r="AE14" s="97">
        <f>SUMPRODUCT(MMULT('M5'!$M14:$AZ14,'M1'!AE$10:AE$49))</f>
        <v/>
      </c>
      <c r="AF14" s="97">
        <f>SUMPRODUCT(MMULT('M5'!$M14:$AZ14,'M1'!AF$10:AF$49))</f>
        <v/>
      </c>
      <c r="AG14" s="97">
        <f>SUMPRODUCT(MMULT('M5'!$M14:$AZ14,'M1'!AG$10:AG$49))</f>
        <v/>
      </c>
      <c r="AH14" s="97">
        <f>SUMPRODUCT(MMULT('M5'!$M14:$AZ14,'M1'!AH$10:AH$49))</f>
        <v/>
      </c>
      <c r="AI14" s="97">
        <f>SUMPRODUCT(MMULT('M5'!$M14:$AZ14,'M1'!AI$10:AI$49))</f>
        <v/>
      </c>
      <c r="AJ14" s="97">
        <f>SUMPRODUCT(MMULT('M5'!$M14:$AZ14,'M1'!AJ$10:AJ$49))</f>
        <v/>
      </c>
      <c r="AK14" s="97">
        <f>SUMPRODUCT(MMULT('M5'!$M14:$AZ14,'M1'!AK$10:AK$49))</f>
        <v/>
      </c>
      <c r="AL14" s="97">
        <f>SUMPRODUCT(MMULT('M5'!$M14:$AZ14,'M1'!AL$10:AL$49))</f>
        <v/>
      </c>
      <c r="AM14" s="97">
        <f>SUMPRODUCT(MMULT('M5'!$M14:$AZ14,'M1'!AM$10:AM$49))</f>
        <v/>
      </c>
      <c r="AN14" s="97">
        <f>SUMPRODUCT(MMULT('M5'!$M14:$AZ14,'M1'!AN$10:AN$49))</f>
        <v/>
      </c>
      <c r="AO14" s="97">
        <f>SUMPRODUCT(MMULT('M5'!$M14:$AZ14,'M1'!AO$10:AO$49))</f>
        <v/>
      </c>
      <c r="AP14" s="97">
        <f>SUMPRODUCT(MMULT('M5'!$M14:$AZ14,'M1'!AP$10:AP$49))</f>
        <v/>
      </c>
      <c r="AQ14" s="97">
        <f>SUMPRODUCT(MMULT('M5'!$M14:$AZ14,'M1'!AQ$10:AQ$49))</f>
        <v/>
      </c>
      <c r="AR14" s="97">
        <f>SUMPRODUCT(MMULT('M5'!$M14:$AZ14,'M1'!AR$10:AR$49))</f>
        <v/>
      </c>
      <c r="AS14" s="97">
        <f>SUMPRODUCT(MMULT('M5'!$M14:$AZ14,'M1'!AS$10:AS$49))</f>
        <v/>
      </c>
      <c r="AT14" s="97">
        <f>SUMPRODUCT(MMULT('M5'!$M14:$AZ14,'M1'!AT$10:AT$49))</f>
        <v/>
      </c>
      <c r="AU14" s="97">
        <f>SUMPRODUCT(MMULT('M5'!$M14:$AZ14,'M1'!AU$10:AU$49))</f>
        <v/>
      </c>
      <c r="AV14" s="97">
        <f>SUMPRODUCT(MMULT('M5'!$M14:$AZ14,'M1'!AV$10:AV$49))</f>
        <v/>
      </c>
      <c r="AW14" s="97">
        <f>SUMPRODUCT(MMULT('M5'!$M14:$AZ14,'M1'!AW$10:AW$49))</f>
        <v/>
      </c>
      <c r="AX14" s="97">
        <f>SUMPRODUCT(MMULT('M5'!$M14:$AZ14,'M1'!AX$10:AX$49))</f>
        <v/>
      </c>
      <c r="AY14" s="97">
        <f>SUMPRODUCT(MMULT('M5'!$M14:$AZ14,'M1'!AY$10:AY$49))</f>
        <v/>
      </c>
      <c r="AZ14" s="97">
        <f>SUMPRODUCT(MMULT('M5'!$M14:$AZ14,'M1'!AZ$10:AZ$49))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SUMPRODUCT(MMULT('M5'!$M15:$AZ15,'M1'!M$10:M$49))</f>
        <v/>
      </c>
      <c r="N15" s="97">
        <f>SUMPRODUCT(MMULT('M5'!$M15:$AZ15,'M1'!N$10:N$49))</f>
        <v/>
      </c>
      <c r="O15" s="97">
        <f>SUMPRODUCT(MMULT('M5'!$M15:$AZ15,'M1'!O$10:O$49))</f>
        <v/>
      </c>
      <c r="P15" s="97">
        <f>SUMPRODUCT(MMULT('M5'!$M15:$AZ15,'M1'!P$10:P$49))</f>
        <v/>
      </c>
      <c r="Q15" s="97">
        <f>SUMPRODUCT(MMULT('M5'!$M15:$AZ15,'M1'!Q$10:Q$49))</f>
        <v/>
      </c>
      <c r="R15" s="97">
        <f>SUMPRODUCT(MMULT('M5'!$M15:$AZ15,'M1'!R$10:R$49))</f>
        <v/>
      </c>
      <c r="S15" s="97">
        <f>SUMPRODUCT(MMULT('M5'!$M15:$AZ15,'M1'!S$10:S$49))</f>
        <v/>
      </c>
      <c r="T15" s="97">
        <f>SUMPRODUCT(MMULT('M5'!$M15:$AZ15,'M1'!T$10:T$49))</f>
        <v/>
      </c>
      <c r="U15" s="97">
        <f>SUMPRODUCT(MMULT('M5'!$M15:$AZ15,'M1'!U$10:U$49))</f>
        <v/>
      </c>
      <c r="V15" s="97">
        <f>SUMPRODUCT(MMULT('M5'!$M15:$AZ15,'M1'!V$10:V$49))</f>
        <v/>
      </c>
      <c r="W15" s="97">
        <f>SUMPRODUCT(MMULT('M5'!$M15:$AZ15,'M1'!W$10:W$49))</f>
        <v/>
      </c>
      <c r="X15" s="97">
        <f>SUMPRODUCT(MMULT('M5'!$M15:$AZ15,'M1'!X$10:X$49))</f>
        <v/>
      </c>
      <c r="Y15" s="97">
        <f>SUMPRODUCT(MMULT('M5'!$M15:$AZ15,'M1'!Y$10:Y$49))</f>
        <v/>
      </c>
      <c r="Z15" s="97">
        <f>SUMPRODUCT(MMULT('M5'!$M15:$AZ15,'M1'!Z$10:Z$49))</f>
        <v/>
      </c>
      <c r="AA15" s="97">
        <f>SUMPRODUCT(MMULT('M5'!$M15:$AZ15,'M1'!AA$10:AA$49))</f>
        <v/>
      </c>
      <c r="AB15" s="97">
        <f>SUMPRODUCT(MMULT('M5'!$M15:$AZ15,'M1'!AB$10:AB$49))</f>
        <v/>
      </c>
      <c r="AC15" s="97">
        <f>SUMPRODUCT(MMULT('M5'!$M15:$AZ15,'M1'!AC$10:AC$49))</f>
        <v/>
      </c>
      <c r="AD15" s="97">
        <f>SUMPRODUCT(MMULT('M5'!$M15:$AZ15,'M1'!AD$10:AD$49))</f>
        <v/>
      </c>
      <c r="AE15" s="97">
        <f>SUMPRODUCT(MMULT('M5'!$M15:$AZ15,'M1'!AE$10:AE$49))</f>
        <v/>
      </c>
      <c r="AF15" s="97">
        <f>SUMPRODUCT(MMULT('M5'!$M15:$AZ15,'M1'!AF$10:AF$49))</f>
        <v/>
      </c>
      <c r="AG15" s="97">
        <f>SUMPRODUCT(MMULT('M5'!$M15:$AZ15,'M1'!AG$10:AG$49))</f>
        <v/>
      </c>
      <c r="AH15" s="97">
        <f>SUMPRODUCT(MMULT('M5'!$M15:$AZ15,'M1'!AH$10:AH$49))</f>
        <v/>
      </c>
      <c r="AI15" s="97">
        <f>SUMPRODUCT(MMULT('M5'!$M15:$AZ15,'M1'!AI$10:AI$49))</f>
        <v/>
      </c>
      <c r="AJ15" s="97">
        <f>SUMPRODUCT(MMULT('M5'!$M15:$AZ15,'M1'!AJ$10:AJ$49))</f>
        <v/>
      </c>
      <c r="AK15" s="97">
        <f>SUMPRODUCT(MMULT('M5'!$M15:$AZ15,'M1'!AK$10:AK$49))</f>
        <v/>
      </c>
      <c r="AL15" s="97">
        <f>SUMPRODUCT(MMULT('M5'!$M15:$AZ15,'M1'!AL$10:AL$49))</f>
        <v/>
      </c>
      <c r="AM15" s="97">
        <f>SUMPRODUCT(MMULT('M5'!$M15:$AZ15,'M1'!AM$10:AM$49))</f>
        <v/>
      </c>
      <c r="AN15" s="97">
        <f>SUMPRODUCT(MMULT('M5'!$M15:$AZ15,'M1'!AN$10:AN$49))</f>
        <v/>
      </c>
      <c r="AO15" s="97">
        <f>SUMPRODUCT(MMULT('M5'!$M15:$AZ15,'M1'!AO$10:AO$49))</f>
        <v/>
      </c>
      <c r="AP15" s="97">
        <f>SUMPRODUCT(MMULT('M5'!$M15:$AZ15,'M1'!AP$10:AP$49))</f>
        <v/>
      </c>
      <c r="AQ15" s="97">
        <f>SUMPRODUCT(MMULT('M5'!$M15:$AZ15,'M1'!AQ$10:AQ$49))</f>
        <v/>
      </c>
      <c r="AR15" s="97">
        <f>SUMPRODUCT(MMULT('M5'!$M15:$AZ15,'M1'!AR$10:AR$49))</f>
        <v/>
      </c>
      <c r="AS15" s="97">
        <f>SUMPRODUCT(MMULT('M5'!$M15:$AZ15,'M1'!AS$10:AS$49))</f>
        <v/>
      </c>
      <c r="AT15" s="97">
        <f>SUMPRODUCT(MMULT('M5'!$M15:$AZ15,'M1'!AT$10:AT$49))</f>
        <v/>
      </c>
      <c r="AU15" s="97">
        <f>SUMPRODUCT(MMULT('M5'!$M15:$AZ15,'M1'!AU$10:AU$49))</f>
        <v/>
      </c>
      <c r="AV15" s="97">
        <f>SUMPRODUCT(MMULT('M5'!$M15:$AZ15,'M1'!AV$10:AV$49))</f>
        <v/>
      </c>
      <c r="AW15" s="97">
        <f>SUMPRODUCT(MMULT('M5'!$M15:$AZ15,'M1'!AW$10:AW$49))</f>
        <v/>
      </c>
      <c r="AX15" s="97">
        <f>SUMPRODUCT(MMULT('M5'!$M15:$AZ15,'M1'!AX$10:AX$49))</f>
        <v/>
      </c>
      <c r="AY15" s="97">
        <f>SUMPRODUCT(MMULT('M5'!$M15:$AZ15,'M1'!AY$10:AY$49))</f>
        <v/>
      </c>
      <c r="AZ15" s="97">
        <f>SUMPRODUCT(MMULT('M5'!$M15:$AZ15,'M1'!AZ$10:AZ$49))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SUMPRODUCT(MMULT('M5'!$M16:$AZ16,'M1'!M$10:M$49))</f>
        <v/>
      </c>
      <c r="N16" s="97">
        <f>SUMPRODUCT(MMULT('M5'!$M16:$AZ16,'M1'!N$10:N$49))</f>
        <v/>
      </c>
      <c r="O16" s="97">
        <f>SUMPRODUCT(MMULT('M5'!$M16:$AZ16,'M1'!O$10:O$49))</f>
        <v/>
      </c>
      <c r="P16" s="97">
        <f>SUMPRODUCT(MMULT('M5'!$M16:$AZ16,'M1'!P$10:P$49))</f>
        <v/>
      </c>
      <c r="Q16" s="97">
        <f>SUMPRODUCT(MMULT('M5'!$M16:$AZ16,'M1'!Q$10:Q$49))</f>
        <v/>
      </c>
      <c r="R16" s="97">
        <f>SUMPRODUCT(MMULT('M5'!$M16:$AZ16,'M1'!R$10:R$49))</f>
        <v/>
      </c>
      <c r="S16" s="97">
        <f>SUMPRODUCT(MMULT('M5'!$M16:$AZ16,'M1'!S$10:S$49))</f>
        <v/>
      </c>
      <c r="T16" s="97">
        <f>SUMPRODUCT(MMULT('M5'!$M16:$AZ16,'M1'!T$10:T$49))</f>
        <v/>
      </c>
      <c r="U16" s="97">
        <f>SUMPRODUCT(MMULT('M5'!$M16:$AZ16,'M1'!U$10:U$49))</f>
        <v/>
      </c>
      <c r="V16" s="97">
        <f>SUMPRODUCT(MMULT('M5'!$M16:$AZ16,'M1'!V$10:V$49))</f>
        <v/>
      </c>
      <c r="W16" s="97">
        <f>SUMPRODUCT(MMULT('M5'!$M16:$AZ16,'M1'!W$10:W$49))</f>
        <v/>
      </c>
      <c r="X16" s="97">
        <f>SUMPRODUCT(MMULT('M5'!$M16:$AZ16,'M1'!X$10:X$49))</f>
        <v/>
      </c>
      <c r="Y16" s="97">
        <f>SUMPRODUCT(MMULT('M5'!$M16:$AZ16,'M1'!Y$10:Y$49))</f>
        <v/>
      </c>
      <c r="Z16" s="97">
        <f>SUMPRODUCT(MMULT('M5'!$M16:$AZ16,'M1'!Z$10:Z$49))</f>
        <v/>
      </c>
      <c r="AA16" s="97">
        <f>SUMPRODUCT(MMULT('M5'!$M16:$AZ16,'M1'!AA$10:AA$49))</f>
        <v/>
      </c>
      <c r="AB16" s="97">
        <f>SUMPRODUCT(MMULT('M5'!$M16:$AZ16,'M1'!AB$10:AB$49))</f>
        <v/>
      </c>
      <c r="AC16" s="97">
        <f>SUMPRODUCT(MMULT('M5'!$M16:$AZ16,'M1'!AC$10:AC$49))</f>
        <v/>
      </c>
      <c r="AD16" s="97">
        <f>SUMPRODUCT(MMULT('M5'!$M16:$AZ16,'M1'!AD$10:AD$49))</f>
        <v/>
      </c>
      <c r="AE16" s="97">
        <f>SUMPRODUCT(MMULT('M5'!$M16:$AZ16,'M1'!AE$10:AE$49))</f>
        <v/>
      </c>
      <c r="AF16" s="97">
        <f>SUMPRODUCT(MMULT('M5'!$M16:$AZ16,'M1'!AF$10:AF$49))</f>
        <v/>
      </c>
      <c r="AG16" s="97">
        <f>SUMPRODUCT(MMULT('M5'!$M16:$AZ16,'M1'!AG$10:AG$49))</f>
        <v/>
      </c>
      <c r="AH16" s="97">
        <f>SUMPRODUCT(MMULT('M5'!$M16:$AZ16,'M1'!AH$10:AH$49))</f>
        <v/>
      </c>
      <c r="AI16" s="97">
        <f>SUMPRODUCT(MMULT('M5'!$M16:$AZ16,'M1'!AI$10:AI$49))</f>
        <v/>
      </c>
      <c r="AJ16" s="97">
        <f>SUMPRODUCT(MMULT('M5'!$M16:$AZ16,'M1'!AJ$10:AJ$49))</f>
        <v/>
      </c>
      <c r="AK16" s="97">
        <f>SUMPRODUCT(MMULT('M5'!$M16:$AZ16,'M1'!AK$10:AK$49))</f>
        <v/>
      </c>
      <c r="AL16" s="97">
        <f>SUMPRODUCT(MMULT('M5'!$M16:$AZ16,'M1'!AL$10:AL$49))</f>
        <v/>
      </c>
      <c r="AM16" s="97">
        <f>SUMPRODUCT(MMULT('M5'!$M16:$AZ16,'M1'!AM$10:AM$49))</f>
        <v/>
      </c>
      <c r="AN16" s="97">
        <f>SUMPRODUCT(MMULT('M5'!$M16:$AZ16,'M1'!AN$10:AN$49))</f>
        <v/>
      </c>
      <c r="AO16" s="97">
        <f>SUMPRODUCT(MMULT('M5'!$M16:$AZ16,'M1'!AO$10:AO$49))</f>
        <v/>
      </c>
      <c r="AP16" s="97">
        <f>SUMPRODUCT(MMULT('M5'!$M16:$AZ16,'M1'!AP$10:AP$49))</f>
        <v/>
      </c>
      <c r="AQ16" s="97">
        <f>SUMPRODUCT(MMULT('M5'!$M16:$AZ16,'M1'!AQ$10:AQ$49))</f>
        <v/>
      </c>
      <c r="AR16" s="97">
        <f>SUMPRODUCT(MMULT('M5'!$M16:$AZ16,'M1'!AR$10:AR$49))</f>
        <v/>
      </c>
      <c r="AS16" s="97">
        <f>SUMPRODUCT(MMULT('M5'!$M16:$AZ16,'M1'!AS$10:AS$49))</f>
        <v/>
      </c>
      <c r="AT16" s="97">
        <f>SUMPRODUCT(MMULT('M5'!$M16:$AZ16,'M1'!AT$10:AT$49))</f>
        <v/>
      </c>
      <c r="AU16" s="97">
        <f>SUMPRODUCT(MMULT('M5'!$M16:$AZ16,'M1'!AU$10:AU$49))</f>
        <v/>
      </c>
      <c r="AV16" s="97">
        <f>SUMPRODUCT(MMULT('M5'!$M16:$AZ16,'M1'!AV$10:AV$49))</f>
        <v/>
      </c>
      <c r="AW16" s="97">
        <f>SUMPRODUCT(MMULT('M5'!$M16:$AZ16,'M1'!AW$10:AW$49))</f>
        <v/>
      </c>
      <c r="AX16" s="97">
        <f>SUMPRODUCT(MMULT('M5'!$M16:$AZ16,'M1'!AX$10:AX$49))</f>
        <v/>
      </c>
      <c r="AY16" s="97">
        <f>SUMPRODUCT(MMULT('M5'!$M16:$AZ16,'M1'!AY$10:AY$49))</f>
        <v/>
      </c>
      <c r="AZ16" s="97">
        <f>SUMPRODUCT(MMULT('M5'!$M16:$AZ16,'M1'!AZ$10:AZ$49))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SUMPRODUCT(MMULT('M5'!$M17:$AZ17,'M1'!M$10:M$49))</f>
        <v/>
      </c>
      <c r="N17" s="97">
        <f>SUMPRODUCT(MMULT('M5'!$M17:$AZ17,'M1'!N$10:N$49))</f>
        <v/>
      </c>
      <c r="O17" s="97">
        <f>SUMPRODUCT(MMULT('M5'!$M17:$AZ17,'M1'!O$10:O$49))</f>
        <v/>
      </c>
      <c r="P17" s="97">
        <f>SUMPRODUCT(MMULT('M5'!$M17:$AZ17,'M1'!P$10:P$49))</f>
        <v/>
      </c>
      <c r="Q17" s="97">
        <f>SUMPRODUCT(MMULT('M5'!$M17:$AZ17,'M1'!Q$10:Q$49))</f>
        <v/>
      </c>
      <c r="R17" s="97">
        <f>SUMPRODUCT(MMULT('M5'!$M17:$AZ17,'M1'!R$10:R$49))</f>
        <v/>
      </c>
      <c r="S17" s="97">
        <f>SUMPRODUCT(MMULT('M5'!$M17:$AZ17,'M1'!S$10:S$49))</f>
        <v/>
      </c>
      <c r="T17" s="97">
        <f>SUMPRODUCT(MMULT('M5'!$M17:$AZ17,'M1'!T$10:T$49))</f>
        <v/>
      </c>
      <c r="U17" s="97">
        <f>SUMPRODUCT(MMULT('M5'!$M17:$AZ17,'M1'!U$10:U$49))</f>
        <v/>
      </c>
      <c r="V17" s="97">
        <f>SUMPRODUCT(MMULT('M5'!$M17:$AZ17,'M1'!V$10:V$49))</f>
        <v/>
      </c>
      <c r="W17" s="97">
        <f>SUMPRODUCT(MMULT('M5'!$M17:$AZ17,'M1'!W$10:W$49))</f>
        <v/>
      </c>
      <c r="X17" s="97">
        <f>SUMPRODUCT(MMULT('M5'!$M17:$AZ17,'M1'!X$10:X$49))</f>
        <v/>
      </c>
      <c r="Y17" s="97">
        <f>SUMPRODUCT(MMULT('M5'!$M17:$AZ17,'M1'!Y$10:Y$49))</f>
        <v/>
      </c>
      <c r="Z17" s="97">
        <f>SUMPRODUCT(MMULT('M5'!$M17:$AZ17,'M1'!Z$10:Z$49))</f>
        <v/>
      </c>
      <c r="AA17" s="97">
        <f>SUMPRODUCT(MMULT('M5'!$M17:$AZ17,'M1'!AA$10:AA$49))</f>
        <v/>
      </c>
      <c r="AB17" s="97">
        <f>SUMPRODUCT(MMULT('M5'!$M17:$AZ17,'M1'!AB$10:AB$49))</f>
        <v/>
      </c>
      <c r="AC17" s="97">
        <f>SUMPRODUCT(MMULT('M5'!$M17:$AZ17,'M1'!AC$10:AC$49))</f>
        <v/>
      </c>
      <c r="AD17" s="97">
        <f>SUMPRODUCT(MMULT('M5'!$M17:$AZ17,'M1'!AD$10:AD$49))</f>
        <v/>
      </c>
      <c r="AE17" s="97">
        <f>SUMPRODUCT(MMULT('M5'!$M17:$AZ17,'M1'!AE$10:AE$49))</f>
        <v/>
      </c>
      <c r="AF17" s="97">
        <f>SUMPRODUCT(MMULT('M5'!$M17:$AZ17,'M1'!AF$10:AF$49))</f>
        <v/>
      </c>
      <c r="AG17" s="97">
        <f>SUMPRODUCT(MMULT('M5'!$M17:$AZ17,'M1'!AG$10:AG$49))</f>
        <v/>
      </c>
      <c r="AH17" s="97">
        <f>SUMPRODUCT(MMULT('M5'!$M17:$AZ17,'M1'!AH$10:AH$49))</f>
        <v/>
      </c>
      <c r="AI17" s="97">
        <f>SUMPRODUCT(MMULT('M5'!$M17:$AZ17,'M1'!AI$10:AI$49))</f>
        <v/>
      </c>
      <c r="AJ17" s="97">
        <f>SUMPRODUCT(MMULT('M5'!$M17:$AZ17,'M1'!AJ$10:AJ$49))</f>
        <v/>
      </c>
      <c r="AK17" s="97">
        <f>SUMPRODUCT(MMULT('M5'!$M17:$AZ17,'M1'!AK$10:AK$49))</f>
        <v/>
      </c>
      <c r="AL17" s="97">
        <f>SUMPRODUCT(MMULT('M5'!$M17:$AZ17,'M1'!AL$10:AL$49))</f>
        <v/>
      </c>
      <c r="AM17" s="97">
        <f>SUMPRODUCT(MMULT('M5'!$M17:$AZ17,'M1'!AM$10:AM$49))</f>
        <v/>
      </c>
      <c r="AN17" s="97">
        <f>SUMPRODUCT(MMULT('M5'!$M17:$AZ17,'M1'!AN$10:AN$49))</f>
        <v/>
      </c>
      <c r="AO17" s="97">
        <f>SUMPRODUCT(MMULT('M5'!$M17:$AZ17,'M1'!AO$10:AO$49))</f>
        <v/>
      </c>
      <c r="AP17" s="97">
        <f>SUMPRODUCT(MMULT('M5'!$M17:$AZ17,'M1'!AP$10:AP$49))</f>
        <v/>
      </c>
      <c r="AQ17" s="97">
        <f>SUMPRODUCT(MMULT('M5'!$M17:$AZ17,'M1'!AQ$10:AQ$49))</f>
        <v/>
      </c>
      <c r="AR17" s="97">
        <f>SUMPRODUCT(MMULT('M5'!$M17:$AZ17,'M1'!AR$10:AR$49))</f>
        <v/>
      </c>
      <c r="AS17" s="97">
        <f>SUMPRODUCT(MMULT('M5'!$M17:$AZ17,'M1'!AS$10:AS$49))</f>
        <v/>
      </c>
      <c r="AT17" s="97">
        <f>SUMPRODUCT(MMULT('M5'!$M17:$AZ17,'M1'!AT$10:AT$49))</f>
        <v/>
      </c>
      <c r="AU17" s="97">
        <f>SUMPRODUCT(MMULT('M5'!$M17:$AZ17,'M1'!AU$10:AU$49))</f>
        <v/>
      </c>
      <c r="AV17" s="97">
        <f>SUMPRODUCT(MMULT('M5'!$M17:$AZ17,'M1'!AV$10:AV$49))</f>
        <v/>
      </c>
      <c r="AW17" s="97">
        <f>SUMPRODUCT(MMULT('M5'!$M17:$AZ17,'M1'!AW$10:AW$49))</f>
        <v/>
      </c>
      <c r="AX17" s="97">
        <f>SUMPRODUCT(MMULT('M5'!$M17:$AZ17,'M1'!AX$10:AX$49))</f>
        <v/>
      </c>
      <c r="AY17" s="97">
        <f>SUMPRODUCT(MMULT('M5'!$M17:$AZ17,'M1'!AY$10:AY$49))</f>
        <v/>
      </c>
      <c r="AZ17" s="97">
        <f>SUMPRODUCT(MMULT('M5'!$M17:$AZ17,'M1'!AZ$10:AZ$49))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SUMPRODUCT(MMULT('M5'!$M18:$AZ18,'M1'!M$10:M$49))</f>
        <v/>
      </c>
      <c r="N18" s="97">
        <f>SUMPRODUCT(MMULT('M5'!$M18:$AZ18,'M1'!N$10:N$49))</f>
        <v/>
      </c>
      <c r="O18" s="97">
        <f>SUMPRODUCT(MMULT('M5'!$M18:$AZ18,'M1'!O$10:O$49))</f>
        <v/>
      </c>
      <c r="P18" s="97">
        <f>SUMPRODUCT(MMULT('M5'!$M18:$AZ18,'M1'!P$10:P$49))</f>
        <v/>
      </c>
      <c r="Q18" s="97">
        <f>SUMPRODUCT(MMULT('M5'!$M18:$AZ18,'M1'!Q$10:Q$49))</f>
        <v/>
      </c>
      <c r="R18" s="97">
        <f>SUMPRODUCT(MMULT('M5'!$M18:$AZ18,'M1'!R$10:R$49))</f>
        <v/>
      </c>
      <c r="S18" s="97">
        <f>SUMPRODUCT(MMULT('M5'!$M18:$AZ18,'M1'!S$10:S$49))</f>
        <v/>
      </c>
      <c r="T18" s="97">
        <f>SUMPRODUCT(MMULT('M5'!$M18:$AZ18,'M1'!T$10:T$49))</f>
        <v/>
      </c>
      <c r="U18" s="97">
        <f>SUMPRODUCT(MMULT('M5'!$M18:$AZ18,'M1'!U$10:U$49))</f>
        <v/>
      </c>
      <c r="V18" s="97">
        <f>SUMPRODUCT(MMULT('M5'!$M18:$AZ18,'M1'!V$10:V$49))</f>
        <v/>
      </c>
      <c r="W18" s="97">
        <f>SUMPRODUCT(MMULT('M5'!$M18:$AZ18,'M1'!W$10:W$49))</f>
        <v/>
      </c>
      <c r="X18" s="97">
        <f>SUMPRODUCT(MMULT('M5'!$M18:$AZ18,'M1'!X$10:X$49))</f>
        <v/>
      </c>
      <c r="Y18" s="97">
        <f>SUMPRODUCT(MMULT('M5'!$M18:$AZ18,'M1'!Y$10:Y$49))</f>
        <v/>
      </c>
      <c r="Z18" s="97">
        <f>SUMPRODUCT(MMULT('M5'!$M18:$AZ18,'M1'!Z$10:Z$49))</f>
        <v/>
      </c>
      <c r="AA18" s="97">
        <f>SUMPRODUCT(MMULT('M5'!$M18:$AZ18,'M1'!AA$10:AA$49))</f>
        <v/>
      </c>
      <c r="AB18" s="97">
        <f>SUMPRODUCT(MMULT('M5'!$M18:$AZ18,'M1'!AB$10:AB$49))</f>
        <v/>
      </c>
      <c r="AC18" s="97">
        <f>SUMPRODUCT(MMULT('M5'!$M18:$AZ18,'M1'!AC$10:AC$49))</f>
        <v/>
      </c>
      <c r="AD18" s="97">
        <f>SUMPRODUCT(MMULT('M5'!$M18:$AZ18,'M1'!AD$10:AD$49))</f>
        <v/>
      </c>
      <c r="AE18" s="97">
        <f>SUMPRODUCT(MMULT('M5'!$M18:$AZ18,'M1'!AE$10:AE$49))</f>
        <v/>
      </c>
      <c r="AF18" s="97">
        <f>SUMPRODUCT(MMULT('M5'!$M18:$AZ18,'M1'!AF$10:AF$49))</f>
        <v/>
      </c>
      <c r="AG18" s="97">
        <f>SUMPRODUCT(MMULT('M5'!$M18:$AZ18,'M1'!AG$10:AG$49))</f>
        <v/>
      </c>
      <c r="AH18" s="97">
        <f>SUMPRODUCT(MMULT('M5'!$M18:$AZ18,'M1'!AH$10:AH$49))</f>
        <v/>
      </c>
      <c r="AI18" s="97">
        <f>SUMPRODUCT(MMULT('M5'!$M18:$AZ18,'M1'!AI$10:AI$49))</f>
        <v/>
      </c>
      <c r="AJ18" s="97">
        <f>SUMPRODUCT(MMULT('M5'!$M18:$AZ18,'M1'!AJ$10:AJ$49))</f>
        <v/>
      </c>
      <c r="AK18" s="97">
        <f>SUMPRODUCT(MMULT('M5'!$M18:$AZ18,'M1'!AK$10:AK$49))</f>
        <v/>
      </c>
      <c r="AL18" s="97">
        <f>SUMPRODUCT(MMULT('M5'!$M18:$AZ18,'M1'!AL$10:AL$49))</f>
        <v/>
      </c>
      <c r="AM18" s="97">
        <f>SUMPRODUCT(MMULT('M5'!$M18:$AZ18,'M1'!AM$10:AM$49))</f>
        <v/>
      </c>
      <c r="AN18" s="97">
        <f>SUMPRODUCT(MMULT('M5'!$M18:$AZ18,'M1'!AN$10:AN$49))</f>
        <v/>
      </c>
      <c r="AO18" s="97">
        <f>SUMPRODUCT(MMULT('M5'!$M18:$AZ18,'M1'!AO$10:AO$49))</f>
        <v/>
      </c>
      <c r="AP18" s="97">
        <f>SUMPRODUCT(MMULT('M5'!$M18:$AZ18,'M1'!AP$10:AP$49))</f>
        <v/>
      </c>
      <c r="AQ18" s="97">
        <f>SUMPRODUCT(MMULT('M5'!$M18:$AZ18,'M1'!AQ$10:AQ$49))</f>
        <v/>
      </c>
      <c r="AR18" s="97">
        <f>SUMPRODUCT(MMULT('M5'!$M18:$AZ18,'M1'!AR$10:AR$49))</f>
        <v/>
      </c>
      <c r="AS18" s="97">
        <f>SUMPRODUCT(MMULT('M5'!$M18:$AZ18,'M1'!AS$10:AS$49))</f>
        <v/>
      </c>
      <c r="AT18" s="97">
        <f>SUMPRODUCT(MMULT('M5'!$M18:$AZ18,'M1'!AT$10:AT$49))</f>
        <v/>
      </c>
      <c r="AU18" s="97">
        <f>SUMPRODUCT(MMULT('M5'!$M18:$AZ18,'M1'!AU$10:AU$49))</f>
        <v/>
      </c>
      <c r="AV18" s="97">
        <f>SUMPRODUCT(MMULT('M5'!$M18:$AZ18,'M1'!AV$10:AV$49))</f>
        <v/>
      </c>
      <c r="AW18" s="97">
        <f>SUMPRODUCT(MMULT('M5'!$M18:$AZ18,'M1'!AW$10:AW$49))</f>
        <v/>
      </c>
      <c r="AX18" s="97">
        <f>SUMPRODUCT(MMULT('M5'!$M18:$AZ18,'M1'!AX$10:AX$49))</f>
        <v/>
      </c>
      <c r="AY18" s="97">
        <f>SUMPRODUCT(MMULT('M5'!$M18:$AZ18,'M1'!AY$10:AY$49))</f>
        <v/>
      </c>
      <c r="AZ18" s="97">
        <f>SUMPRODUCT(MMULT('M5'!$M18:$AZ18,'M1'!AZ$10:AZ$49))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SUMPRODUCT(MMULT('M5'!$M19:$AZ19,'M1'!M$10:M$49))</f>
        <v/>
      </c>
      <c r="N19" s="97">
        <f>SUMPRODUCT(MMULT('M5'!$M19:$AZ19,'M1'!N$10:N$49))</f>
        <v/>
      </c>
      <c r="O19" s="97">
        <f>SUMPRODUCT(MMULT('M5'!$M19:$AZ19,'M1'!O$10:O$49))</f>
        <v/>
      </c>
      <c r="P19" s="97">
        <f>SUMPRODUCT(MMULT('M5'!$M19:$AZ19,'M1'!P$10:P$49))</f>
        <v/>
      </c>
      <c r="Q19" s="97">
        <f>SUMPRODUCT(MMULT('M5'!$M19:$AZ19,'M1'!Q$10:Q$49))</f>
        <v/>
      </c>
      <c r="R19" s="97">
        <f>SUMPRODUCT(MMULT('M5'!$M19:$AZ19,'M1'!R$10:R$49))</f>
        <v/>
      </c>
      <c r="S19" s="97">
        <f>SUMPRODUCT(MMULT('M5'!$M19:$AZ19,'M1'!S$10:S$49))</f>
        <v/>
      </c>
      <c r="T19" s="97">
        <f>SUMPRODUCT(MMULT('M5'!$M19:$AZ19,'M1'!T$10:T$49))</f>
        <v/>
      </c>
      <c r="U19" s="97">
        <f>SUMPRODUCT(MMULT('M5'!$M19:$AZ19,'M1'!U$10:U$49))</f>
        <v/>
      </c>
      <c r="V19" s="97">
        <f>SUMPRODUCT(MMULT('M5'!$M19:$AZ19,'M1'!V$10:V$49))</f>
        <v/>
      </c>
      <c r="W19" s="97">
        <f>SUMPRODUCT(MMULT('M5'!$M19:$AZ19,'M1'!W$10:W$49))</f>
        <v/>
      </c>
      <c r="X19" s="97">
        <f>SUMPRODUCT(MMULT('M5'!$M19:$AZ19,'M1'!X$10:X$49))</f>
        <v/>
      </c>
      <c r="Y19" s="97">
        <f>SUMPRODUCT(MMULT('M5'!$M19:$AZ19,'M1'!Y$10:Y$49))</f>
        <v/>
      </c>
      <c r="Z19" s="97">
        <f>SUMPRODUCT(MMULT('M5'!$M19:$AZ19,'M1'!Z$10:Z$49))</f>
        <v/>
      </c>
      <c r="AA19" s="97">
        <f>SUMPRODUCT(MMULT('M5'!$M19:$AZ19,'M1'!AA$10:AA$49))</f>
        <v/>
      </c>
      <c r="AB19" s="97">
        <f>SUMPRODUCT(MMULT('M5'!$M19:$AZ19,'M1'!AB$10:AB$49))</f>
        <v/>
      </c>
      <c r="AC19" s="97">
        <f>SUMPRODUCT(MMULT('M5'!$M19:$AZ19,'M1'!AC$10:AC$49))</f>
        <v/>
      </c>
      <c r="AD19" s="97">
        <f>SUMPRODUCT(MMULT('M5'!$M19:$AZ19,'M1'!AD$10:AD$49))</f>
        <v/>
      </c>
      <c r="AE19" s="97">
        <f>SUMPRODUCT(MMULT('M5'!$M19:$AZ19,'M1'!AE$10:AE$49))</f>
        <v/>
      </c>
      <c r="AF19" s="97">
        <f>SUMPRODUCT(MMULT('M5'!$M19:$AZ19,'M1'!AF$10:AF$49))</f>
        <v/>
      </c>
      <c r="AG19" s="97">
        <f>SUMPRODUCT(MMULT('M5'!$M19:$AZ19,'M1'!AG$10:AG$49))</f>
        <v/>
      </c>
      <c r="AH19" s="97">
        <f>SUMPRODUCT(MMULT('M5'!$M19:$AZ19,'M1'!AH$10:AH$49))</f>
        <v/>
      </c>
      <c r="AI19" s="97">
        <f>SUMPRODUCT(MMULT('M5'!$M19:$AZ19,'M1'!AI$10:AI$49))</f>
        <v/>
      </c>
      <c r="AJ19" s="97">
        <f>SUMPRODUCT(MMULT('M5'!$M19:$AZ19,'M1'!AJ$10:AJ$49))</f>
        <v/>
      </c>
      <c r="AK19" s="97">
        <f>SUMPRODUCT(MMULT('M5'!$M19:$AZ19,'M1'!AK$10:AK$49))</f>
        <v/>
      </c>
      <c r="AL19" s="97">
        <f>SUMPRODUCT(MMULT('M5'!$M19:$AZ19,'M1'!AL$10:AL$49))</f>
        <v/>
      </c>
      <c r="AM19" s="97">
        <f>SUMPRODUCT(MMULT('M5'!$M19:$AZ19,'M1'!AM$10:AM$49))</f>
        <v/>
      </c>
      <c r="AN19" s="97">
        <f>SUMPRODUCT(MMULT('M5'!$M19:$AZ19,'M1'!AN$10:AN$49))</f>
        <v/>
      </c>
      <c r="AO19" s="97">
        <f>SUMPRODUCT(MMULT('M5'!$M19:$AZ19,'M1'!AO$10:AO$49))</f>
        <v/>
      </c>
      <c r="AP19" s="97">
        <f>SUMPRODUCT(MMULT('M5'!$M19:$AZ19,'M1'!AP$10:AP$49))</f>
        <v/>
      </c>
      <c r="AQ19" s="97">
        <f>SUMPRODUCT(MMULT('M5'!$M19:$AZ19,'M1'!AQ$10:AQ$49))</f>
        <v/>
      </c>
      <c r="AR19" s="97">
        <f>SUMPRODUCT(MMULT('M5'!$M19:$AZ19,'M1'!AR$10:AR$49))</f>
        <v/>
      </c>
      <c r="AS19" s="97">
        <f>SUMPRODUCT(MMULT('M5'!$M19:$AZ19,'M1'!AS$10:AS$49))</f>
        <v/>
      </c>
      <c r="AT19" s="97">
        <f>SUMPRODUCT(MMULT('M5'!$M19:$AZ19,'M1'!AT$10:AT$49))</f>
        <v/>
      </c>
      <c r="AU19" s="97">
        <f>SUMPRODUCT(MMULT('M5'!$M19:$AZ19,'M1'!AU$10:AU$49))</f>
        <v/>
      </c>
      <c r="AV19" s="97">
        <f>SUMPRODUCT(MMULT('M5'!$M19:$AZ19,'M1'!AV$10:AV$49))</f>
        <v/>
      </c>
      <c r="AW19" s="97">
        <f>SUMPRODUCT(MMULT('M5'!$M19:$AZ19,'M1'!AW$10:AW$49))</f>
        <v/>
      </c>
      <c r="AX19" s="97">
        <f>SUMPRODUCT(MMULT('M5'!$M19:$AZ19,'M1'!AX$10:AX$49))</f>
        <v/>
      </c>
      <c r="AY19" s="97">
        <f>SUMPRODUCT(MMULT('M5'!$M19:$AZ19,'M1'!AY$10:AY$49))</f>
        <v/>
      </c>
      <c r="AZ19" s="97">
        <f>SUMPRODUCT(MMULT('M5'!$M19:$AZ19,'M1'!AZ$10:AZ$49))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SUMPRODUCT(MMULT('M5'!$M20:$AZ20,'M1'!M$10:M$49))</f>
        <v/>
      </c>
      <c r="N20" s="97">
        <f>SUMPRODUCT(MMULT('M5'!$M20:$AZ20,'M1'!N$10:N$49))</f>
        <v/>
      </c>
      <c r="O20" s="97">
        <f>SUMPRODUCT(MMULT('M5'!$M20:$AZ20,'M1'!O$10:O$49))</f>
        <v/>
      </c>
      <c r="P20" s="97">
        <f>SUMPRODUCT(MMULT('M5'!$M20:$AZ20,'M1'!P$10:P$49))</f>
        <v/>
      </c>
      <c r="Q20" s="97">
        <f>SUMPRODUCT(MMULT('M5'!$M20:$AZ20,'M1'!Q$10:Q$49))</f>
        <v/>
      </c>
      <c r="R20" s="97">
        <f>SUMPRODUCT(MMULT('M5'!$M20:$AZ20,'M1'!R$10:R$49))</f>
        <v/>
      </c>
      <c r="S20" s="97">
        <f>SUMPRODUCT(MMULT('M5'!$M20:$AZ20,'M1'!S$10:S$49))</f>
        <v/>
      </c>
      <c r="T20" s="97">
        <f>SUMPRODUCT(MMULT('M5'!$M20:$AZ20,'M1'!T$10:T$49))</f>
        <v/>
      </c>
      <c r="U20" s="97">
        <f>SUMPRODUCT(MMULT('M5'!$M20:$AZ20,'M1'!U$10:U$49))</f>
        <v/>
      </c>
      <c r="V20" s="97">
        <f>SUMPRODUCT(MMULT('M5'!$M20:$AZ20,'M1'!V$10:V$49))</f>
        <v/>
      </c>
      <c r="W20" s="97">
        <f>SUMPRODUCT(MMULT('M5'!$M20:$AZ20,'M1'!W$10:W$49))</f>
        <v/>
      </c>
      <c r="X20" s="97">
        <f>SUMPRODUCT(MMULT('M5'!$M20:$AZ20,'M1'!X$10:X$49))</f>
        <v/>
      </c>
      <c r="Y20" s="97">
        <f>SUMPRODUCT(MMULT('M5'!$M20:$AZ20,'M1'!Y$10:Y$49))</f>
        <v/>
      </c>
      <c r="Z20" s="97">
        <f>SUMPRODUCT(MMULT('M5'!$M20:$AZ20,'M1'!Z$10:Z$49))</f>
        <v/>
      </c>
      <c r="AA20" s="97">
        <f>SUMPRODUCT(MMULT('M5'!$M20:$AZ20,'M1'!AA$10:AA$49))</f>
        <v/>
      </c>
      <c r="AB20" s="97">
        <f>SUMPRODUCT(MMULT('M5'!$M20:$AZ20,'M1'!AB$10:AB$49))</f>
        <v/>
      </c>
      <c r="AC20" s="97">
        <f>SUMPRODUCT(MMULT('M5'!$M20:$AZ20,'M1'!AC$10:AC$49))</f>
        <v/>
      </c>
      <c r="AD20" s="97">
        <f>SUMPRODUCT(MMULT('M5'!$M20:$AZ20,'M1'!AD$10:AD$49))</f>
        <v/>
      </c>
      <c r="AE20" s="97">
        <f>SUMPRODUCT(MMULT('M5'!$M20:$AZ20,'M1'!AE$10:AE$49))</f>
        <v/>
      </c>
      <c r="AF20" s="97">
        <f>SUMPRODUCT(MMULT('M5'!$M20:$AZ20,'M1'!AF$10:AF$49))</f>
        <v/>
      </c>
      <c r="AG20" s="97">
        <f>SUMPRODUCT(MMULT('M5'!$M20:$AZ20,'M1'!AG$10:AG$49))</f>
        <v/>
      </c>
      <c r="AH20" s="97">
        <f>SUMPRODUCT(MMULT('M5'!$M20:$AZ20,'M1'!AH$10:AH$49))</f>
        <v/>
      </c>
      <c r="AI20" s="97">
        <f>SUMPRODUCT(MMULT('M5'!$M20:$AZ20,'M1'!AI$10:AI$49))</f>
        <v/>
      </c>
      <c r="AJ20" s="97">
        <f>SUMPRODUCT(MMULT('M5'!$M20:$AZ20,'M1'!AJ$10:AJ$49))</f>
        <v/>
      </c>
      <c r="AK20" s="97">
        <f>SUMPRODUCT(MMULT('M5'!$M20:$AZ20,'M1'!AK$10:AK$49))</f>
        <v/>
      </c>
      <c r="AL20" s="97">
        <f>SUMPRODUCT(MMULT('M5'!$M20:$AZ20,'M1'!AL$10:AL$49))</f>
        <v/>
      </c>
      <c r="AM20" s="97">
        <f>SUMPRODUCT(MMULT('M5'!$M20:$AZ20,'M1'!AM$10:AM$49))</f>
        <v/>
      </c>
      <c r="AN20" s="97">
        <f>SUMPRODUCT(MMULT('M5'!$M20:$AZ20,'M1'!AN$10:AN$49))</f>
        <v/>
      </c>
      <c r="AO20" s="97">
        <f>SUMPRODUCT(MMULT('M5'!$M20:$AZ20,'M1'!AO$10:AO$49))</f>
        <v/>
      </c>
      <c r="AP20" s="97">
        <f>SUMPRODUCT(MMULT('M5'!$M20:$AZ20,'M1'!AP$10:AP$49))</f>
        <v/>
      </c>
      <c r="AQ20" s="97">
        <f>SUMPRODUCT(MMULT('M5'!$M20:$AZ20,'M1'!AQ$10:AQ$49))</f>
        <v/>
      </c>
      <c r="AR20" s="97">
        <f>SUMPRODUCT(MMULT('M5'!$M20:$AZ20,'M1'!AR$10:AR$49))</f>
        <v/>
      </c>
      <c r="AS20" s="97">
        <f>SUMPRODUCT(MMULT('M5'!$M20:$AZ20,'M1'!AS$10:AS$49))</f>
        <v/>
      </c>
      <c r="AT20" s="97">
        <f>SUMPRODUCT(MMULT('M5'!$M20:$AZ20,'M1'!AT$10:AT$49))</f>
        <v/>
      </c>
      <c r="AU20" s="97">
        <f>SUMPRODUCT(MMULT('M5'!$M20:$AZ20,'M1'!AU$10:AU$49))</f>
        <v/>
      </c>
      <c r="AV20" s="97">
        <f>SUMPRODUCT(MMULT('M5'!$M20:$AZ20,'M1'!AV$10:AV$49))</f>
        <v/>
      </c>
      <c r="AW20" s="97">
        <f>SUMPRODUCT(MMULT('M5'!$M20:$AZ20,'M1'!AW$10:AW$49))</f>
        <v/>
      </c>
      <c r="AX20" s="97">
        <f>SUMPRODUCT(MMULT('M5'!$M20:$AZ20,'M1'!AX$10:AX$49))</f>
        <v/>
      </c>
      <c r="AY20" s="97">
        <f>SUMPRODUCT(MMULT('M5'!$M20:$AZ20,'M1'!AY$10:AY$49))</f>
        <v/>
      </c>
      <c r="AZ20" s="97">
        <f>SUMPRODUCT(MMULT('M5'!$M20:$AZ20,'M1'!AZ$10:AZ$49))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SUMPRODUCT(MMULT('M5'!$M21:$AZ21,'M1'!M$10:M$49))</f>
        <v/>
      </c>
      <c r="N21" s="97">
        <f>SUMPRODUCT(MMULT('M5'!$M21:$AZ21,'M1'!N$10:N$49))</f>
        <v/>
      </c>
      <c r="O21" s="97">
        <f>SUMPRODUCT(MMULT('M5'!$M21:$AZ21,'M1'!O$10:O$49))</f>
        <v/>
      </c>
      <c r="P21" s="97">
        <f>SUMPRODUCT(MMULT('M5'!$M21:$AZ21,'M1'!P$10:P$49))</f>
        <v/>
      </c>
      <c r="Q21" s="97">
        <f>SUMPRODUCT(MMULT('M5'!$M21:$AZ21,'M1'!Q$10:Q$49))</f>
        <v/>
      </c>
      <c r="R21" s="97">
        <f>SUMPRODUCT(MMULT('M5'!$M21:$AZ21,'M1'!R$10:R$49))</f>
        <v/>
      </c>
      <c r="S21" s="97">
        <f>SUMPRODUCT(MMULT('M5'!$M21:$AZ21,'M1'!S$10:S$49))</f>
        <v/>
      </c>
      <c r="T21" s="97">
        <f>SUMPRODUCT(MMULT('M5'!$M21:$AZ21,'M1'!T$10:T$49))</f>
        <v/>
      </c>
      <c r="U21" s="97">
        <f>SUMPRODUCT(MMULT('M5'!$M21:$AZ21,'M1'!U$10:U$49))</f>
        <v/>
      </c>
      <c r="V21" s="97">
        <f>SUMPRODUCT(MMULT('M5'!$M21:$AZ21,'M1'!V$10:V$49))</f>
        <v/>
      </c>
      <c r="W21" s="97">
        <f>SUMPRODUCT(MMULT('M5'!$M21:$AZ21,'M1'!W$10:W$49))</f>
        <v/>
      </c>
      <c r="X21" s="97">
        <f>SUMPRODUCT(MMULT('M5'!$M21:$AZ21,'M1'!X$10:X$49))</f>
        <v/>
      </c>
      <c r="Y21" s="97">
        <f>SUMPRODUCT(MMULT('M5'!$M21:$AZ21,'M1'!Y$10:Y$49))</f>
        <v/>
      </c>
      <c r="Z21" s="97">
        <f>SUMPRODUCT(MMULT('M5'!$M21:$AZ21,'M1'!Z$10:Z$49))</f>
        <v/>
      </c>
      <c r="AA21" s="97">
        <f>SUMPRODUCT(MMULT('M5'!$M21:$AZ21,'M1'!AA$10:AA$49))</f>
        <v/>
      </c>
      <c r="AB21" s="97">
        <f>SUMPRODUCT(MMULT('M5'!$M21:$AZ21,'M1'!AB$10:AB$49))</f>
        <v/>
      </c>
      <c r="AC21" s="97">
        <f>SUMPRODUCT(MMULT('M5'!$M21:$AZ21,'M1'!AC$10:AC$49))</f>
        <v/>
      </c>
      <c r="AD21" s="97">
        <f>SUMPRODUCT(MMULT('M5'!$M21:$AZ21,'M1'!AD$10:AD$49))</f>
        <v/>
      </c>
      <c r="AE21" s="97">
        <f>SUMPRODUCT(MMULT('M5'!$M21:$AZ21,'M1'!AE$10:AE$49))</f>
        <v/>
      </c>
      <c r="AF21" s="97">
        <f>SUMPRODUCT(MMULT('M5'!$M21:$AZ21,'M1'!AF$10:AF$49))</f>
        <v/>
      </c>
      <c r="AG21" s="97">
        <f>SUMPRODUCT(MMULT('M5'!$M21:$AZ21,'M1'!AG$10:AG$49))</f>
        <v/>
      </c>
      <c r="AH21" s="97">
        <f>SUMPRODUCT(MMULT('M5'!$M21:$AZ21,'M1'!AH$10:AH$49))</f>
        <v/>
      </c>
      <c r="AI21" s="97">
        <f>SUMPRODUCT(MMULT('M5'!$M21:$AZ21,'M1'!AI$10:AI$49))</f>
        <v/>
      </c>
      <c r="AJ21" s="97">
        <f>SUMPRODUCT(MMULT('M5'!$M21:$AZ21,'M1'!AJ$10:AJ$49))</f>
        <v/>
      </c>
      <c r="AK21" s="97">
        <f>SUMPRODUCT(MMULT('M5'!$M21:$AZ21,'M1'!AK$10:AK$49))</f>
        <v/>
      </c>
      <c r="AL21" s="97">
        <f>SUMPRODUCT(MMULT('M5'!$M21:$AZ21,'M1'!AL$10:AL$49))</f>
        <v/>
      </c>
      <c r="AM21" s="97">
        <f>SUMPRODUCT(MMULT('M5'!$M21:$AZ21,'M1'!AM$10:AM$49))</f>
        <v/>
      </c>
      <c r="AN21" s="97">
        <f>SUMPRODUCT(MMULT('M5'!$M21:$AZ21,'M1'!AN$10:AN$49))</f>
        <v/>
      </c>
      <c r="AO21" s="97">
        <f>SUMPRODUCT(MMULT('M5'!$M21:$AZ21,'M1'!AO$10:AO$49))</f>
        <v/>
      </c>
      <c r="AP21" s="97">
        <f>SUMPRODUCT(MMULT('M5'!$M21:$AZ21,'M1'!AP$10:AP$49))</f>
        <v/>
      </c>
      <c r="AQ21" s="97">
        <f>SUMPRODUCT(MMULT('M5'!$M21:$AZ21,'M1'!AQ$10:AQ$49))</f>
        <v/>
      </c>
      <c r="AR21" s="97">
        <f>SUMPRODUCT(MMULT('M5'!$M21:$AZ21,'M1'!AR$10:AR$49))</f>
        <v/>
      </c>
      <c r="AS21" s="97">
        <f>SUMPRODUCT(MMULT('M5'!$M21:$AZ21,'M1'!AS$10:AS$49))</f>
        <v/>
      </c>
      <c r="AT21" s="97">
        <f>SUMPRODUCT(MMULT('M5'!$M21:$AZ21,'M1'!AT$10:AT$49))</f>
        <v/>
      </c>
      <c r="AU21" s="97">
        <f>SUMPRODUCT(MMULT('M5'!$M21:$AZ21,'M1'!AU$10:AU$49))</f>
        <v/>
      </c>
      <c r="AV21" s="97">
        <f>SUMPRODUCT(MMULT('M5'!$M21:$AZ21,'M1'!AV$10:AV$49))</f>
        <v/>
      </c>
      <c r="AW21" s="97">
        <f>SUMPRODUCT(MMULT('M5'!$M21:$AZ21,'M1'!AW$10:AW$49))</f>
        <v/>
      </c>
      <c r="AX21" s="97">
        <f>SUMPRODUCT(MMULT('M5'!$M21:$AZ21,'M1'!AX$10:AX$49))</f>
        <v/>
      </c>
      <c r="AY21" s="97">
        <f>SUMPRODUCT(MMULT('M5'!$M21:$AZ21,'M1'!AY$10:AY$49))</f>
        <v/>
      </c>
      <c r="AZ21" s="97">
        <f>SUMPRODUCT(MMULT('M5'!$M21:$AZ21,'M1'!AZ$10:AZ$49))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SUMPRODUCT(MMULT('M5'!$M22:$AZ22,'M1'!M$10:M$49))</f>
        <v/>
      </c>
      <c r="N22" s="97">
        <f>SUMPRODUCT(MMULT('M5'!$M22:$AZ22,'M1'!N$10:N$49))</f>
        <v/>
      </c>
      <c r="O22" s="97">
        <f>SUMPRODUCT(MMULT('M5'!$M22:$AZ22,'M1'!O$10:O$49))</f>
        <v/>
      </c>
      <c r="P22" s="97">
        <f>SUMPRODUCT(MMULT('M5'!$M22:$AZ22,'M1'!P$10:P$49))</f>
        <v/>
      </c>
      <c r="Q22" s="97">
        <f>SUMPRODUCT(MMULT('M5'!$M22:$AZ22,'M1'!Q$10:Q$49))</f>
        <v/>
      </c>
      <c r="R22" s="97">
        <f>SUMPRODUCT(MMULT('M5'!$M22:$AZ22,'M1'!R$10:R$49))</f>
        <v/>
      </c>
      <c r="S22" s="97">
        <f>SUMPRODUCT(MMULT('M5'!$M22:$AZ22,'M1'!S$10:S$49))</f>
        <v/>
      </c>
      <c r="T22" s="97">
        <f>SUMPRODUCT(MMULT('M5'!$M22:$AZ22,'M1'!T$10:T$49))</f>
        <v/>
      </c>
      <c r="U22" s="97">
        <f>SUMPRODUCT(MMULT('M5'!$M22:$AZ22,'M1'!U$10:U$49))</f>
        <v/>
      </c>
      <c r="V22" s="97">
        <f>SUMPRODUCT(MMULT('M5'!$M22:$AZ22,'M1'!V$10:V$49))</f>
        <v/>
      </c>
      <c r="W22" s="97">
        <f>SUMPRODUCT(MMULT('M5'!$M22:$AZ22,'M1'!W$10:W$49))</f>
        <v/>
      </c>
      <c r="X22" s="97">
        <f>SUMPRODUCT(MMULT('M5'!$M22:$AZ22,'M1'!X$10:X$49))</f>
        <v/>
      </c>
      <c r="Y22" s="97">
        <f>SUMPRODUCT(MMULT('M5'!$M22:$AZ22,'M1'!Y$10:Y$49))</f>
        <v/>
      </c>
      <c r="Z22" s="97">
        <f>SUMPRODUCT(MMULT('M5'!$M22:$AZ22,'M1'!Z$10:Z$49))</f>
        <v/>
      </c>
      <c r="AA22" s="97">
        <f>SUMPRODUCT(MMULT('M5'!$M22:$AZ22,'M1'!AA$10:AA$49))</f>
        <v/>
      </c>
      <c r="AB22" s="97">
        <f>SUMPRODUCT(MMULT('M5'!$M22:$AZ22,'M1'!AB$10:AB$49))</f>
        <v/>
      </c>
      <c r="AC22" s="97">
        <f>SUMPRODUCT(MMULT('M5'!$M22:$AZ22,'M1'!AC$10:AC$49))</f>
        <v/>
      </c>
      <c r="AD22" s="97">
        <f>SUMPRODUCT(MMULT('M5'!$M22:$AZ22,'M1'!AD$10:AD$49))</f>
        <v/>
      </c>
      <c r="AE22" s="97">
        <f>SUMPRODUCT(MMULT('M5'!$M22:$AZ22,'M1'!AE$10:AE$49))</f>
        <v/>
      </c>
      <c r="AF22" s="97">
        <f>SUMPRODUCT(MMULT('M5'!$M22:$AZ22,'M1'!AF$10:AF$49))</f>
        <v/>
      </c>
      <c r="AG22" s="97">
        <f>SUMPRODUCT(MMULT('M5'!$M22:$AZ22,'M1'!AG$10:AG$49))</f>
        <v/>
      </c>
      <c r="AH22" s="97">
        <f>SUMPRODUCT(MMULT('M5'!$M22:$AZ22,'M1'!AH$10:AH$49))</f>
        <v/>
      </c>
      <c r="AI22" s="97">
        <f>SUMPRODUCT(MMULT('M5'!$M22:$AZ22,'M1'!AI$10:AI$49))</f>
        <v/>
      </c>
      <c r="AJ22" s="97">
        <f>SUMPRODUCT(MMULT('M5'!$M22:$AZ22,'M1'!AJ$10:AJ$49))</f>
        <v/>
      </c>
      <c r="AK22" s="97">
        <f>SUMPRODUCT(MMULT('M5'!$M22:$AZ22,'M1'!AK$10:AK$49))</f>
        <v/>
      </c>
      <c r="AL22" s="97">
        <f>SUMPRODUCT(MMULT('M5'!$M22:$AZ22,'M1'!AL$10:AL$49))</f>
        <v/>
      </c>
      <c r="AM22" s="97">
        <f>SUMPRODUCT(MMULT('M5'!$M22:$AZ22,'M1'!AM$10:AM$49))</f>
        <v/>
      </c>
      <c r="AN22" s="97">
        <f>SUMPRODUCT(MMULT('M5'!$M22:$AZ22,'M1'!AN$10:AN$49))</f>
        <v/>
      </c>
      <c r="AO22" s="97">
        <f>SUMPRODUCT(MMULT('M5'!$M22:$AZ22,'M1'!AO$10:AO$49))</f>
        <v/>
      </c>
      <c r="AP22" s="97">
        <f>SUMPRODUCT(MMULT('M5'!$M22:$AZ22,'M1'!AP$10:AP$49))</f>
        <v/>
      </c>
      <c r="AQ22" s="97">
        <f>SUMPRODUCT(MMULT('M5'!$M22:$AZ22,'M1'!AQ$10:AQ$49))</f>
        <v/>
      </c>
      <c r="AR22" s="97">
        <f>SUMPRODUCT(MMULT('M5'!$M22:$AZ22,'M1'!AR$10:AR$49))</f>
        <v/>
      </c>
      <c r="AS22" s="97">
        <f>SUMPRODUCT(MMULT('M5'!$M22:$AZ22,'M1'!AS$10:AS$49))</f>
        <v/>
      </c>
      <c r="AT22" s="97">
        <f>SUMPRODUCT(MMULT('M5'!$M22:$AZ22,'M1'!AT$10:AT$49))</f>
        <v/>
      </c>
      <c r="AU22" s="97">
        <f>SUMPRODUCT(MMULT('M5'!$M22:$AZ22,'M1'!AU$10:AU$49))</f>
        <v/>
      </c>
      <c r="AV22" s="97">
        <f>SUMPRODUCT(MMULT('M5'!$M22:$AZ22,'M1'!AV$10:AV$49))</f>
        <v/>
      </c>
      <c r="AW22" s="97">
        <f>SUMPRODUCT(MMULT('M5'!$M22:$AZ22,'M1'!AW$10:AW$49))</f>
        <v/>
      </c>
      <c r="AX22" s="97">
        <f>SUMPRODUCT(MMULT('M5'!$M22:$AZ22,'M1'!AX$10:AX$49))</f>
        <v/>
      </c>
      <c r="AY22" s="97">
        <f>SUMPRODUCT(MMULT('M5'!$M22:$AZ22,'M1'!AY$10:AY$49))</f>
        <v/>
      </c>
      <c r="AZ22" s="97">
        <f>SUMPRODUCT(MMULT('M5'!$M22:$AZ22,'M1'!AZ$10:AZ$49))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SUMPRODUCT(MMULT('M5'!$M23:$AZ23,'M1'!M$10:M$49))</f>
        <v/>
      </c>
      <c r="N23" s="97">
        <f>SUMPRODUCT(MMULT('M5'!$M23:$AZ23,'M1'!N$10:N$49))</f>
        <v/>
      </c>
      <c r="O23" s="97">
        <f>SUMPRODUCT(MMULT('M5'!$M23:$AZ23,'M1'!O$10:O$49))</f>
        <v/>
      </c>
      <c r="P23" s="97">
        <f>SUMPRODUCT(MMULT('M5'!$M23:$AZ23,'M1'!P$10:P$49))</f>
        <v/>
      </c>
      <c r="Q23" s="97">
        <f>SUMPRODUCT(MMULT('M5'!$M23:$AZ23,'M1'!Q$10:Q$49))</f>
        <v/>
      </c>
      <c r="R23" s="97">
        <f>SUMPRODUCT(MMULT('M5'!$M23:$AZ23,'M1'!R$10:R$49))</f>
        <v/>
      </c>
      <c r="S23" s="97">
        <f>SUMPRODUCT(MMULT('M5'!$M23:$AZ23,'M1'!S$10:S$49))</f>
        <v/>
      </c>
      <c r="T23" s="97">
        <f>SUMPRODUCT(MMULT('M5'!$M23:$AZ23,'M1'!T$10:T$49))</f>
        <v/>
      </c>
      <c r="U23" s="97">
        <f>SUMPRODUCT(MMULT('M5'!$M23:$AZ23,'M1'!U$10:U$49))</f>
        <v/>
      </c>
      <c r="V23" s="97">
        <f>SUMPRODUCT(MMULT('M5'!$M23:$AZ23,'M1'!V$10:V$49))</f>
        <v/>
      </c>
      <c r="W23" s="97">
        <f>SUMPRODUCT(MMULT('M5'!$M23:$AZ23,'M1'!W$10:W$49))</f>
        <v/>
      </c>
      <c r="X23" s="97">
        <f>SUMPRODUCT(MMULT('M5'!$M23:$AZ23,'M1'!X$10:X$49))</f>
        <v/>
      </c>
      <c r="Y23" s="97">
        <f>SUMPRODUCT(MMULT('M5'!$M23:$AZ23,'M1'!Y$10:Y$49))</f>
        <v/>
      </c>
      <c r="Z23" s="97">
        <f>SUMPRODUCT(MMULT('M5'!$M23:$AZ23,'M1'!Z$10:Z$49))</f>
        <v/>
      </c>
      <c r="AA23" s="97">
        <f>SUMPRODUCT(MMULT('M5'!$M23:$AZ23,'M1'!AA$10:AA$49))</f>
        <v/>
      </c>
      <c r="AB23" s="97">
        <f>SUMPRODUCT(MMULT('M5'!$M23:$AZ23,'M1'!AB$10:AB$49))</f>
        <v/>
      </c>
      <c r="AC23" s="97">
        <f>SUMPRODUCT(MMULT('M5'!$M23:$AZ23,'M1'!AC$10:AC$49))</f>
        <v/>
      </c>
      <c r="AD23" s="97">
        <f>SUMPRODUCT(MMULT('M5'!$M23:$AZ23,'M1'!AD$10:AD$49))</f>
        <v/>
      </c>
      <c r="AE23" s="97">
        <f>SUMPRODUCT(MMULT('M5'!$M23:$AZ23,'M1'!AE$10:AE$49))</f>
        <v/>
      </c>
      <c r="AF23" s="97">
        <f>SUMPRODUCT(MMULT('M5'!$M23:$AZ23,'M1'!AF$10:AF$49))</f>
        <v/>
      </c>
      <c r="AG23" s="97">
        <f>SUMPRODUCT(MMULT('M5'!$M23:$AZ23,'M1'!AG$10:AG$49))</f>
        <v/>
      </c>
      <c r="AH23" s="97">
        <f>SUMPRODUCT(MMULT('M5'!$M23:$AZ23,'M1'!AH$10:AH$49))</f>
        <v/>
      </c>
      <c r="AI23" s="97">
        <f>SUMPRODUCT(MMULT('M5'!$M23:$AZ23,'M1'!AI$10:AI$49))</f>
        <v/>
      </c>
      <c r="AJ23" s="97">
        <f>SUMPRODUCT(MMULT('M5'!$M23:$AZ23,'M1'!AJ$10:AJ$49))</f>
        <v/>
      </c>
      <c r="AK23" s="97">
        <f>SUMPRODUCT(MMULT('M5'!$M23:$AZ23,'M1'!AK$10:AK$49))</f>
        <v/>
      </c>
      <c r="AL23" s="97">
        <f>SUMPRODUCT(MMULT('M5'!$M23:$AZ23,'M1'!AL$10:AL$49))</f>
        <v/>
      </c>
      <c r="AM23" s="97">
        <f>SUMPRODUCT(MMULT('M5'!$M23:$AZ23,'M1'!AM$10:AM$49))</f>
        <v/>
      </c>
      <c r="AN23" s="97">
        <f>SUMPRODUCT(MMULT('M5'!$M23:$AZ23,'M1'!AN$10:AN$49))</f>
        <v/>
      </c>
      <c r="AO23" s="97">
        <f>SUMPRODUCT(MMULT('M5'!$M23:$AZ23,'M1'!AO$10:AO$49))</f>
        <v/>
      </c>
      <c r="AP23" s="97">
        <f>SUMPRODUCT(MMULT('M5'!$M23:$AZ23,'M1'!AP$10:AP$49))</f>
        <v/>
      </c>
      <c r="AQ23" s="97">
        <f>SUMPRODUCT(MMULT('M5'!$M23:$AZ23,'M1'!AQ$10:AQ$49))</f>
        <v/>
      </c>
      <c r="AR23" s="97">
        <f>SUMPRODUCT(MMULT('M5'!$M23:$AZ23,'M1'!AR$10:AR$49))</f>
        <v/>
      </c>
      <c r="AS23" s="97">
        <f>SUMPRODUCT(MMULT('M5'!$M23:$AZ23,'M1'!AS$10:AS$49))</f>
        <v/>
      </c>
      <c r="AT23" s="97">
        <f>SUMPRODUCT(MMULT('M5'!$M23:$AZ23,'M1'!AT$10:AT$49))</f>
        <v/>
      </c>
      <c r="AU23" s="97">
        <f>SUMPRODUCT(MMULT('M5'!$M23:$AZ23,'M1'!AU$10:AU$49))</f>
        <v/>
      </c>
      <c r="AV23" s="97">
        <f>SUMPRODUCT(MMULT('M5'!$M23:$AZ23,'M1'!AV$10:AV$49))</f>
        <v/>
      </c>
      <c r="AW23" s="97">
        <f>SUMPRODUCT(MMULT('M5'!$M23:$AZ23,'M1'!AW$10:AW$49))</f>
        <v/>
      </c>
      <c r="AX23" s="97">
        <f>SUMPRODUCT(MMULT('M5'!$M23:$AZ23,'M1'!AX$10:AX$49))</f>
        <v/>
      </c>
      <c r="AY23" s="97">
        <f>SUMPRODUCT(MMULT('M5'!$M23:$AZ23,'M1'!AY$10:AY$49))</f>
        <v/>
      </c>
      <c r="AZ23" s="97">
        <f>SUMPRODUCT(MMULT('M5'!$M23:$AZ23,'M1'!AZ$10:AZ$49))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SUMPRODUCT(MMULT('M5'!$M24:$AZ24,'M1'!M$10:M$49))</f>
        <v/>
      </c>
      <c r="N24" s="97">
        <f>SUMPRODUCT(MMULT('M5'!$M24:$AZ24,'M1'!N$10:N$49))</f>
        <v/>
      </c>
      <c r="O24" s="97">
        <f>SUMPRODUCT(MMULT('M5'!$M24:$AZ24,'M1'!O$10:O$49))</f>
        <v/>
      </c>
      <c r="P24" s="97">
        <f>SUMPRODUCT(MMULT('M5'!$M24:$AZ24,'M1'!P$10:P$49))</f>
        <v/>
      </c>
      <c r="Q24" s="97">
        <f>SUMPRODUCT(MMULT('M5'!$M24:$AZ24,'M1'!Q$10:Q$49))</f>
        <v/>
      </c>
      <c r="R24" s="97">
        <f>SUMPRODUCT(MMULT('M5'!$M24:$AZ24,'M1'!R$10:R$49))</f>
        <v/>
      </c>
      <c r="S24" s="97">
        <f>SUMPRODUCT(MMULT('M5'!$M24:$AZ24,'M1'!S$10:S$49))</f>
        <v/>
      </c>
      <c r="T24" s="97">
        <f>SUMPRODUCT(MMULT('M5'!$M24:$AZ24,'M1'!T$10:T$49))</f>
        <v/>
      </c>
      <c r="U24" s="97">
        <f>SUMPRODUCT(MMULT('M5'!$M24:$AZ24,'M1'!U$10:U$49))</f>
        <v/>
      </c>
      <c r="V24" s="97">
        <f>SUMPRODUCT(MMULT('M5'!$M24:$AZ24,'M1'!V$10:V$49))</f>
        <v/>
      </c>
      <c r="W24" s="97">
        <f>SUMPRODUCT(MMULT('M5'!$M24:$AZ24,'M1'!W$10:W$49))</f>
        <v/>
      </c>
      <c r="X24" s="97">
        <f>SUMPRODUCT(MMULT('M5'!$M24:$AZ24,'M1'!X$10:X$49))</f>
        <v/>
      </c>
      <c r="Y24" s="97">
        <f>SUMPRODUCT(MMULT('M5'!$M24:$AZ24,'M1'!Y$10:Y$49))</f>
        <v/>
      </c>
      <c r="Z24" s="97">
        <f>SUMPRODUCT(MMULT('M5'!$M24:$AZ24,'M1'!Z$10:Z$49))</f>
        <v/>
      </c>
      <c r="AA24" s="97">
        <f>SUMPRODUCT(MMULT('M5'!$M24:$AZ24,'M1'!AA$10:AA$49))</f>
        <v/>
      </c>
      <c r="AB24" s="97">
        <f>SUMPRODUCT(MMULT('M5'!$M24:$AZ24,'M1'!AB$10:AB$49))</f>
        <v/>
      </c>
      <c r="AC24" s="97">
        <f>SUMPRODUCT(MMULT('M5'!$M24:$AZ24,'M1'!AC$10:AC$49))</f>
        <v/>
      </c>
      <c r="AD24" s="97">
        <f>SUMPRODUCT(MMULT('M5'!$M24:$AZ24,'M1'!AD$10:AD$49))</f>
        <v/>
      </c>
      <c r="AE24" s="97">
        <f>SUMPRODUCT(MMULT('M5'!$M24:$AZ24,'M1'!AE$10:AE$49))</f>
        <v/>
      </c>
      <c r="AF24" s="97">
        <f>SUMPRODUCT(MMULT('M5'!$M24:$AZ24,'M1'!AF$10:AF$49))</f>
        <v/>
      </c>
      <c r="AG24" s="97">
        <f>SUMPRODUCT(MMULT('M5'!$M24:$AZ24,'M1'!AG$10:AG$49))</f>
        <v/>
      </c>
      <c r="AH24" s="97">
        <f>SUMPRODUCT(MMULT('M5'!$M24:$AZ24,'M1'!AH$10:AH$49))</f>
        <v/>
      </c>
      <c r="AI24" s="97">
        <f>SUMPRODUCT(MMULT('M5'!$M24:$AZ24,'M1'!AI$10:AI$49))</f>
        <v/>
      </c>
      <c r="AJ24" s="97">
        <f>SUMPRODUCT(MMULT('M5'!$M24:$AZ24,'M1'!AJ$10:AJ$49))</f>
        <v/>
      </c>
      <c r="AK24" s="97">
        <f>SUMPRODUCT(MMULT('M5'!$M24:$AZ24,'M1'!AK$10:AK$49))</f>
        <v/>
      </c>
      <c r="AL24" s="97">
        <f>SUMPRODUCT(MMULT('M5'!$M24:$AZ24,'M1'!AL$10:AL$49))</f>
        <v/>
      </c>
      <c r="AM24" s="97">
        <f>SUMPRODUCT(MMULT('M5'!$M24:$AZ24,'M1'!AM$10:AM$49))</f>
        <v/>
      </c>
      <c r="AN24" s="97">
        <f>SUMPRODUCT(MMULT('M5'!$M24:$AZ24,'M1'!AN$10:AN$49))</f>
        <v/>
      </c>
      <c r="AO24" s="97">
        <f>SUMPRODUCT(MMULT('M5'!$M24:$AZ24,'M1'!AO$10:AO$49))</f>
        <v/>
      </c>
      <c r="AP24" s="97">
        <f>SUMPRODUCT(MMULT('M5'!$M24:$AZ24,'M1'!AP$10:AP$49))</f>
        <v/>
      </c>
      <c r="AQ24" s="97">
        <f>SUMPRODUCT(MMULT('M5'!$M24:$AZ24,'M1'!AQ$10:AQ$49))</f>
        <v/>
      </c>
      <c r="AR24" s="97">
        <f>SUMPRODUCT(MMULT('M5'!$M24:$AZ24,'M1'!AR$10:AR$49))</f>
        <v/>
      </c>
      <c r="AS24" s="97">
        <f>SUMPRODUCT(MMULT('M5'!$M24:$AZ24,'M1'!AS$10:AS$49))</f>
        <v/>
      </c>
      <c r="AT24" s="97">
        <f>SUMPRODUCT(MMULT('M5'!$M24:$AZ24,'M1'!AT$10:AT$49))</f>
        <v/>
      </c>
      <c r="AU24" s="97">
        <f>SUMPRODUCT(MMULT('M5'!$M24:$AZ24,'M1'!AU$10:AU$49))</f>
        <v/>
      </c>
      <c r="AV24" s="97">
        <f>SUMPRODUCT(MMULT('M5'!$M24:$AZ24,'M1'!AV$10:AV$49))</f>
        <v/>
      </c>
      <c r="AW24" s="97">
        <f>SUMPRODUCT(MMULT('M5'!$M24:$AZ24,'M1'!AW$10:AW$49))</f>
        <v/>
      </c>
      <c r="AX24" s="97">
        <f>SUMPRODUCT(MMULT('M5'!$M24:$AZ24,'M1'!AX$10:AX$49))</f>
        <v/>
      </c>
      <c r="AY24" s="97">
        <f>SUMPRODUCT(MMULT('M5'!$M24:$AZ24,'M1'!AY$10:AY$49))</f>
        <v/>
      </c>
      <c r="AZ24" s="97">
        <f>SUMPRODUCT(MMULT('M5'!$M24:$AZ24,'M1'!AZ$10:AZ$49))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SUMPRODUCT(MMULT('M5'!$M25:$AZ25,'M1'!M$10:M$49))</f>
        <v/>
      </c>
      <c r="N25" s="97">
        <f>SUMPRODUCT(MMULT('M5'!$M25:$AZ25,'M1'!N$10:N$49))</f>
        <v/>
      </c>
      <c r="O25" s="97">
        <f>SUMPRODUCT(MMULT('M5'!$M25:$AZ25,'M1'!O$10:O$49))</f>
        <v/>
      </c>
      <c r="P25" s="97">
        <f>SUMPRODUCT(MMULT('M5'!$M25:$AZ25,'M1'!P$10:P$49))</f>
        <v/>
      </c>
      <c r="Q25" s="97">
        <f>SUMPRODUCT(MMULT('M5'!$M25:$AZ25,'M1'!Q$10:Q$49))</f>
        <v/>
      </c>
      <c r="R25" s="97">
        <f>SUMPRODUCT(MMULT('M5'!$M25:$AZ25,'M1'!R$10:R$49))</f>
        <v/>
      </c>
      <c r="S25" s="97">
        <f>SUMPRODUCT(MMULT('M5'!$M25:$AZ25,'M1'!S$10:S$49))</f>
        <v/>
      </c>
      <c r="T25" s="97">
        <f>SUMPRODUCT(MMULT('M5'!$M25:$AZ25,'M1'!T$10:T$49))</f>
        <v/>
      </c>
      <c r="U25" s="97">
        <f>SUMPRODUCT(MMULT('M5'!$M25:$AZ25,'M1'!U$10:U$49))</f>
        <v/>
      </c>
      <c r="V25" s="97">
        <f>SUMPRODUCT(MMULT('M5'!$M25:$AZ25,'M1'!V$10:V$49))</f>
        <v/>
      </c>
      <c r="W25" s="97">
        <f>SUMPRODUCT(MMULT('M5'!$M25:$AZ25,'M1'!W$10:W$49))</f>
        <v/>
      </c>
      <c r="X25" s="97">
        <f>SUMPRODUCT(MMULT('M5'!$M25:$AZ25,'M1'!X$10:X$49))</f>
        <v/>
      </c>
      <c r="Y25" s="97">
        <f>SUMPRODUCT(MMULT('M5'!$M25:$AZ25,'M1'!Y$10:Y$49))</f>
        <v/>
      </c>
      <c r="Z25" s="97">
        <f>SUMPRODUCT(MMULT('M5'!$M25:$AZ25,'M1'!Z$10:Z$49))</f>
        <v/>
      </c>
      <c r="AA25" s="97">
        <f>SUMPRODUCT(MMULT('M5'!$M25:$AZ25,'M1'!AA$10:AA$49))</f>
        <v/>
      </c>
      <c r="AB25" s="97">
        <f>SUMPRODUCT(MMULT('M5'!$M25:$AZ25,'M1'!AB$10:AB$49))</f>
        <v/>
      </c>
      <c r="AC25" s="97">
        <f>SUMPRODUCT(MMULT('M5'!$M25:$AZ25,'M1'!AC$10:AC$49))</f>
        <v/>
      </c>
      <c r="AD25" s="97">
        <f>SUMPRODUCT(MMULT('M5'!$M25:$AZ25,'M1'!AD$10:AD$49))</f>
        <v/>
      </c>
      <c r="AE25" s="97">
        <f>SUMPRODUCT(MMULT('M5'!$M25:$AZ25,'M1'!AE$10:AE$49))</f>
        <v/>
      </c>
      <c r="AF25" s="97">
        <f>SUMPRODUCT(MMULT('M5'!$M25:$AZ25,'M1'!AF$10:AF$49))</f>
        <v/>
      </c>
      <c r="AG25" s="97">
        <f>SUMPRODUCT(MMULT('M5'!$M25:$AZ25,'M1'!AG$10:AG$49))</f>
        <v/>
      </c>
      <c r="AH25" s="97">
        <f>SUMPRODUCT(MMULT('M5'!$M25:$AZ25,'M1'!AH$10:AH$49))</f>
        <v/>
      </c>
      <c r="AI25" s="97">
        <f>SUMPRODUCT(MMULT('M5'!$M25:$AZ25,'M1'!AI$10:AI$49))</f>
        <v/>
      </c>
      <c r="AJ25" s="97">
        <f>SUMPRODUCT(MMULT('M5'!$M25:$AZ25,'M1'!AJ$10:AJ$49))</f>
        <v/>
      </c>
      <c r="AK25" s="97">
        <f>SUMPRODUCT(MMULT('M5'!$M25:$AZ25,'M1'!AK$10:AK$49))</f>
        <v/>
      </c>
      <c r="AL25" s="97">
        <f>SUMPRODUCT(MMULT('M5'!$M25:$AZ25,'M1'!AL$10:AL$49))</f>
        <v/>
      </c>
      <c r="AM25" s="97">
        <f>SUMPRODUCT(MMULT('M5'!$M25:$AZ25,'M1'!AM$10:AM$49))</f>
        <v/>
      </c>
      <c r="AN25" s="97">
        <f>SUMPRODUCT(MMULT('M5'!$M25:$AZ25,'M1'!AN$10:AN$49))</f>
        <v/>
      </c>
      <c r="AO25" s="97">
        <f>SUMPRODUCT(MMULT('M5'!$M25:$AZ25,'M1'!AO$10:AO$49))</f>
        <v/>
      </c>
      <c r="AP25" s="97">
        <f>SUMPRODUCT(MMULT('M5'!$M25:$AZ25,'M1'!AP$10:AP$49))</f>
        <v/>
      </c>
      <c r="AQ25" s="97">
        <f>SUMPRODUCT(MMULT('M5'!$M25:$AZ25,'M1'!AQ$10:AQ$49))</f>
        <v/>
      </c>
      <c r="AR25" s="97">
        <f>SUMPRODUCT(MMULT('M5'!$M25:$AZ25,'M1'!AR$10:AR$49))</f>
        <v/>
      </c>
      <c r="AS25" s="97">
        <f>SUMPRODUCT(MMULT('M5'!$M25:$AZ25,'M1'!AS$10:AS$49))</f>
        <v/>
      </c>
      <c r="AT25" s="97">
        <f>SUMPRODUCT(MMULT('M5'!$M25:$AZ25,'M1'!AT$10:AT$49))</f>
        <v/>
      </c>
      <c r="AU25" s="97">
        <f>SUMPRODUCT(MMULT('M5'!$M25:$AZ25,'M1'!AU$10:AU$49))</f>
        <v/>
      </c>
      <c r="AV25" s="97">
        <f>SUMPRODUCT(MMULT('M5'!$M25:$AZ25,'M1'!AV$10:AV$49))</f>
        <v/>
      </c>
      <c r="AW25" s="97">
        <f>SUMPRODUCT(MMULT('M5'!$M25:$AZ25,'M1'!AW$10:AW$49))</f>
        <v/>
      </c>
      <c r="AX25" s="97">
        <f>SUMPRODUCT(MMULT('M5'!$M25:$AZ25,'M1'!AX$10:AX$49))</f>
        <v/>
      </c>
      <c r="AY25" s="97">
        <f>SUMPRODUCT(MMULT('M5'!$M25:$AZ25,'M1'!AY$10:AY$49))</f>
        <v/>
      </c>
      <c r="AZ25" s="97">
        <f>SUMPRODUCT(MMULT('M5'!$M25:$AZ25,'M1'!AZ$10:AZ$49))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SUMPRODUCT(MMULT('M5'!$M26:$AZ26,'M1'!M$10:M$49))</f>
        <v/>
      </c>
      <c r="N26" s="97">
        <f>SUMPRODUCT(MMULT('M5'!$M26:$AZ26,'M1'!N$10:N$49))</f>
        <v/>
      </c>
      <c r="O26" s="97">
        <f>SUMPRODUCT(MMULT('M5'!$M26:$AZ26,'M1'!O$10:O$49))</f>
        <v/>
      </c>
      <c r="P26" s="97">
        <f>SUMPRODUCT(MMULT('M5'!$M26:$AZ26,'M1'!P$10:P$49))</f>
        <v/>
      </c>
      <c r="Q26" s="97">
        <f>SUMPRODUCT(MMULT('M5'!$M26:$AZ26,'M1'!Q$10:Q$49))</f>
        <v/>
      </c>
      <c r="R26" s="97">
        <f>SUMPRODUCT(MMULT('M5'!$M26:$AZ26,'M1'!R$10:R$49))</f>
        <v/>
      </c>
      <c r="S26" s="97">
        <f>SUMPRODUCT(MMULT('M5'!$M26:$AZ26,'M1'!S$10:S$49))</f>
        <v/>
      </c>
      <c r="T26" s="97">
        <f>SUMPRODUCT(MMULT('M5'!$M26:$AZ26,'M1'!T$10:T$49))</f>
        <v/>
      </c>
      <c r="U26" s="97">
        <f>SUMPRODUCT(MMULT('M5'!$M26:$AZ26,'M1'!U$10:U$49))</f>
        <v/>
      </c>
      <c r="V26" s="97">
        <f>SUMPRODUCT(MMULT('M5'!$M26:$AZ26,'M1'!V$10:V$49))</f>
        <v/>
      </c>
      <c r="W26" s="97">
        <f>SUMPRODUCT(MMULT('M5'!$M26:$AZ26,'M1'!W$10:W$49))</f>
        <v/>
      </c>
      <c r="X26" s="97">
        <f>SUMPRODUCT(MMULT('M5'!$M26:$AZ26,'M1'!X$10:X$49))</f>
        <v/>
      </c>
      <c r="Y26" s="97">
        <f>SUMPRODUCT(MMULT('M5'!$M26:$AZ26,'M1'!Y$10:Y$49))</f>
        <v/>
      </c>
      <c r="Z26" s="97">
        <f>SUMPRODUCT(MMULT('M5'!$M26:$AZ26,'M1'!Z$10:Z$49))</f>
        <v/>
      </c>
      <c r="AA26" s="97">
        <f>SUMPRODUCT(MMULT('M5'!$M26:$AZ26,'M1'!AA$10:AA$49))</f>
        <v/>
      </c>
      <c r="AB26" s="97">
        <f>SUMPRODUCT(MMULT('M5'!$M26:$AZ26,'M1'!AB$10:AB$49))</f>
        <v/>
      </c>
      <c r="AC26" s="97">
        <f>SUMPRODUCT(MMULT('M5'!$M26:$AZ26,'M1'!AC$10:AC$49))</f>
        <v/>
      </c>
      <c r="AD26" s="97">
        <f>SUMPRODUCT(MMULT('M5'!$M26:$AZ26,'M1'!AD$10:AD$49))</f>
        <v/>
      </c>
      <c r="AE26" s="97">
        <f>SUMPRODUCT(MMULT('M5'!$M26:$AZ26,'M1'!AE$10:AE$49))</f>
        <v/>
      </c>
      <c r="AF26" s="97">
        <f>SUMPRODUCT(MMULT('M5'!$M26:$AZ26,'M1'!AF$10:AF$49))</f>
        <v/>
      </c>
      <c r="AG26" s="97">
        <f>SUMPRODUCT(MMULT('M5'!$M26:$AZ26,'M1'!AG$10:AG$49))</f>
        <v/>
      </c>
      <c r="AH26" s="97">
        <f>SUMPRODUCT(MMULT('M5'!$M26:$AZ26,'M1'!AH$10:AH$49))</f>
        <v/>
      </c>
      <c r="AI26" s="97">
        <f>SUMPRODUCT(MMULT('M5'!$M26:$AZ26,'M1'!AI$10:AI$49))</f>
        <v/>
      </c>
      <c r="AJ26" s="97">
        <f>SUMPRODUCT(MMULT('M5'!$M26:$AZ26,'M1'!AJ$10:AJ$49))</f>
        <v/>
      </c>
      <c r="AK26" s="97">
        <f>SUMPRODUCT(MMULT('M5'!$M26:$AZ26,'M1'!AK$10:AK$49))</f>
        <v/>
      </c>
      <c r="AL26" s="97">
        <f>SUMPRODUCT(MMULT('M5'!$M26:$AZ26,'M1'!AL$10:AL$49))</f>
        <v/>
      </c>
      <c r="AM26" s="97">
        <f>SUMPRODUCT(MMULT('M5'!$M26:$AZ26,'M1'!AM$10:AM$49))</f>
        <v/>
      </c>
      <c r="AN26" s="97">
        <f>SUMPRODUCT(MMULT('M5'!$M26:$AZ26,'M1'!AN$10:AN$49))</f>
        <v/>
      </c>
      <c r="AO26" s="97">
        <f>SUMPRODUCT(MMULT('M5'!$M26:$AZ26,'M1'!AO$10:AO$49))</f>
        <v/>
      </c>
      <c r="AP26" s="97">
        <f>SUMPRODUCT(MMULT('M5'!$M26:$AZ26,'M1'!AP$10:AP$49))</f>
        <v/>
      </c>
      <c r="AQ26" s="97">
        <f>SUMPRODUCT(MMULT('M5'!$M26:$AZ26,'M1'!AQ$10:AQ$49))</f>
        <v/>
      </c>
      <c r="AR26" s="97">
        <f>SUMPRODUCT(MMULT('M5'!$M26:$AZ26,'M1'!AR$10:AR$49))</f>
        <v/>
      </c>
      <c r="AS26" s="97">
        <f>SUMPRODUCT(MMULT('M5'!$M26:$AZ26,'M1'!AS$10:AS$49))</f>
        <v/>
      </c>
      <c r="AT26" s="97">
        <f>SUMPRODUCT(MMULT('M5'!$M26:$AZ26,'M1'!AT$10:AT$49))</f>
        <v/>
      </c>
      <c r="AU26" s="97">
        <f>SUMPRODUCT(MMULT('M5'!$M26:$AZ26,'M1'!AU$10:AU$49))</f>
        <v/>
      </c>
      <c r="AV26" s="97">
        <f>SUMPRODUCT(MMULT('M5'!$M26:$AZ26,'M1'!AV$10:AV$49))</f>
        <v/>
      </c>
      <c r="AW26" s="97">
        <f>SUMPRODUCT(MMULT('M5'!$M26:$AZ26,'M1'!AW$10:AW$49))</f>
        <v/>
      </c>
      <c r="AX26" s="97">
        <f>SUMPRODUCT(MMULT('M5'!$M26:$AZ26,'M1'!AX$10:AX$49))</f>
        <v/>
      </c>
      <c r="AY26" s="97">
        <f>SUMPRODUCT(MMULT('M5'!$M26:$AZ26,'M1'!AY$10:AY$49))</f>
        <v/>
      </c>
      <c r="AZ26" s="97">
        <f>SUMPRODUCT(MMULT('M5'!$M26:$AZ26,'M1'!AZ$10:AZ$49))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SUMPRODUCT(MMULT('M5'!$M27:$AZ27,'M1'!M$10:M$49))</f>
        <v/>
      </c>
      <c r="N27" s="97">
        <f>SUMPRODUCT(MMULT('M5'!$M27:$AZ27,'M1'!N$10:N$49))</f>
        <v/>
      </c>
      <c r="O27" s="97">
        <f>SUMPRODUCT(MMULT('M5'!$M27:$AZ27,'M1'!O$10:O$49))</f>
        <v/>
      </c>
      <c r="P27" s="97">
        <f>SUMPRODUCT(MMULT('M5'!$M27:$AZ27,'M1'!P$10:P$49))</f>
        <v/>
      </c>
      <c r="Q27" s="97">
        <f>SUMPRODUCT(MMULT('M5'!$M27:$AZ27,'M1'!Q$10:Q$49))</f>
        <v/>
      </c>
      <c r="R27" s="97">
        <f>SUMPRODUCT(MMULT('M5'!$M27:$AZ27,'M1'!R$10:R$49))</f>
        <v/>
      </c>
      <c r="S27" s="97">
        <f>SUMPRODUCT(MMULT('M5'!$M27:$AZ27,'M1'!S$10:S$49))</f>
        <v/>
      </c>
      <c r="T27" s="97">
        <f>SUMPRODUCT(MMULT('M5'!$M27:$AZ27,'M1'!T$10:T$49))</f>
        <v/>
      </c>
      <c r="U27" s="97">
        <f>SUMPRODUCT(MMULT('M5'!$M27:$AZ27,'M1'!U$10:U$49))</f>
        <v/>
      </c>
      <c r="V27" s="97">
        <f>SUMPRODUCT(MMULT('M5'!$M27:$AZ27,'M1'!V$10:V$49))</f>
        <v/>
      </c>
      <c r="W27" s="97">
        <f>SUMPRODUCT(MMULT('M5'!$M27:$AZ27,'M1'!W$10:W$49))</f>
        <v/>
      </c>
      <c r="X27" s="97">
        <f>SUMPRODUCT(MMULT('M5'!$M27:$AZ27,'M1'!X$10:X$49))</f>
        <v/>
      </c>
      <c r="Y27" s="97">
        <f>SUMPRODUCT(MMULT('M5'!$M27:$AZ27,'M1'!Y$10:Y$49))</f>
        <v/>
      </c>
      <c r="Z27" s="97">
        <f>SUMPRODUCT(MMULT('M5'!$M27:$AZ27,'M1'!Z$10:Z$49))</f>
        <v/>
      </c>
      <c r="AA27" s="97">
        <f>SUMPRODUCT(MMULT('M5'!$M27:$AZ27,'M1'!AA$10:AA$49))</f>
        <v/>
      </c>
      <c r="AB27" s="97">
        <f>SUMPRODUCT(MMULT('M5'!$M27:$AZ27,'M1'!AB$10:AB$49))</f>
        <v/>
      </c>
      <c r="AC27" s="97">
        <f>SUMPRODUCT(MMULT('M5'!$M27:$AZ27,'M1'!AC$10:AC$49))</f>
        <v/>
      </c>
      <c r="AD27" s="97">
        <f>SUMPRODUCT(MMULT('M5'!$M27:$AZ27,'M1'!AD$10:AD$49))</f>
        <v/>
      </c>
      <c r="AE27" s="97">
        <f>SUMPRODUCT(MMULT('M5'!$M27:$AZ27,'M1'!AE$10:AE$49))</f>
        <v/>
      </c>
      <c r="AF27" s="97">
        <f>SUMPRODUCT(MMULT('M5'!$M27:$AZ27,'M1'!AF$10:AF$49))</f>
        <v/>
      </c>
      <c r="AG27" s="97">
        <f>SUMPRODUCT(MMULT('M5'!$M27:$AZ27,'M1'!AG$10:AG$49))</f>
        <v/>
      </c>
      <c r="AH27" s="97">
        <f>SUMPRODUCT(MMULT('M5'!$M27:$AZ27,'M1'!AH$10:AH$49))</f>
        <v/>
      </c>
      <c r="AI27" s="97">
        <f>SUMPRODUCT(MMULT('M5'!$M27:$AZ27,'M1'!AI$10:AI$49))</f>
        <v/>
      </c>
      <c r="AJ27" s="97">
        <f>SUMPRODUCT(MMULT('M5'!$M27:$AZ27,'M1'!AJ$10:AJ$49))</f>
        <v/>
      </c>
      <c r="AK27" s="97">
        <f>SUMPRODUCT(MMULT('M5'!$M27:$AZ27,'M1'!AK$10:AK$49))</f>
        <v/>
      </c>
      <c r="AL27" s="97">
        <f>SUMPRODUCT(MMULT('M5'!$M27:$AZ27,'M1'!AL$10:AL$49))</f>
        <v/>
      </c>
      <c r="AM27" s="97">
        <f>SUMPRODUCT(MMULT('M5'!$M27:$AZ27,'M1'!AM$10:AM$49))</f>
        <v/>
      </c>
      <c r="AN27" s="97">
        <f>SUMPRODUCT(MMULT('M5'!$M27:$AZ27,'M1'!AN$10:AN$49))</f>
        <v/>
      </c>
      <c r="AO27" s="97">
        <f>SUMPRODUCT(MMULT('M5'!$M27:$AZ27,'M1'!AO$10:AO$49))</f>
        <v/>
      </c>
      <c r="AP27" s="97">
        <f>SUMPRODUCT(MMULT('M5'!$M27:$AZ27,'M1'!AP$10:AP$49))</f>
        <v/>
      </c>
      <c r="AQ27" s="97">
        <f>SUMPRODUCT(MMULT('M5'!$M27:$AZ27,'M1'!AQ$10:AQ$49))</f>
        <v/>
      </c>
      <c r="AR27" s="97">
        <f>SUMPRODUCT(MMULT('M5'!$M27:$AZ27,'M1'!AR$10:AR$49))</f>
        <v/>
      </c>
      <c r="AS27" s="97">
        <f>SUMPRODUCT(MMULT('M5'!$M27:$AZ27,'M1'!AS$10:AS$49))</f>
        <v/>
      </c>
      <c r="AT27" s="97">
        <f>SUMPRODUCT(MMULT('M5'!$M27:$AZ27,'M1'!AT$10:AT$49))</f>
        <v/>
      </c>
      <c r="AU27" s="97">
        <f>SUMPRODUCT(MMULT('M5'!$M27:$AZ27,'M1'!AU$10:AU$49))</f>
        <v/>
      </c>
      <c r="AV27" s="97">
        <f>SUMPRODUCT(MMULT('M5'!$M27:$AZ27,'M1'!AV$10:AV$49))</f>
        <v/>
      </c>
      <c r="AW27" s="97">
        <f>SUMPRODUCT(MMULT('M5'!$M27:$AZ27,'M1'!AW$10:AW$49))</f>
        <v/>
      </c>
      <c r="AX27" s="97">
        <f>SUMPRODUCT(MMULT('M5'!$M27:$AZ27,'M1'!AX$10:AX$49))</f>
        <v/>
      </c>
      <c r="AY27" s="97">
        <f>SUMPRODUCT(MMULT('M5'!$M27:$AZ27,'M1'!AY$10:AY$49))</f>
        <v/>
      </c>
      <c r="AZ27" s="97">
        <f>SUMPRODUCT(MMULT('M5'!$M27:$AZ27,'M1'!AZ$10:AZ$49))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SUMPRODUCT(MMULT('M5'!$M28:$AZ28,'M1'!M$10:M$49))</f>
        <v/>
      </c>
      <c r="N28" s="97">
        <f>SUMPRODUCT(MMULT('M5'!$M28:$AZ28,'M1'!N$10:N$49))</f>
        <v/>
      </c>
      <c r="O28" s="97">
        <f>SUMPRODUCT(MMULT('M5'!$M28:$AZ28,'M1'!O$10:O$49))</f>
        <v/>
      </c>
      <c r="P28" s="97">
        <f>SUMPRODUCT(MMULT('M5'!$M28:$AZ28,'M1'!P$10:P$49))</f>
        <v/>
      </c>
      <c r="Q28" s="97">
        <f>SUMPRODUCT(MMULT('M5'!$M28:$AZ28,'M1'!Q$10:Q$49))</f>
        <v/>
      </c>
      <c r="R28" s="97">
        <f>SUMPRODUCT(MMULT('M5'!$M28:$AZ28,'M1'!R$10:R$49))</f>
        <v/>
      </c>
      <c r="S28" s="97">
        <f>SUMPRODUCT(MMULT('M5'!$M28:$AZ28,'M1'!S$10:S$49))</f>
        <v/>
      </c>
      <c r="T28" s="97">
        <f>SUMPRODUCT(MMULT('M5'!$M28:$AZ28,'M1'!T$10:T$49))</f>
        <v/>
      </c>
      <c r="U28" s="97">
        <f>SUMPRODUCT(MMULT('M5'!$M28:$AZ28,'M1'!U$10:U$49))</f>
        <v/>
      </c>
      <c r="V28" s="97">
        <f>SUMPRODUCT(MMULT('M5'!$M28:$AZ28,'M1'!V$10:V$49))</f>
        <v/>
      </c>
      <c r="W28" s="97">
        <f>SUMPRODUCT(MMULT('M5'!$M28:$AZ28,'M1'!W$10:W$49))</f>
        <v/>
      </c>
      <c r="X28" s="97">
        <f>SUMPRODUCT(MMULT('M5'!$M28:$AZ28,'M1'!X$10:X$49))</f>
        <v/>
      </c>
      <c r="Y28" s="97">
        <f>SUMPRODUCT(MMULT('M5'!$M28:$AZ28,'M1'!Y$10:Y$49))</f>
        <v/>
      </c>
      <c r="Z28" s="97">
        <f>SUMPRODUCT(MMULT('M5'!$M28:$AZ28,'M1'!Z$10:Z$49))</f>
        <v/>
      </c>
      <c r="AA28" s="97">
        <f>SUMPRODUCT(MMULT('M5'!$M28:$AZ28,'M1'!AA$10:AA$49))</f>
        <v/>
      </c>
      <c r="AB28" s="97">
        <f>SUMPRODUCT(MMULT('M5'!$M28:$AZ28,'M1'!AB$10:AB$49))</f>
        <v/>
      </c>
      <c r="AC28" s="97">
        <f>SUMPRODUCT(MMULT('M5'!$M28:$AZ28,'M1'!AC$10:AC$49))</f>
        <v/>
      </c>
      <c r="AD28" s="97">
        <f>SUMPRODUCT(MMULT('M5'!$M28:$AZ28,'M1'!AD$10:AD$49))</f>
        <v/>
      </c>
      <c r="AE28" s="97">
        <f>SUMPRODUCT(MMULT('M5'!$M28:$AZ28,'M1'!AE$10:AE$49))</f>
        <v/>
      </c>
      <c r="AF28" s="97">
        <f>SUMPRODUCT(MMULT('M5'!$M28:$AZ28,'M1'!AF$10:AF$49))</f>
        <v/>
      </c>
      <c r="AG28" s="97">
        <f>SUMPRODUCT(MMULT('M5'!$M28:$AZ28,'M1'!AG$10:AG$49))</f>
        <v/>
      </c>
      <c r="AH28" s="97">
        <f>SUMPRODUCT(MMULT('M5'!$M28:$AZ28,'M1'!AH$10:AH$49))</f>
        <v/>
      </c>
      <c r="AI28" s="97">
        <f>SUMPRODUCT(MMULT('M5'!$M28:$AZ28,'M1'!AI$10:AI$49))</f>
        <v/>
      </c>
      <c r="AJ28" s="97">
        <f>SUMPRODUCT(MMULT('M5'!$M28:$AZ28,'M1'!AJ$10:AJ$49))</f>
        <v/>
      </c>
      <c r="AK28" s="97">
        <f>SUMPRODUCT(MMULT('M5'!$M28:$AZ28,'M1'!AK$10:AK$49))</f>
        <v/>
      </c>
      <c r="AL28" s="97">
        <f>SUMPRODUCT(MMULT('M5'!$M28:$AZ28,'M1'!AL$10:AL$49))</f>
        <v/>
      </c>
      <c r="AM28" s="97">
        <f>SUMPRODUCT(MMULT('M5'!$M28:$AZ28,'M1'!AM$10:AM$49))</f>
        <v/>
      </c>
      <c r="AN28" s="97">
        <f>SUMPRODUCT(MMULT('M5'!$M28:$AZ28,'M1'!AN$10:AN$49))</f>
        <v/>
      </c>
      <c r="AO28" s="97">
        <f>SUMPRODUCT(MMULT('M5'!$M28:$AZ28,'M1'!AO$10:AO$49))</f>
        <v/>
      </c>
      <c r="AP28" s="97">
        <f>SUMPRODUCT(MMULT('M5'!$M28:$AZ28,'M1'!AP$10:AP$49))</f>
        <v/>
      </c>
      <c r="AQ28" s="97">
        <f>SUMPRODUCT(MMULT('M5'!$M28:$AZ28,'M1'!AQ$10:AQ$49))</f>
        <v/>
      </c>
      <c r="AR28" s="97">
        <f>SUMPRODUCT(MMULT('M5'!$M28:$AZ28,'M1'!AR$10:AR$49))</f>
        <v/>
      </c>
      <c r="AS28" s="97">
        <f>SUMPRODUCT(MMULT('M5'!$M28:$AZ28,'M1'!AS$10:AS$49))</f>
        <v/>
      </c>
      <c r="AT28" s="97">
        <f>SUMPRODUCT(MMULT('M5'!$M28:$AZ28,'M1'!AT$10:AT$49))</f>
        <v/>
      </c>
      <c r="AU28" s="97">
        <f>SUMPRODUCT(MMULT('M5'!$M28:$AZ28,'M1'!AU$10:AU$49))</f>
        <v/>
      </c>
      <c r="AV28" s="97">
        <f>SUMPRODUCT(MMULT('M5'!$M28:$AZ28,'M1'!AV$10:AV$49))</f>
        <v/>
      </c>
      <c r="AW28" s="97">
        <f>SUMPRODUCT(MMULT('M5'!$M28:$AZ28,'M1'!AW$10:AW$49))</f>
        <v/>
      </c>
      <c r="AX28" s="97">
        <f>SUMPRODUCT(MMULT('M5'!$M28:$AZ28,'M1'!AX$10:AX$49))</f>
        <v/>
      </c>
      <c r="AY28" s="97">
        <f>SUMPRODUCT(MMULT('M5'!$M28:$AZ28,'M1'!AY$10:AY$49))</f>
        <v/>
      </c>
      <c r="AZ28" s="97">
        <f>SUMPRODUCT(MMULT('M5'!$M28:$AZ28,'M1'!AZ$10:AZ$49))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SUMPRODUCT(MMULT('M5'!$M29:$AZ29,'M1'!M$10:M$49))</f>
        <v/>
      </c>
      <c r="N29" s="97">
        <f>SUMPRODUCT(MMULT('M5'!$M29:$AZ29,'M1'!N$10:N$49))</f>
        <v/>
      </c>
      <c r="O29" s="97">
        <f>SUMPRODUCT(MMULT('M5'!$M29:$AZ29,'M1'!O$10:O$49))</f>
        <v/>
      </c>
      <c r="P29" s="97">
        <f>SUMPRODUCT(MMULT('M5'!$M29:$AZ29,'M1'!P$10:P$49))</f>
        <v/>
      </c>
      <c r="Q29" s="97">
        <f>SUMPRODUCT(MMULT('M5'!$M29:$AZ29,'M1'!Q$10:Q$49))</f>
        <v/>
      </c>
      <c r="R29" s="97">
        <f>SUMPRODUCT(MMULT('M5'!$M29:$AZ29,'M1'!R$10:R$49))</f>
        <v/>
      </c>
      <c r="S29" s="97">
        <f>SUMPRODUCT(MMULT('M5'!$M29:$AZ29,'M1'!S$10:S$49))</f>
        <v/>
      </c>
      <c r="T29" s="97">
        <f>SUMPRODUCT(MMULT('M5'!$M29:$AZ29,'M1'!T$10:T$49))</f>
        <v/>
      </c>
      <c r="U29" s="97">
        <f>SUMPRODUCT(MMULT('M5'!$M29:$AZ29,'M1'!U$10:U$49))</f>
        <v/>
      </c>
      <c r="V29" s="97">
        <f>SUMPRODUCT(MMULT('M5'!$M29:$AZ29,'M1'!V$10:V$49))</f>
        <v/>
      </c>
      <c r="W29" s="97">
        <f>SUMPRODUCT(MMULT('M5'!$M29:$AZ29,'M1'!W$10:W$49))</f>
        <v/>
      </c>
      <c r="X29" s="97">
        <f>SUMPRODUCT(MMULT('M5'!$M29:$AZ29,'M1'!X$10:X$49))</f>
        <v/>
      </c>
      <c r="Y29" s="97">
        <f>SUMPRODUCT(MMULT('M5'!$M29:$AZ29,'M1'!Y$10:Y$49))</f>
        <v/>
      </c>
      <c r="Z29" s="97">
        <f>SUMPRODUCT(MMULT('M5'!$M29:$AZ29,'M1'!Z$10:Z$49))</f>
        <v/>
      </c>
      <c r="AA29" s="97">
        <f>SUMPRODUCT(MMULT('M5'!$M29:$AZ29,'M1'!AA$10:AA$49))</f>
        <v/>
      </c>
      <c r="AB29" s="97">
        <f>SUMPRODUCT(MMULT('M5'!$M29:$AZ29,'M1'!AB$10:AB$49))</f>
        <v/>
      </c>
      <c r="AC29" s="97">
        <f>SUMPRODUCT(MMULT('M5'!$M29:$AZ29,'M1'!AC$10:AC$49))</f>
        <v/>
      </c>
      <c r="AD29" s="97">
        <f>SUMPRODUCT(MMULT('M5'!$M29:$AZ29,'M1'!AD$10:AD$49))</f>
        <v/>
      </c>
      <c r="AE29" s="97">
        <f>SUMPRODUCT(MMULT('M5'!$M29:$AZ29,'M1'!AE$10:AE$49))</f>
        <v/>
      </c>
      <c r="AF29" s="97">
        <f>SUMPRODUCT(MMULT('M5'!$M29:$AZ29,'M1'!AF$10:AF$49))</f>
        <v/>
      </c>
      <c r="AG29" s="97">
        <f>SUMPRODUCT(MMULT('M5'!$M29:$AZ29,'M1'!AG$10:AG$49))</f>
        <v/>
      </c>
      <c r="AH29" s="97">
        <f>SUMPRODUCT(MMULT('M5'!$M29:$AZ29,'M1'!AH$10:AH$49))</f>
        <v/>
      </c>
      <c r="AI29" s="97">
        <f>SUMPRODUCT(MMULT('M5'!$M29:$AZ29,'M1'!AI$10:AI$49))</f>
        <v/>
      </c>
      <c r="AJ29" s="97">
        <f>SUMPRODUCT(MMULT('M5'!$M29:$AZ29,'M1'!AJ$10:AJ$49))</f>
        <v/>
      </c>
      <c r="AK29" s="97">
        <f>SUMPRODUCT(MMULT('M5'!$M29:$AZ29,'M1'!AK$10:AK$49))</f>
        <v/>
      </c>
      <c r="AL29" s="97">
        <f>SUMPRODUCT(MMULT('M5'!$M29:$AZ29,'M1'!AL$10:AL$49))</f>
        <v/>
      </c>
      <c r="AM29" s="97">
        <f>SUMPRODUCT(MMULT('M5'!$M29:$AZ29,'M1'!AM$10:AM$49))</f>
        <v/>
      </c>
      <c r="AN29" s="97">
        <f>SUMPRODUCT(MMULT('M5'!$M29:$AZ29,'M1'!AN$10:AN$49))</f>
        <v/>
      </c>
      <c r="AO29" s="97">
        <f>SUMPRODUCT(MMULT('M5'!$M29:$AZ29,'M1'!AO$10:AO$49))</f>
        <v/>
      </c>
      <c r="AP29" s="97">
        <f>SUMPRODUCT(MMULT('M5'!$M29:$AZ29,'M1'!AP$10:AP$49))</f>
        <v/>
      </c>
      <c r="AQ29" s="97">
        <f>SUMPRODUCT(MMULT('M5'!$M29:$AZ29,'M1'!AQ$10:AQ$49))</f>
        <v/>
      </c>
      <c r="AR29" s="97">
        <f>SUMPRODUCT(MMULT('M5'!$M29:$AZ29,'M1'!AR$10:AR$49))</f>
        <v/>
      </c>
      <c r="AS29" s="97">
        <f>SUMPRODUCT(MMULT('M5'!$M29:$AZ29,'M1'!AS$10:AS$49))</f>
        <v/>
      </c>
      <c r="AT29" s="97">
        <f>SUMPRODUCT(MMULT('M5'!$M29:$AZ29,'M1'!AT$10:AT$49))</f>
        <v/>
      </c>
      <c r="AU29" s="97">
        <f>SUMPRODUCT(MMULT('M5'!$M29:$AZ29,'M1'!AU$10:AU$49))</f>
        <v/>
      </c>
      <c r="AV29" s="97">
        <f>SUMPRODUCT(MMULT('M5'!$M29:$AZ29,'M1'!AV$10:AV$49))</f>
        <v/>
      </c>
      <c r="AW29" s="97">
        <f>SUMPRODUCT(MMULT('M5'!$M29:$AZ29,'M1'!AW$10:AW$49))</f>
        <v/>
      </c>
      <c r="AX29" s="97">
        <f>SUMPRODUCT(MMULT('M5'!$M29:$AZ29,'M1'!AX$10:AX$49))</f>
        <v/>
      </c>
      <c r="AY29" s="97">
        <f>SUMPRODUCT(MMULT('M5'!$M29:$AZ29,'M1'!AY$10:AY$49))</f>
        <v/>
      </c>
      <c r="AZ29" s="97">
        <f>SUMPRODUCT(MMULT('M5'!$M29:$AZ29,'M1'!AZ$10:AZ$49))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SUMPRODUCT(MMULT('M5'!$M30:$AZ30,'M1'!M$10:M$49))</f>
        <v/>
      </c>
      <c r="N30" s="97">
        <f>SUMPRODUCT(MMULT('M5'!$M30:$AZ30,'M1'!N$10:N$49))</f>
        <v/>
      </c>
      <c r="O30" s="97">
        <f>SUMPRODUCT(MMULT('M5'!$M30:$AZ30,'M1'!O$10:O$49))</f>
        <v/>
      </c>
      <c r="P30" s="97">
        <f>SUMPRODUCT(MMULT('M5'!$M30:$AZ30,'M1'!P$10:P$49))</f>
        <v/>
      </c>
      <c r="Q30" s="97">
        <f>SUMPRODUCT(MMULT('M5'!$M30:$AZ30,'M1'!Q$10:Q$49))</f>
        <v/>
      </c>
      <c r="R30" s="97">
        <f>SUMPRODUCT(MMULT('M5'!$M30:$AZ30,'M1'!R$10:R$49))</f>
        <v/>
      </c>
      <c r="S30" s="97">
        <f>SUMPRODUCT(MMULT('M5'!$M30:$AZ30,'M1'!S$10:S$49))</f>
        <v/>
      </c>
      <c r="T30" s="97">
        <f>SUMPRODUCT(MMULT('M5'!$M30:$AZ30,'M1'!T$10:T$49))</f>
        <v/>
      </c>
      <c r="U30" s="97">
        <f>SUMPRODUCT(MMULT('M5'!$M30:$AZ30,'M1'!U$10:U$49))</f>
        <v/>
      </c>
      <c r="V30" s="97">
        <f>SUMPRODUCT(MMULT('M5'!$M30:$AZ30,'M1'!V$10:V$49))</f>
        <v/>
      </c>
      <c r="W30" s="97">
        <f>SUMPRODUCT(MMULT('M5'!$M30:$AZ30,'M1'!W$10:W$49))</f>
        <v/>
      </c>
      <c r="X30" s="97">
        <f>SUMPRODUCT(MMULT('M5'!$M30:$AZ30,'M1'!X$10:X$49))</f>
        <v/>
      </c>
      <c r="Y30" s="97">
        <f>SUMPRODUCT(MMULT('M5'!$M30:$AZ30,'M1'!Y$10:Y$49))</f>
        <v/>
      </c>
      <c r="Z30" s="97">
        <f>SUMPRODUCT(MMULT('M5'!$M30:$AZ30,'M1'!Z$10:Z$49))</f>
        <v/>
      </c>
      <c r="AA30" s="97">
        <f>SUMPRODUCT(MMULT('M5'!$M30:$AZ30,'M1'!AA$10:AA$49))</f>
        <v/>
      </c>
      <c r="AB30" s="97">
        <f>SUMPRODUCT(MMULT('M5'!$M30:$AZ30,'M1'!AB$10:AB$49))</f>
        <v/>
      </c>
      <c r="AC30" s="97">
        <f>SUMPRODUCT(MMULT('M5'!$M30:$AZ30,'M1'!AC$10:AC$49))</f>
        <v/>
      </c>
      <c r="AD30" s="97">
        <f>SUMPRODUCT(MMULT('M5'!$M30:$AZ30,'M1'!AD$10:AD$49))</f>
        <v/>
      </c>
      <c r="AE30" s="97">
        <f>SUMPRODUCT(MMULT('M5'!$M30:$AZ30,'M1'!AE$10:AE$49))</f>
        <v/>
      </c>
      <c r="AF30" s="97">
        <f>SUMPRODUCT(MMULT('M5'!$M30:$AZ30,'M1'!AF$10:AF$49))</f>
        <v/>
      </c>
      <c r="AG30" s="97">
        <f>SUMPRODUCT(MMULT('M5'!$M30:$AZ30,'M1'!AG$10:AG$49))</f>
        <v/>
      </c>
      <c r="AH30" s="97">
        <f>SUMPRODUCT(MMULT('M5'!$M30:$AZ30,'M1'!AH$10:AH$49))</f>
        <v/>
      </c>
      <c r="AI30" s="97">
        <f>SUMPRODUCT(MMULT('M5'!$M30:$AZ30,'M1'!AI$10:AI$49))</f>
        <v/>
      </c>
      <c r="AJ30" s="97">
        <f>SUMPRODUCT(MMULT('M5'!$M30:$AZ30,'M1'!AJ$10:AJ$49))</f>
        <v/>
      </c>
      <c r="AK30" s="97">
        <f>SUMPRODUCT(MMULT('M5'!$M30:$AZ30,'M1'!AK$10:AK$49))</f>
        <v/>
      </c>
      <c r="AL30" s="97">
        <f>SUMPRODUCT(MMULT('M5'!$M30:$AZ30,'M1'!AL$10:AL$49))</f>
        <v/>
      </c>
      <c r="AM30" s="97">
        <f>SUMPRODUCT(MMULT('M5'!$M30:$AZ30,'M1'!AM$10:AM$49))</f>
        <v/>
      </c>
      <c r="AN30" s="97">
        <f>SUMPRODUCT(MMULT('M5'!$M30:$AZ30,'M1'!AN$10:AN$49))</f>
        <v/>
      </c>
      <c r="AO30" s="97">
        <f>SUMPRODUCT(MMULT('M5'!$M30:$AZ30,'M1'!AO$10:AO$49))</f>
        <v/>
      </c>
      <c r="AP30" s="97">
        <f>SUMPRODUCT(MMULT('M5'!$M30:$AZ30,'M1'!AP$10:AP$49))</f>
        <v/>
      </c>
      <c r="AQ30" s="97">
        <f>SUMPRODUCT(MMULT('M5'!$M30:$AZ30,'M1'!AQ$10:AQ$49))</f>
        <v/>
      </c>
      <c r="AR30" s="97">
        <f>SUMPRODUCT(MMULT('M5'!$M30:$AZ30,'M1'!AR$10:AR$49))</f>
        <v/>
      </c>
      <c r="AS30" s="97">
        <f>SUMPRODUCT(MMULT('M5'!$M30:$AZ30,'M1'!AS$10:AS$49))</f>
        <v/>
      </c>
      <c r="AT30" s="97">
        <f>SUMPRODUCT(MMULT('M5'!$M30:$AZ30,'M1'!AT$10:AT$49))</f>
        <v/>
      </c>
      <c r="AU30" s="97">
        <f>SUMPRODUCT(MMULT('M5'!$M30:$AZ30,'M1'!AU$10:AU$49))</f>
        <v/>
      </c>
      <c r="AV30" s="97">
        <f>SUMPRODUCT(MMULT('M5'!$M30:$AZ30,'M1'!AV$10:AV$49))</f>
        <v/>
      </c>
      <c r="AW30" s="97">
        <f>SUMPRODUCT(MMULT('M5'!$M30:$AZ30,'M1'!AW$10:AW$49))</f>
        <v/>
      </c>
      <c r="AX30" s="97">
        <f>SUMPRODUCT(MMULT('M5'!$M30:$AZ30,'M1'!AX$10:AX$49))</f>
        <v/>
      </c>
      <c r="AY30" s="97">
        <f>SUMPRODUCT(MMULT('M5'!$M30:$AZ30,'M1'!AY$10:AY$49))</f>
        <v/>
      </c>
      <c r="AZ30" s="97">
        <f>SUMPRODUCT(MMULT('M5'!$M30:$AZ30,'M1'!AZ$10:AZ$49))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SUMPRODUCT(MMULT('M5'!$M31:$AZ31,'M1'!M$10:M$49))</f>
        <v/>
      </c>
      <c r="N31" s="97">
        <f>SUMPRODUCT(MMULT('M5'!$M31:$AZ31,'M1'!N$10:N$49))</f>
        <v/>
      </c>
      <c r="O31" s="97">
        <f>SUMPRODUCT(MMULT('M5'!$M31:$AZ31,'M1'!O$10:O$49))</f>
        <v/>
      </c>
      <c r="P31" s="97">
        <f>SUMPRODUCT(MMULT('M5'!$M31:$AZ31,'M1'!P$10:P$49))</f>
        <v/>
      </c>
      <c r="Q31" s="97">
        <f>SUMPRODUCT(MMULT('M5'!$M31:$AZ31,'M1'!Q$10:Q$49))</f>
        <v/>
      </c>
      <c r="R31" s="97">
        <f>SUMPRODUCT(MMULT('M5'!$M31:$AZ31,'M1'!R$10:R$49))</f>
        <v/>
      </c>
      <c r="S31" s="97">
        <f>SUMPRODUCT(MMULT('M5'!$M31:$AZ31,'M1'!S$10:S$49))</f>
        <v/>
      </c>
      <c r="T31" s="97">
        <f>SUMPRODUCT(MMULT('M5'!$M31:$AZ31,'M1'!T$10:T$49))</f>
        <v/>
      </c>
      <c r="U31" s="97">
        <f>SUMPRODUCT(MMULT('M5'!$M31:$AZ31,'M1'!U$10:U$49))</f>
        <v/>
      </c>
      <c r="V31" s="97">
        <f>SUMPRODUCT(MMULT('M5'!$M31:$AZ31,'M1'!V$10:V$49))</f>
        <v/>
      </c>
      <c r="W31" s="97">
        <f>SUMPRODUCT(MMULT('M5'!$M31:$AZ31,'M1'!W$10:W$49))</f>
        <v/>
      </c>
      <c r="X31" s="97">
        <f>SUMPRODUCT(MMULT('M5'!$M31:$AZ31,'M1'!X$10:X$49))</f>
        <v/>
      </c>
      <c r="Y31" s="97">
        <f>SUMPRODUCT(MMULT('M5'!$M31:$AZ31,'M1'!Y$10:Y$49))</f>
        <v/>
      </c>
      <c r="Z31" s="97">
        <f>SUMPRODUCT(MMULT('M5'!$M31:$AZ31,'M1'!Z$10:Z$49))</f>
        <v/>
      </c>
      <c r="AA31" s="97">
        <f>SUMPRODUCT(MMULT('M5'!$M31:$AZ31,'M1'!AA$10:AA$49))</f>
        <v/>
      </c>
      <c r="AB31" s="97">
        <f>SUMPRODUCT(MMULT('M5'!$M31:$AZ31,'M1'!AB$10:AB$49))</f>
        <v/>
      </c>
      <c r="AC31" s="97">
        <f>SUMPRODUCT(MMULT('M5'!$M31:$AZ31,'M1'!AC$10:AC$49))</f>
        <v/>
      </c>
      <c r="AD31" s="97">
        <f>SUMPRODUCT(MMULT('M5'!$M31:$AZ31,'M1'!AD$10:AD$49))</f>
        <v/>
      </c>
      <c r="AE31" s="97">
        <f>SUMPRODUCT(MMULT('M5'!$M31:$AZ31,'M1'!AE$10:AE$49))</f>
        <v/>
      </c>
      <c r="AF31" s="97">
        <f>SUMPRODUCT(MMULT('M5'!$M31:$AZ31,'M1'!AF$10:AF$49))</f>
        <v/>
      </c>
      <c r="AG31" s="97">
        <f>SUMPRODUCT(MMULT('M5'!$M31:$AZ31,'M1'!AG$10:AG$49))</f>
        <v/>
      </c>
      <c r="AH31" s="97">
        <f>SUMPRODUCT(MMULT('M5'!$M31:$AZ31,'M1'!AH$10:AH$49))</f>
        <v/>
      </c>
      <c r="AI31" s="97">
        <f>SUMPRODUCT(MMULT('M5'!$M31:$AZ31,'M1'!AI$10:AI$49))</f>
        <v/>
      </c>
      <c r="AJ31" s="97">
        <f>SUMPRODUCT(MMULT('M5'!$M31:$AZ31,'M1'!AJ$10:AJ$49))</f>
        <v/>
      </c>
      <c r="AK31" s="97">
        <f>SUMPRODUCT(MMULT('M5'!$M31:$AZ31,'M1'!AK$10:AK$49))</f>
        <v/>
      </c>
      <c r="AL31" s="97">
        <f>SUMPRODUCT(MMULT('M5'!$M31:$AZ31,'M1'!AL$10:AL$49))</f>
        <v/>
      </c>
      <c r="AM31" s="97">
        <f>SUMPRODUCT(MMULT('M5'!$M31:$AZ31,'M1'!AM$10:AM$49))</f>
        <v/>
      </c>
      <c r="AN31" s="97">
        <f>SUMPRODUCT(MMULT('M5'!$M31:$AZ31,'M1'!AN$10:AN$49))</f>
        <v/>
      </c>
      <c r="AO31" s="97">
        <f>SUMPRODUCT(MMULT('M5'!$M31:$AZ31,'M1'!AO$10:AO$49))</f>
        <v/>
      </c>
      <c r="AP31" s="97">
        <f>SUMPRODUCT(MMULT('M5'!$M31:$AZ31,'M1'!AP$10:AP$49))</f>
        <v/>
      </c>
      <c r="AQ31" s="97">
        <f>SUMPRODUCT(MMULT('M5'!$M31:$AZ31,'M1'!AQ$10:AQ$49))</f>
        <v/>
      </c>
      <c r="AR31" s="97">
        <f>SUMPRODUCT(MMULT('M5'!$M31:$AZ31,'M1'!AR$10:AR$49))</f>
        <v/>
      </c>
      <c r="AS31" s="97">
        <f>SUMPRODUCT(MMULT('M5'!$M31:$AZ31,'M1'!AS$10:AS$49))</f>
        <v/>
      </c>
      <c r="AT31" s="97">
        <f>SUMPRODUCT(MMULT('M5'!$M31:$AZ31,'M1'!AT$10:AT$49))</f>
        <v/>
      </c>
      <c r="AU31" s="97">
        <f>SUMPRODUCT(MMULT('M5'!$M31:$AZ31,'M1'!AU$10:AU$49))</f>
        <v/>
      </c>
      <c r="AV31" s="97">
        <f>SUMPRODUCT(MMULT('M5'!$M31:$AZ31,'M1'!AV$10:AV$49))</f>
        <v/>
      </c>
      <c r="AW31" s="97">
        <f>SUMPRODUCT(MMULT('M5'!$M31:$AZ31,'M1'!AW$10:AW$49))</f>
        <v/>
      </c>
      <c r="AX31" s="97">
        <f>SUMPRODUCT(MMULT('M5'!$M31:$AZ31,'M1'!AX$10:AX$49))</f>
        <v/>
      </c>
      <c r="AY31" s="97">
        <f>SUMPRODUCT(MMULT('M5'!$M31:$AZ31,'M1'!AY$10:AY$49))</f>
        <v/>
      </c>
      <c r="AZ31" s="97">
        <f>SUMPRODUCT(MMULT('M5'!$M31:$AZ31,'M1'!AZ$10:AZ$49))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SUMPRODUCT(MMULT('M5'!$M32:$AZ32,'M1'!M$10:M$49))</f>
        <v/>
      </c>
      <c r="N32" s="97">
        <f>SUMPRODUCT(MMULT('M5'!$M32:$AZ32,'M1'!N$10:N$49))</f>
        <v/>
      </c>
      <c r="O32" s="97">
        <f>SUMPRODUCT(MMULT('M5'!$M32:$AZ32,'M1'!O$10:O$49))</f>
        <v/>
      </c>
      <c r="P32" s="97">
        <f>SUMPRODUCT(MMULT('M5'!$M32:$AZ32,'M1'!P$10:P$49))</f>
        <v/>
      </c>
      <c r="Q32" s="97">
        <f>SUMPRODUCT(MMULT('M5'!$M32:$AZ32,'M1'!Q$10:Q$49))</f>
        <v/>
      </c>
      <c r="R32" s="97">
        <f>SUMPRODUCT(MMULT('M5'!$M32:$AZ32,'M1'!R$10:R$49))</f>
        <v/>
      </c>
      <c r="S32" s="97">
        <f>SUMPRODUCT(MMULT('M5'!$M32:$AZ32,'M1'!S$10:S$49))</f>
        <v/>
      </c>
      <c r="T32" s="97">
        <f>SUMPRODUCT(MMULT('M5'!$M32:$AZ32,'M1'!T$10:T$49))</f>
        <v/>
      </c>
      <c r="U32" s="97">
        <f>SUMPRODUCT(MMULT('M5'!$M32:$AZ32,'M1'!U$10:U$49))</f>
        <v/>
      </c>
      <c r="V32" s="97">
        <f>SUMPRODUCT(MMULT('M5'!$M32:$AZ32,'M1'!V$10:V$49))</f>
        <v/>
      </c>
      <c r="W32" s="97">
        <f>SUMPRODUCT(MMULT('M5'!$M32:$AZ32,'M1'!W$10:W$49))</f>
        <v/>
      </c>
      <c r="X32" s="97">
        <f>SUMPRODUCT(MMULT('M5'!$M32:$AZ32,'M1'!X$10:X$49))</f>
        <v/>
      </c>
      <c r="Y32" s="97">
        <f>SUMPRODUCT(MMULT('M5'!$M32:$AZ32,'M1'!Y$10:Y$49))</f>
        <v/>
      </c>
      <c r="Z32" s="97">
        <f>SUMPRODUCT(MMULT('M5'!$M32:$AZ32,'M1'!Z$10:Z$49))</f>
        <v/>
      </c>
      <c r="AA32" s="97">
        <f>SUMPRODUCT(MMULT('M5'!$M32:$AZ32,'M1'!AA$10:AA$49))</f>
        <v/>
      </c>
      <c r="AB32" s="97">
        <f>SUMPRODUCT(MMULT('M5'!$M32:$AZ32,'M1'!AB$10:AB$49))</f>
        <v/>
      </c>
      <c r="AC32" s="97">
        <f>SUMPRODUCT(MMULT('M5'!$M32:$AZ32,'M1'!AC$10:AC$49))</f>
        <v/>
      </c>
      <c r="AD32" s="97">
        <f>SUMPRODUCT(MMULT('M5'!$M32:$AZ32,'M1'!AD$10:AD$49))</f>
        <v/>
      </c>
      <c r="AE32" s="97">
        <f>SUMPRODUCT(MMULT('M5'!$M32:$AZ32,'M1'!AE$10:AE$49))</f>
        <v/>
      </c>
      <c r="AF32" s="97">
        <f>SUMPRODUCT(MMULT('M5'!$M32:$AZ32,'M1'!AF$10:AF$49))</f>
        <v/>
      </c>
      <c r="AG32" s="97">
        <f>SUMPRODUCT(MMULT('M5'!$M32:$AZ32,'M1'!AG$10:AG$49))</f>
        <v/>
      </c>
      <c r="AH32" s="97">
        <f>SUMPRODUCT(MMULT('M5'!$M32:$AZ32,'M1'!AH$10:AH$49))</f>
        <v/>
      </c>
      <c r="AI32" s="97">
        <f>SUMPRODUCT(MMULT('M5'!$M32:$AZ32,'M1'!AI$10:AI$49))</f>
        <v/>
      </c>
      <c r="AJ32" s="97">
        <f>SUMPRODUCT(MMULT('M5'!$M32:$AZ32,'M1'!AJ$10:AJ$49))</f>
        <v/>
      </c>
      <c r="AK32" s="97">
        <f>SUMPRODUCT(MMULT('M5'!$M32:$AZ32,'M1'!AK$10:AK$49))</f>
        <v/>
      </c>
      <c r="AL32" s="97">
        <f>SUMPRODUCT(MMULT('M5'!$M32:$AZ32,'M1'!AL$10:AL$49))</f>
        <v/>
      </c>
      <c r="AM32" s="97">
        <f>SUMPRODUCT(MMULT('M5'!$M32:$AZ32,'M1'!AM$10:AM$49))</f>
        <v/>
      </c>
      <c r="AN32" s="97">
        <f>SUMPRODUCT(MMULT('M5'!$M32:$AZ32,'M1'!AN$10:AN$49))</f>
        <v/>
      </c>
      <c r="AO32" s="97">
        <f>SUMPRODUCT(MMULT('M5'!$M32:$AZ32,'M1'!AO$10:AO$49))</f>
        <v/>
      </c>
      <c r="AP32" s="97">
        <f>SUMPRODUCT(MMULT('M5'!$M32:$AZ32,'M1'!AP$10:AP$49))</f>
        <v/>
      </c>
      <c r="AQ32" s="97">
        <f>SUMPRODUCT(MMULT('M5'!$M32:$AZ32,'M1'!AQ$10:AQ$49))</f>
        <v/>
      </c>
      <c r="AR32" s="97">
        <f>SUMPRODUCT(MMULT('M5'!$M32:$AZ32,'M1'!AR$10:AR$49))</f>
        <v/>
      </c>
      <c r="AS32" s="97">
        <f>SUMPRODUCT(MMULT('M5'!$M32:$AZ32,'M1'!AS$10:AS$49))</f>
        <v/>
      </c>
      <c r="AT32" s="97">
        <f>SUMPRODUCT(MMULT('M5'!$M32:$AZ32,'M1'!AT$10:AT$49))</f>
        <v/>
      </c>
      <c r="AU32" s="97">
        <f>SUMPRODUCT(MMULT('M5'!$M32:$AZ32,'M1'!AU$10:AU$49))</f>
        <v/>
      </c>
      <c r="AV32" s="97">
        <f>SUMPRODUCT(MMULT('M5'!$M32:$AZ32,'M1'!AV$10:AV$49))</f>
        <v/>
      </c>
      <c r="AW32" s="97">
        <f>SUMPRODUCT(MMULT('M5'!$M32:$AZ32,'M1'!AW$10:AW$49))</f>
        <v/>
      </c>
      <c r="AX32" s="97">
        <f>SUMPRODUCT(MMULT('M5'!$M32:$AZ32,'M1'!AX$10:AX$49))</f>
        <v/>
      </c>
      <c r="AY32" s="97">
        <f>SUMPRODUCT(MMULT('M5'!$M32:$AZ32,'M1'!AY$10:AY$49))</f>
        <v/>
      </c>
      <c r="AZ32" s="97">
        <f>SUMPRODUCT(MMULT('M5'!$M32:$AZ32,'M1'!AZ$10:AZ$49))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SUMPRODUCT(MMULT('M5'!$M33:$AZ33,'M1'!M$10:M$49))</f>
        <v/>
      </c>
      <c r="N33" s="97">
        <f>SUMPRODUCT(MMULT('M5'!$M33:$AZ33,'M1'!N$10:N$49))</f>
        <v/>
      </c>
      <c r="O33" s="97">
        <f>SUMPRODUCT(MMULT('M5'!$M33:$AZ33,'M1'!O$10:O$49))</f>
        <v/>
      </c>
      <c r="P33" s="97">
        <f>SUMPRODUCT(MMULT('M5'!$M33:$AZ33,'M1'!P$10:P$49))</f>
        <v/>
      </c>
      <c r="Q33" s="97">
        <f>SUMPRODUCT(MMULT('M5'!$M33:$AZ33,'M1'!Q$10:Q$49))</f>
        <v/>
      </c>
      <c r="R33" s="97">
        <f>SUMPRODUCT(MMULT('M5'!$M33:$AZ33,'M1'!R$10:R$49))</f>
        <v/>
      </c>
      <c r="S33" s="97">
        <f>SUMPRODUCT(MMULT('M5'!$M33:$AZ33,'M1'!S$10:S$49))</f>
        <v/>
      </c>
      <c r="T33" s="97">
        <f>SUMPRODUCT(MMULT('M5'!$M33:$AZ33,'M1'!T$10:T$49))</f>
        <v/>
      </c>
      <c r="U33" s="97">
        <f>SUMPRODUCT(MMULT('M5'!$M33:$AZ33,'M1'!U$10:U$49))</f>
        <v/>
      </c>
      <c r="V33" s="97">
        <f>SUMPRODUCT(MMULT('M5'!$M33:$AZ33,'M1'!V$10:V$49))</f>
        <v/>
      </c>
      <c r="W33" s="97">
        <f>SUMPRODUCT(MMULT('M5'!$M33:$AZ33,'M1'!W$10:W$49))</f>
        <v/>
      </c>
      <c r="X33" s="97">
        <f>SUMPRODUCT(MMULT('M5'!$M33:$AZ33,'M1'!X$10:X$49))</f>
        <v/>
      </c>
      <c r="Y33" s="97">
        <f>SUMPRODUCT(MMULT('M5'!$M33:$AZ33,'M1'!Y$10:Y$49))</f>
        <v/>
      </c>
      <c r="Z33" s="97">
        <f>SUMPRODUCT(MMULT('M5'!$M33:$AZ33,'M1'!Z$10:Z$49))</f>
        <v/>
      </c>
      <c r="AA33" s="97">
        <f>SUMPRODUCT(MMULT('M5'!$M33:$AZ33,'M1'!AA$10:AA$49))</f>
        <v/>
      </c>
      <c r="AB33" s="97">
        <f>SUMPRODUCT(MMULT('M5'!$M33:$AZ33,'M1'!AB$10:AB$49))</f>
        <v/>
      </c>
      <c r="AC33" s="97">
        <f>SUMPRODUCT(MMULT('M5'!$M33:$AZ33,'M1'!AC$10:AC$49))</f>
        <v/>
      </c>
      <c r="AD33" s="97">
        <f>SUMPRODUCT(MMULT('M5'!$M33:$AZ33,'M1'!AD$10:AD$49))</f>
        <v/>
      </c>
      <c r="AE33" s="97">
        <f>SUMPRODUCT(MMULT('M5'!$M33:$AZ33,'M1'!AE$10:AE$49))</f>
        <v/>
      </c>
      <c r="AF33" s="97">
        <f>SUMPRODUCT(MMULT('M5'!$M33:$AZ33,'M1'!AF$10:AF$49))</f>
        <v/>
      </c>
      <c r="AG33" s="97">
        <f>SUMPRODUCT(MMULT('M5'!$M33:$AZ33,'M1'!AG$10:AG$49))</f>
        <v/>
      </c>
      <c r="AH33" s="97">
        <f>SUMPRODUCT(MMULT('M5'!$M33:$AZ33,'M1'!AH$10:AH$49))</f>
        <v/>
      </c>
      <c r="AI33" s="97">
        <f>SUMPRODUCT(MMULT('M5'!$M33:$AZ33,'M1'!AI$10:AI$49))</f>
        <v/>
      </c>
      <c r="AJ33" s="97">
        <f>SUMPRODUCT(MMULT('M5'!$M33:$AZ33,'M1'!AJ$10:AJ$49))</f>
        <v/>
      </c>
      <c r="AK33" s="97">
        <f>SUMPRODUCT(MMULT('M5'!$M33:$AZ33,'M1'!AK$10:AK$49))</f>
        <v/>
      </c>
      <c r="AL33" s="97">
        <f>SUMPRODUCT(MMULT('M5'!$M33:$AZ33,'M1'!AL$10:AL$49))</f>
        <v/>
      </c>
      <c r="AM33" s="97">
        <f>SUMPRODUCT(MMULT('M5'!$M33:$AZ33,'M1'!AM$10:AM$49))</f>
        <v/>
      </c>
      <c r="AN33" s="97">
        <f>SUMPRODUCT(MMULT('M5'!$M33:$AZ33,'M1'!AN$10:AN$49))</f>
        <v/>
      </c>
      <c r="AO33" s="97">
        <f>SUMPRODUCT(MMULT('M5'!$M33:$AZ33,'M1'!AO$10:AO$49))</f>
        <v/>
      </c>
      <c r="AP33" s="97">
        <f>SUMPRODUCT(MMULT('M5'!$M33:$AZ33,'M1'!AP$10:AP$49))</f>
        <v/>
      </c>
      <c r="AQ33" s="97">
        <f>SUMPRODUCT(MMULT('M5'!$M33:$AZ33,'M1'!AQ$10:AQ$49))</f>
        <v/>
      </c>
      <c r="AR33" s="97">
        <f>SUMPRODUCT(MMULT('M5'!$M33:$AZ33,'M1'!AR$10:AR$49))</f>
        <v/>
      </c>
      <c r="AS33" s="97">
        <f>SUMPRODUCT(MMULT('M5'!$M33:$AZ33,'M1'!AS$10:AS$49))</f>
        <v/>
      </c>
      <c r="AT33" s="97">
        <f>SUMPRODUCT(MMULT('M5'!$M33:$AZ33,'M1'!AT$10:AT$49))</f>
        <v/>
      </c>
      <c r="AU33" s="97">
        <f>SUMPRODUCT(MMULT('M5'!$M33:$AZ33,'M1'!AU$10:AU$49))</f>
        <v/>
      </c>
      <c r="AV33" s="97">
        <f>SUMPRODUCT(MMULT('M5'!$M33:$AZ33,'M1'!AV$10:AV$49))</f>
        <v/>
      </c>
      <c r="AW33" s="97">
        <f>SUMPRODUCT(MMULT('M5'!$M33:$AZ33,'M1'!AW$10:AW$49))</f>
        <v/>
      </c>
      <c r="AX33" s="97">
        <f>SUMPRODUCT(MMULT('M5'!$M33:$AZ33,'M1'!AX$10:AX$49))</f>
        <v/>
      </c>
      <c r="AY33" s="97">
        <f>SUMPRODUCT(MMULT('M5'!$M33:$AZ33,'M1'!AY$10:AY$49))</f>
        <v/>
      </c>
      <c r="AZ33" s="97">
        <f>SUMPRODUCT(MMULT('M5'!$M33:$AZ33,'M1'!AZ$10:AZ$49))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SUMPRODUCT(MMULT('M5'!$M34:$AZ34,'M1'!M$10:M$49))</f>
        <v/>
      </c>
      <c r="N34" s="97">
        <f>SUMPRODUCT(MMULT('M5'!$M34:$AZ34,'M1'!N$10:N$49))</f>
        <v/>
      </c>
      <c r="O34" s="97">
        <f>SUMPRODUCT(MMULT('M5'!$M34:$AZ34,'M1'!O$10:O$49))</f>
        <v/>
      </c>
      <c r="P34" s="97">
        <f>SUMPRODUCT(MMULT('M5'!$M34:$AZ34,'M1'!P$10:P$49))</f>
        <v/>
      </c>
      <c r="Q34" s="97">
        <f>SUMPRODUCT(MMULT('M5'!$M34:$AZ34,'M1'!Q$10:Q$49))</f>
        <v/>
      </c>
      <c r="R34" s="97">
        <f>SUMPRODUCT(MMULT('M5'!$M34:$AZ34,'M1'!R$10:R$49))</f>
        <v/>
      </c>
      <c r="S34" s="97">
        <f>SUMPRODUCT(MMULT('M5'!$M34:$AZ34,'M1'!S$10:S$49))</f>
        <v/>
      </c>
      <c r="T34" s="97">
        <f>SUMPRODUCT(MMULT('M5'!$M34:$AZ34,'M1'!T$10:T$49))</f>
        <v/>
      </c>
      <c r="U34" s="97">
        <f>SUMPRODUCT(MMULT('M5'!$M34:$AZ34,'M1'!U$10:U$49))</f>
        <v/>
      </c>
      <c r="V34" s="97">
        <f>SUMPRODUCT(MMULT('M5'!$M34:$AZ34,'M1'!V$10:V$49))</f>
        <v/>
      </c>
      <c r="W34" s="97">
        <f>SUMPRODUCT(MMULT('M5'!$M34:$AZ34,'M1'!W$10:W$49))</f>
        <v/>
      </c>
      <c r="X34" s="97">
        <f>SUMPRODUCT(MMULT('M5'!$M34:$AZ34,'M1'!X$10:X$49))</f>
        <v/>
      </c>
      <c r="Y34" s="97">
        <f>SUMPRODUCT(MMULT('M5'!$M34:$AZ34,'M1'!Y$10:Y$49))</f>
        <v/>
      </c>
      <c r="Z34" s="97">
        <f>SUMPRODUCT(MMULT('M5'!$M34:$AZ34,'M1'!Z$10:Z$49))</f>
        <v/>
      </c>
      <c r="AA34" s="97">
        <f>SUMPRODUCT(MMULT('M5'!$M34:$AZ34,'M1'!AA$10:AA$49))</f>
        <v/>
      </c>
      <c r="AB34" s="97">
        <f>SUMPRODUCT(MMULT('M5'!$M34:$AZ34,'M1'!AB$10:AB$49))</f>
        <v/>
      </c>
      <c r="AC34" s="97">
        <f>SUMPRODUCT(MMULT('M5'!$M34:$AZ34,'M1'!AC$10:AC$49))</f>
        <v/>
      </c>
      <c r="AD34" s="97">
        <f>SUMPRODUCT(MMULT('M5'!$M34:$AZ34,'M1'!AD$10:AD$49))</f>
        <v/>
      </c>
      <c r="AE34" s="97">
        <f>SUMPRODUCT(MMULT('M5'!$M34:$AZ34,'M1'!AE$10:AE$49))</f>
        <v/>
      </c>
      <c r="AF34" s="97">
        <f>SUMPRODUCT(MMULT('M5'!$M34:$AZ34,'M1'!AF$10:AF$49))</f>
        <v/>
      </c>
      <c r="AG34" s="97">
        <f>SUMPRODUCT(MMULT('M5'!$M34:$AZ34,'M1'!AG$10:AG$49))</f>
        <v/>
      </c>
      <c r="AH34" s="97">
        <f>SUMPRODUCT(MMULT('M5'!$M34:$AZ34,'M1'!AH$10:AH$49))</f>
        <v/>
      </c>
      <c r="AI34" s="97">
        <f>SUMPRODUCT(MMULT('M5'!$M34:$AZ34,'M1'!AI$10:AI$49))</f>
        <v/>
      </c>
      <c r="AJ34" s="97">
        <f>SUMPRODUCT(MMULT('M5'!$M34:$AZ34,'M1'!AJ$10:AJ$49))</f>
        <v/>
      </c>
      <c r="AK34" s="97">
        <f>SUMPRODUCT(MMULT('M5'!$M34:$AZ34,'M1'!AK$10:AK$49))</f>
        <v/>
      </c>
      <c r="AL34" s="97">
        <f>SUMPRODUCT(MMULT('M5'!$M34:$AZ34,'M1'!AL$10:AL$49))</f>
        <v/>
      </c>
      <c r="AM34" s="97">
        <f>SUMPRODUCT(MMULT('M5'!$M34:$AZ34,'M1'!AM$10:AM$49))</f>
        <v/>
      </c>
      <c r="AN34" s="97">
        <f>SUMPRODUCT(MMULT('M5'!$M34:$AZ34,'M1'!AN$10:AN$49))</f>
        <v/>
      </c>
      <c r="AO34" s="97">
        <f>SUMPRODUCT(MMULT('M5'!$M34:$AZ34,'M1'!AO$10:AO$49))</f>
        <v/>
      </c>
      <c r="AP34" s="97">
        <f>SUMPRODUCT(MMULT('M5'!$M34:$AZ34,'M1'!AP$10:AP$49))</f>
        <v/>
      </c>
      <c r="AQ34" s="97">
        <f>SUMPRODUCT(MMULT('M5'!$M34:$AZ34,'M1'!AQ$10:AQ$49))</f>
        <v/>
      </c>
      <c r="AR34" s="97">
        <f>SUMPRODUCT(MMULT('M5'!$M34:$AZ34,'M1'!AR$10:AR$49))</f>
        <v/>
      </c>
      <c r="AS34" s="97">
        <f>SUMPRODUCT(MMULT('M5'!$M34:$AZ34,'M1'!AS$10:AS$49))</f>
        <v/>
      </c>
      <c r="AT34" s="97">
        <f>SUMPRODUCT(MMULT('M5'!$M34:$AZ34,'M1'!AT$10:AT$49))</f>
        <v/>
      </c>
      <c r="AU34" s="97">
        <f>SUMPRODUCT(MMULT('M5'!$M34:$AZ34,'M1'!AU$10:AU$49))</f>
        <v/>
      </c>
      <c r="AV34" s="97">
        <f>SUMPRODUCT(MMULT('M5'!$M34:$AZ34,'M1'!AV$10:AV$49))</f>
        <v/>
      </c>
      <c r="AW34" s="97">
        <f>SUMPRODUCT(MMULT('M5'!$M34:$AZ34,'M1'!AW$10:AW$49))</f>
        <v/>
      </c>
      <c r="AX34" s="97">
        <f>SUMPRODUCT(MMULT('M5'!$M34:$AZ34,'M1'!AX$10:AX$49))</f>
        <v/>
      </c>
      <c r="AY34" s="97">
        <f>SUMPRODUCT(MMULT('M5'!$M34:$AZ34,'M1'!AY$10:AY$49))</f>
        <v/>
      </c>
      <c r="AZ34" s="97">
        <f>SUMPRODUCT(MMULT('M5'!$M34:$AZ34,'M1'!AZ$10:AZ$49))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SUMPRODUCT(MMULT('M5'!$M35:$AZ35,'M1'!M$10:M$49))</f>
        <v/>
      </c>
      <c r="N35" s="97">
        <f>SUMPRODUCT(MMULT('M5'!$M35:$AZ35,'M1'!N$10:N$49))</f>
        <v/>
      </c>
      <c r="O35" s="97">
        <f>SUMPRODUCT(MMULT('M5'!$M35:$AZ35,'M1'!O$10:O$49))</f>
        <v/>
      </c>
      <c r="P35" s="97">
        <f>SUMPRODUCT(MMULT('M5'!$M35:$AZ35,'M1'!P$10:P$49))</f>
        <v/>
      </c>
      <c r="Q35" s="97">
        <f>SUMPRODUCT(MMULT('M5'!$M35:$AZ35,'M1'!Q$10:Q$49))</f>
        <v/>
      </c>
      <c r="R35" s="97">
        <f>SUMPRODUCT(MMULT('M5'!$M35:$AZ35,'M1'!R$10:R$49))</f>
        <v/>
      </c>
      <c r="S35" s="97">
        <f>SUMPRODUCT(MMULT('M5'!$M35:$AZ35,'M1'!S$10:S$49))</f>
        <v/>
      </c>
      <c r="T35" s="97">
        <f>SUMPRODUCT(MMULT('M5'!$M35:$AZ35,'M1'!T$10:T$49))</f>
        <v/>
      </c>
      <c r="U35" s="97">
        <f>SUMPRODUCT(MMULT('M5'!$M35:$AZ35,'M1'!U$10:U$49))</f>
        <v/>
      </c>
      <c r="V35" s="97">
        <f>SUMPRODUCT(MMULT('M5'!$M35:$AZ35,'M1'!V$10:V$49))</f>
        <v/>
      </c>
      <c r="W35" s="97">
        <f>SUMPRODUCT(MMULT('M5'!$M35:$AZ35,'M1'!W$10:W$49))</f>
        <v/>
      </c>
      <c r="X35" s="97">
        <f>SUMPRODUCT(MMULT('M5'!$M35:$AZ35,'M1'!X$10:X$49))</f>
        <v/>
      </c>
      <c r="Y35" s="97">
        <f>SUMPRODUCT(MMULT('M5'!$M35:$AZ35,'M1'!Y$10:Y$49))</f>
        <v/>
      </c>
      <c r="Z35" s="97">
        <f>SUMPRODUCT(MMULT('M5'!$M35:$AZ35,'M1'!Z$10:Z$49))</f>
        <v/>
      </c>
      <c r="AA35" s="97">
        <f>SUMPRODUCT(MMULT('M5'!$M35:$AZ35,'M1'!AA$10:AA$49))</f>
        <v/>
      </c>
      <c r="AB35" s="97">
        <f>SUMPRODUCT(MMULT('M5'!$M35:$AZ35,'M1'!AB$10:AB$49))</f>
        <v/>
      </c>
      <c r="AC35" s="97">
        <f>SUMPRODUCT(MMULT('M5'!$M35:$AZ35,'M1'!AC$10:AC$49))</f>
        <v/>
      </c>
      <c r="AD35" s="97">
        <f>SUMPRODUCT(MMULT('M5'!$M35:$AZ35,'M1'!AD$10:AD$49))</f>
        <v/>
      </c>
      <c r="AE35" s="97">
        <f>SUMPRODUCT(MMULT('M5'!$M35:$AZ35,'M1'!AE$10:AE$49))</f>
        <v/>
      </c>
      <c r="AF35" s="97">
        <f>SUMPRODUCT(MMULT('M5'!$M35:$AZ35,'M1'!AF$10:AF$49))</f>
        <v/>
      </c>
      <c r="AG35" s="97">
        <f>SUMPRODUCT(MMULT('M5'!$M35:$AZ35,'M1'!AG$10:AG$49))</f>
        <v/>
      </c>
      <c r="AH35" s="97">
        <f>SUMPRODUCT(MMULT('M5'!$M35:$AZ35,'M1'!AH$10:AH$49))</f>
        <v/>
      </c>
      <c r="AI35" s="97">
        <f>SUMPRODUCT(MMULT('M5'!$M35:$AZ35,'M1'!AI$10:AI$49))</f>
        <v/>
      </c>
      <c r="AJ35" s="97">
        <f>SUMPRODUCT(MMULT('M5'!$M35:$AZ35,'M1'!AJ$10:AJ$49))</f>
        <v/>
      </c>
      <c r="AK35" s="97">
        <f>SUMPRODUCT(MMULT('M5'!$M35:$AZ35,'M1'!AK$10:AK$49))</f>
        <v/>
      </c>
      <c r="AL35" s="97">
        <f>SUMPRODUCT(MMULT('M5'!$M35:$AZ35,'M1'!AL$10:AL$49))</f>
        <v/>
      </c>
      <c r="AM35" s="97">
        <f>SUMPRODUCT(MMULT('M5'!$M35:$AZ35,'M1'!AM$10:AM$49))</f>
        <v/>
      </c>
      <c r="AN35" s="97">
        <f>SUMPRODUCT(MMULT('M5'!$M35:$AZ35,'M1'!AN$10:AN$49))</f>
        <v/>
      </c>
      <c r="AO35" s="97">
        <f>SUMPRODUCT(MMULT('M5'!$M35:$AZ35,'M1'!AO$10:AO$49))</f>
        <v/>
      </c>
      <c r="AP35" s="97">
        <f>SUMPRODUCT(MMULT('M5'!$M35:$AZ35,'M1'!AP$10:AP$49))</f>
        <v/>
      </c>
      <c r="AQ35" s="97">
        <f>SUMPRODUCT(MMULT('M5'!$M35:$AZ35,'M1'!AQ$10:AQ$49))</f>
        <v/>
      </c>
      <c r="AR35" s="97">
        <f>SUMPRODUCT(MMULT('M5'!$M35:$AZ35,'M1'!AR$10:AR$49))</f>
        <v/>
      </c>
      <c r="AS35" s="97">
        <f>SUMPRODUCT(MMULT('M5'!$M35:$AZ35,'M1'!AS$10:AS$49))</f>
        <v/>
      </c>
      <c r="AT35" s="97">
        <f>SUMPRODUCT(MMULT('M5'!$M35:$AZ35,'M1'!AT$10:AT$49))</f>
        <v/>
      </c>
      <c r="AU35" s="97">
        <f>SUMPRODUCT(MMULT('M5'!$M35:$AZ35,'M1'!AU$10:AU$49))</f>
        <v/>
      </c>
      <c r="AV35" s="97">
        <f>SUMPRODUCT(MMULT('M5'!$M35:$AZ35,'M1'!AV$10:AV$49))</f>
        <v/>
      </c>
      <c r="AW35" s="97">
        <f>SUMPRODUCT(MMULT('M5'!$M35:$AZ35,'M1'!AW$10:AW$49))</f>
        <v/>
      </c>
      <c r="AX35" s="97">
        <f>SUMPRODUCT(MMULT('M5'!$M35:$AZ35,'M1'!AX$10:AX$49))</f>
        <v/>
      </c>
      <c r="AY35" s="97">
        <f>SUMPRODUCT(MMULT('M5'!$M35:$AZ35,'M1'!AY$10:AY$49))</f>
        <v/>
      </c>
      <c r="AZ35" s="97">
        <f>SUMPRODUCT(MMULT('M5'!$M35:$AZ35,'M1'!AZ$10:AZ$49))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SUMPRODUCT(MMULT('M5'!$M36:$AZ36,'M1'!M$10:M$49))</f>
        <v/>
      </c>
      <c r="N36" s="97">
        <f>SUMPRODUCT(MMULT('M5'!$M36:$AZ36,'M1'!N$10:N$49))</f>
        <v/>
      </c>
      <c r="O36" s="97">
        <f>SUMPRODUCT(MMULT('M5'!$M36:$AZ36,'M1'!O$10:O$49))</f>
        <v/>
      </c>
      <c r="P36" s="97">
        <f>SUMPRODUCT(MMULT('M5'!$M36:$AZ36,'M1'!P$10:P$49))</f>
        <v/>
      </c>
      <c r="Q36" s="97">
        <f>SUMPRODUCT(MMULT('M5'!$M36:$AZ36,'M1'!Q$10:Q$49))</f>
        <v/>
      </c>
      <c r="R36" s="97">
        <f>SUMPRODUCT(MMULT('M5'!$M36:$AZ36,'M1'!R$10:R$49))</f>
        <v/>
      </c>
      <c r="S36" s="97">
        <f>SUMPRODUCT(MMULT('M5'!$M36:$AZ36,'M1'!S$10:S$49))</f>
        <v/>
      </c>
      <c r="T36" s="97">
        <f>SUMPRODUCT(MMULT('M5'!$M36:$AZ36,'M1'!T$10:T$49))</f>
        <v/>
      </c>
      <c r="U36" s="97">
        <f>SUMPRODUCT(MMULT('M5'!$M36:$AZ36,'M1'!U$10:U$49))</f>
        <v/>
      </c>
      <c r="V36" s="97">
        <f>SUMPRODUCT(MMULT('M5'!$M36:$AZ36,'M1'!V$10:V$49))</f>
        <v/>
      </c>
      <c r="W36" s="97">
        <f>SUMPRODUCT(MMULT('M5'!$M36:$AZ36,'M1'!W$10:W$49))</f>
        <v/>
      </c>
      <c r="X36" s="97">
        <f>SUMPRODUCT(MMULT('M5'!$M36:$AZ36,'M1'!X$10:X$49))</f>
        <v/>
      </c>
      <c r="Y36" s="97">
        <f>SUMPRODUCT(MMULT('M5'!$M36:$AZ36,'M1'!Y$10:Y$49))</f>
        <v/>
      </c>
      <c r="Z36" s="97">
        <f>SUMPRODUCT(MMULT('M5'!$M36:$AZ36,'M1'!Z$10:Z$49))</f>
        <v/>
      </c>
      <c r="AA36" s="97">
        <f>SUMPRODUCT(MMULT('M5'!$M36:$AZ36,'M1'!AA$10:AA$49))</f>
        <v/>
      </c>
      <c r="AB36" s="97">
        <f>SUMPRODUCT(MMULT('M5'!$M36:$AZ36,'M1'!AB$10:AB$49))</f>
        <v/>
      </c>
      <c r="AC36" s="97">
        <f>SUMPRODUCT(MMULT('M5'!$M36:$AZ36,'M1'!AC$10:AC$49))</f>
        <v/>
      </c>
      <c r="AD36" s="97">
        <f>SUMPRODUCT(MMULT('M5'!$M36:$AZ36,'M1'!AD$10:AD$49))</f>
        <v/>
      </c>
      <c r="AE36" s="97">
        <f>SUMPRODUCT(MMULT('M5'!$M36:$AZ36,'M1'!AE$10:AE$49))</f>
        <v/>
      </c>
      <c r="AF36" s="97">
        <f>SUMPRODUCT(MMULT('M5'!$M36:$AZ36,'M1'!AF$10:AF$49))</f>
        <v/>
      </c>
      <c r="AG36" s="97">
        <f>SUMPRODUCT(MMULT('M5'!$M36:$AZ36,'M1'!AG$10:AG$49))</f>
        <v/>
      </c>
      <c r="AH36" s="97">
        <f>SUMPRODUCT(MMULT('M5'!$M36:$AZ36,'M1'!AH$10:AH$49))</f>
        <v/>
      </c>
      <c r="AI36" s="97">
        <f>SUMPRODUCT(MMULT('M5'!$M36:$AZ36,'M1'!AI$10:AI$49))</f>
        <v/>
      </c>
      <c r="AJ36" s="97">
        <f>SUMPRODUCT(MMULT('M5'!$M36:$AZ36,'M1'!AJ$10:AJ$49))</f>
        <v/>
      </c>
      <c r="AK36" s="97">
        <f>SUMPRODUCT(MMULT('M5'!$M36:$AZ36,'M1'!AK$10:AK$49))</f>
        <v/>
      </c>
      <c r="AL36" s="97">
        <f>SUMPRODUCT(MMULT('M5'!$M36:$AZ36,'M1'!AL$10:AL$49))</f>
        <v/>
      </c>
      <c r="AM36" s="97">
        <f>SUMPRODUCT(MMULT('M5'!$M36:$AZ36,'M1'!AM$10:AM$49))</f>
        <v/>
      </c>
      <c r="AN36" s="97">
        <f>SUMPRODUCT(MMULT('M5'!$M36:$AZ36,'M1'!AN$10:AN$49))</f>
        <v/>
      </c>
      <c r="AO36" s="97">
        <f>SUMPRODUCT(MMULT('M5'!$M36:$AZ36,'M1'!AO$10:AO$49))</f>
        <v/>
      </c>
      <c r="AP36" s="97">
        <f>SUMPRODUCT(MMULT('M5'!$M36:$AZ36,'M1'!AP$10:AP$49))</f>
        <v/>
      </c>
      <c r="AQ36" s="97">
        <f>SUMPRODUCT(MMULT('M5'!$M36:$AZ36,'M1'!AQ$10:AQ$49))</f>
        <v/>
      </c>
      <c r="AR36" s="97">
        <f>SUMPRODUCT(MMULT('M5'!$M36:$AZ36,'M1'!AR$10:AR$49))</f>
        <v/>
      </c>
      <c r="AS36" s="97">
        <f>SUMPRODUCT(MMULT('M5'!$M36:$AZ36,'M1'!AS$10:AS$49))</f>
        <v/>
      </c>
      <c r="AT36" s="97">
        <f>SUMPRODUCT(MMULT('M5'!$M36:$AZ36,'M1'!AT$10:AT$49))</f>
        <v/>
      </c>
      <c r="AU36" s="97">
        <f>SUMPRODUCT(MMULT('M5'!$M36:$AZ36,'M1'!AU$10:AU$49))</f>
        <v/>
      </c>
      <c r="AV36" s="97">
        <f>SUMPRODUCT(MMULT('M5'!$M36:$AZ36,'M1'!AV$10:AV$49))</f>
        <v/>
      </c>
      <c r="AW36" s="97">
        <f>SUMPRODUCT(MMULT('M5'!$M36:$AZ36,'M1'!AW$10:AW$49))</f>
        <v/>
      </c>
      <c r="AX36" s="97">
        <f>SUMPRODUCT(MMULT('M5'!$M36:$AZ36,'M1'!AX$10:AX$49))</f>
        <v/>
      </c>
      <c r="AY36" s="97">
        <f>SUMPRODUCT(MMULT('M5'!$M36:$AZ36,'M1'!AY$10:AY$49))</f>
        <v/>
      </c>
      <c r="AZ36" s="97">
        <f>SUMPRODUCT(MMULT('M5'!$M36:$AZ36,'M1'!AZ$10:AZ$49))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SUMPRODUCT(MMULT('M5'!$M37:$AZ37,'M1'!M$10:M$49))</f>
        <v/>
      </c>
      <c r="N37" s="97">
        <f>SUMPRODUCT(MMULT('M5'!$M37:$AZ37,'M1'!N$10:N$49))</f>
        <v/>
      </c>
      <c r="O37" s="97">
        <f>SUMPRODUCT(MMULT('M5'!$M37:$AZ37,'M1'!O$10:O$49))</f>
        <v/>
      </c>
      <c r="P37" s="97">
        <f>SUMPRODUCT(MMULT('M5'!$M37:$AZ37,'M1'!P$10:P$49))</f>
        <v/>
      </c>
      <c r="Q37" s="97">
        <f>SUMPRODUCT(MMULT('M5'!$M37:$AZ37,'M1'!Q$10:Q$49))</f>
        <v/>
      </c>
      <c r="R37" s="97">
        <f>SUMPRODUCT(MMULT('M5'!$M37:$AZ37,'M1'!R$10:R$49))</f>
        <v/>
      </c>
      <c r="S37" s="97">
        <f>SUMPRODUCT(MMULT('M5'!$M37:$AZ37,'M1'!S$10:S$49))</f>
        <v/>
      </c>
      <c r="T37" s="97">
        <f>SUMPRODUCT(MMULT('M5'!$M37:$AZ37,'M1'!T$10:T$49))</f>
        <v/>
      </c>
      <c r="U37" s="97">
        <f>SUMPRODUCT(MMULT('M5'!$M37:$AZ37,'M1'!U$10:U$49))</f>
        <v/>
      </c>
      <c r="V37" s="97">
        <f>SUMPRODUCT(MMULT('M5'!$M37:$AZ37,'M1'!V$10:V$49))</f>
        <v/>
      </c>
      <c r="W37" s="97">
        <f>SUMPRODUCT(MMULT('M5'!$M37:$AZ37,'M1'!W$10:W$49))</f>
        <v/>
      </c>
      <c r="X37" s="97">
        <f>SUMPRODUCT(MMULT('M5'!$M37:$AZ37,'M1'!X$10:X$49))</f>
        <v/>
      </c>
      <c r="Y37" s="97">
        <f>SUMPRODUCT(MMULT('M5'!$M37:$AZ37,'M1'!Y$10:Y$49))</f>
        <v/>
      </c>
      <c r="Z37" s="97">
        <f>SUMPRODUCT(MMULT('M5'!$M37:$AZ37,'M1'!Z$10:Z$49))</f>
        <v/>
      </c>
      <c r="AA37" s="97">
        <f>SUMPRODUCT(MMULT('M5'!$M37:$AZ37,'M1'!AA$10:AA$49))</f>
        <v/>
      </c>
      <c r="AB37" s="97">
        <f>SUMPRODUCT(MMULT('M5'!$M37:$AZ37,'M1'!AB$10:AB$49))</f>
        <v/>
      </c>
      <c r="AC37" s="97">
        <f>SUMPRODUCT(MMULT('M5'!$M37:$AZ37,'M1'!AC$10:AC$49))</f>
        <v/>
      </c>
      <c r="AD37" s="97">
        <f>SUMPRODUCT(MMULT('M5'!$M37:$AZ37,'M1'!AD$10:AD$49))</f>
        <v/>
      </c>
      <c r="AE37" s="97">
        <f>SUMPRODUCT(MMULT('M5'!$M37:$AZ37,'M1'!AE$10:AE$49))</f>
        <v/>
      </c>
      <c r="AF37" s="97">
        <f>SUMPRODUCT(MMULT('M5'!$M37:$AZ37,'M1'!AF$10:AF$49))</f>
        <v/>
      </c>
      <c r="AG37" s="97">
        <f>SUMPRODUCT(MMULT('M5'!$M37:$AZ37,'M1'!AG$10:AG$49))</f>
        <v/>
      </c>
      <c r="AH37" s="97">
        <f>SUMPRODUCT(MMULT('M5'!$M37:$AZ37,'M1'!AH$10:AH$49))</f>
        <v/>
      </c>
      <c r="AI37" s="97">
        <f>SUMPRODUCT(MMULT('M5'!$M37:$AZ37,'M1'!AI$10:AI$49))</f>
        <v/>
      </c>
      <c r="AJ37" s="97">
        <f>SUMPRODUCT(MMULT('M5'!$M37:$AZ37,'M1'!AJ$10:AJ$49))</f>
        <v/>
      </c>
      <c r="AK37" s="97">
        <f>SUMPRODUCT(MMULT('M5'!$M37:$AZ37,'M1'!AK$10:AK$49))</f>
        <v/>
      </c>
      <c r="AL37" s="97">
        <f>SUMPRODUCT(MMULT('M5'!$M37:$AZ37,'M1'!AL$10:AL$49))</f>
        <v/>
      </c>
      <c r="AM37" s="97">
        <f>SUMPRODUCT(MMULT('M5'!$M37:$AZ37,'M1'!AM$10:AM$49))</f>
        <v/>
      </c>
      <c r="AN37" s="97">
        <f>SUMPRODUCT(MMULT('M5'!$M37:$AZ37,'M1'!AN$10:AN$49))</f>
        <v/>
      </c>
      <c r="AO37" s="97">
        <f>SUMPRODUCT(MMULT('M5'!$M37:$AZ37,'M1'!AO$10:AO$49))</f>
        <v/>
      </c>
      <c r="AP37" s="97">
        <f>SUMPRODUCT(MMULT('M5'!$M37:$AZ37,'M1'!AP$10:AP$49))</f>
        <v/>
      </c>
      <c r="AQ37" s="97">
        <f>SUMPRODUCT(MMULT('M5'!$M37:$AZ37,'M1'!AQ$10:AQ$49))</f>
        <v/>
      </c>
      <c r="AR37" s="97">
        <f>SUMPRODUCT(MMULT('M5'!$M37:$AZ37,'M1'!AR$10:AR$49))</f>
        <v/>
      </c>
      <c r="AS37" s="97">
        <f>SUMPRODUCT(MMULT('M5'!$M37:$AZ37,'M1'!AS$10:AS$49))</f>
        <v/>
      </c>
      <c r="AT37" s="97">
        <f>SUMPRODUCT(MMULT('M5'!$M37:$AZ37,'M1'!AT$10:AT$49))</f>
        <v/>
      </c>
      <c r="AU37" s="97">
        <f>SUMPRODUCT(MMULT('M5'!$M37:$AZ37,'M1'!AU$10:AU$49))</f>
        <v/>
      </c>
      <c r="AV37" s="97">
        <f>SUMPRODUCT(MMULT('M5'!$M37:$AZ37,'M1'!AV$10:AV$49))</f>
        <v/>
      </c>
      <c r="AW37" s="97">
        <f>SUMPRODUCT(MMULT('M5'!$M37:$AZ37,'M1'!AW$10:AW$49))</f>
        <v/>
      </c>
      <c r="AX37" s="97">
        <f>SUMPRODUCT(MMULT('M5'!$M37:$AZ37,'M1'!AX$10:AX$49))</f>
        <v/>
      </c>
      <c r="AY37" s="97">
        <f>SUMPRODUCT(MMULT('M5'!$M37:$AZ37,'M1'!AY$10:AY$49))</f>
        <v/>
      </c>
      <c r="AZ37" s="97">
        <f>SUMPRODUCT(MMULT('M5'!$M37:$AZ37,'M1'!AZ$10:AZ$49))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SUMPRODUCT(MMULT('M5'!$M38:$AZ38,'M1'!M$10:M$49))</f>
        <v/>
      </c>
      <c r="N38" s="97">
        <f>SUMPRODUCT(MMULT('M5'!$M38:$AZ38,'M1'!N$10:N$49))</f>
        <v/>
      </c>
      <c r="O38" s="97">
        <f>SUMPRODUCT(MMULT('M5'!$M38:$AZ38,'M1'!O$10:O$49))</f>
        <v/>
      </c>
      <c r="P38" s="97">
        <f>SUMPRODUCT(MMULT('M5'!$M38:$AZ38,'M1'!P$10:P$49))</f>
        <v/>
      </c>
      <c r="Q38" s="97">
        <f>SUMPRODUCT(MMULT('M5'!$M38:$AZ38,'M1'!Q$10:Q$49))</f>
        <v/>
      </c>
      <c r="R38" s="97">
        <f>SUMPRODUCT(MMULT('M5'!$M38:$AZ38,'M1'!R$10:R$49))</f>
        <v/>
      </c>
      <c r="S38" s="97">
        <f>SUMPRODUCT(MMULT('M5'!$M38:$AZ38,'M1'!S$10:S$49))</f>
        <v/>
      </c>
      <c r="T38" s="97">
        <f>SUMPRODUCT(MMULT('M5'!$M38:$AZ38,'M1'!T$10:T$49))</f>
        <v/>
      </c>
      <c r="U38" s="97">
        <f>SUMPRODUCT(MMULT('M5'!$M38:$AZ38,'M1'!U$10:U$49))</f>
        <v/>
      </c>
      <c r="V38" s="97">
        <f>SUMPRODUCT(MMULT('M5'!$M38:$AZ38,'M1'!V$10:V$49))</f>
        <v/>
      </c>
      <c r="W38" s="97">
        <f>SUMPRODUCT(MMULT('M5'!$M38:$AZ38,'M1'!W$10:W$49))</f>
        <v/>
      </c>
      <c r="X38" s="97">
        <f>SUMPRODUCT(MMULT('M5'!$M38:$AZ38,'M1'!X$10:X$49))</f>
        <v/>
      </c>
      <c r="Y38" s="97">
        <f>SUMPRODUCT(MMULT('M5'!$M38:$AZ38,'M1'!Y$10:Y$49))</f>
        <v/>
      </c>
      <c r="Z38" s="97">
        <f>SUMPRODUCT(MMULT('M5'!$M38:$AZ38,'M1'!Z$10:Z$49))</f>
        <v/>
      </c>
      <c r="AA38" s="97">
        <f>SUMPRODUCT(MMULT('M5'!$M38:$AZ38,'M1'!AA$10:AA$49))</f>
        <v/>
      </c>
      <c r="AB38" s="97">
        <f>SUMPRODUCT(MMULT('M5'!$M38:$AZ38,'M1'!AB$10:AB$49))</f>
        <v/>
      </c>
      <c r="AC38" s="97">
        <f>SUMPRODUCT(MMULT('M5'!$M38:$AZ38,'M1'!AC$10:AC$49))</f>
        <v/>
      </c>
      <c r="AD38" s="97">
        <f>SUMPRODUCT(MMULT('M5'!$M38:$AZ38,'M1'!AD$10:AD$49))</f>
        <v/>
      </c>
      <c r="AE38" s="97">
        <f>SUMPRODUCT(MMULT('M5'!$M38:$AZ38,'M1'!AE$10:AE$49))</f>
        <v/>
      </c>
      <c r="AF38" s="97">
        <f>SUMPRODUCT(MMULT('M5'!$M38:$AZ38,'M1'!AF$10:AF$49))</f>
        <v/>
      </c>
      <c r="AG38" s="97">
        <f>SUMPRODUCT(MMULT('M5'!$M38:$AZ38,'M1'!AG$10:AG$49))</f>
        <v/>
      </c>
      <c r="AH38" s="97">
        <f>SUMPRODUCT(MMULT('M5'!$M38:$AZ38,'M1'!AH$10:AH$49))</f>
        <v/>
      </c>
      <c r="AI38" s="97">
        <f>SUMPRODUCT(MMULT('M5'!$M38:$AZ38,'M1'!AI$10:AI$49))</f>
        <v/>
      </c>
      <c r="AJ38" s="97">
        <f>SUMPRODUCT(MMULT('M5'!$M38:$AZ38,'M1'!AJ$10:AJ$49))</f>
        <v/>
      </c>
      <c r="AK38" s="97">
        <f>SUMPRODUCT(MMULT('M5'!$M38:$AZ38,'M1'!AK$10:AK$49))</f>
        <v/>
      </c>
      <c r="AL38" s="97">
        <f>SUMPRODUCT(MMULT('M5'!$M38:$AZ38,'M1'!AL$10:AL$49))</f>
        <v/>
      </c>
      <c r="AM38" s="97">
        <f>SUMPRODUCT(MMULT('M5'!$M38:$AZ38,'M1'!AM$10:AM$49))</f>
        <v/>
      </c>
      <c r="AN38" s="97">
        <f>SUMPRODUCT(MMULT('M5'!$M38:$AZ38,'M1'!AN$10:AN$49))</f>
        <v/>
      </c>
      <c r="AO38" s="97">
        <f>SUMPRODUCT(MMULT('M5'!$M38:$AZ38,'M1'!AO$10:AO$49))</f>
        <v/>
      </c>
      <c r="AP38" s="97">
        <f>SUMPRODUCT(MMULT('M5'!$M38:$AZ38,'M1'!AP$10:AP$49))</f>
        <v/>
      </c>
      <c r="AQ38" s="97">
        <f>SUMPRODUCT(MMULT('M5'!$M38:$AZ38,'M1'!AQ$10:AQ$49))</f>
        <v/>
      </c>
      <c r="AR38" s="97">
        <f>SUMPRODUCT(MMULT('M5'!$M38:$AZ38,'M1'!AR$10:AR$49))</f>
        <v/>
      </c>
      <c r="AS38" s="97">
        <f>SUMPRODUCT(MMULT('M5'!$M38:$AZ38,'M1'!AS$10:AS$49))</f>
        <v/>
      </c>
      <c r="AT38" s="97">
        <f>SUMPRODUCT(MMULT('M5'!$M38:$AZ38,'M1'!AT$10:AT$49))</f>
        <v/>
      </c>
      <c r="AU38" s="97">
        <f>SUMPRODUCT(MMULT('M5'!$M38:$AZ38,'M1'!AU$10:AU$49))</f>
        <v/>
      </c>
      <c r="AV38" s="97">
        <f>SUMPRODUCT(MMULT('M5'!$M38:$AZ38,'M1'!AV$10:AV$49))</f>
        <v/>
      </c>
      <c r="AW38" s="97">
        <f>SUMPRODUCT(MMULT('M5'!$M38:$AZ38,'M1'!AW$10:AW$49))</f>
        <v/>
      </c>
      <c r="AX38" s="97">
        <f>SUMPRODUCT(MMULT('M5'!$M38:$AZ38,'M1'!AX$10:AX$49))</f>
        <v/>
      </c>
      <c r="AY38" s="97">
        <f>SUMPRODUCT(MMULT('M5'!$M38:$AZ38,'M1'!AY$10:AY$49))</f>
        <v/>
      </c>
      <c r="AZ38" s="97">
        <f>SUMPRODUCT(MMULT('M5'!$M38:$AZ38,'M1'!AZ$10:AZ$49))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SUMPRODUCT(MMULT('M5'!$M39:$AZ39,'M1'!M$10:M$49))</f>
        <v/>
      </c>
      <c r="N39" s="97">
        <f>SUMPRODUCT(MMULT('M5'!$M39:$AZ39,'M1'!N$10:N$49))</f>
        <v/>
      </c>
      <c r="O39" s="97">
        <f>SUMPRODUCT(MMULT('M5'!$M39:$AZ39,'M1'!O$10:O$49))</f>
        <v/>
      </c>
      <c r="P39" s="97">
        <f>SUMPRODUCT(MMULT('M5'!$M39:$AZ39,'M1'!P$10:P$49))</f>
        <v/>
      </c>
      <c r="Q39" s="97">
        <f>SUMPRODUCT(MMULT('M5'!$M39:$AZ39,'M1'!Q$10:Q$49))</f>
        <v/>
      </c>
      <c r="R39" s="97">
        <f>SUMPRODUCT(MMULT('M5'!$M39:$AZ39,'M1'!R$10:R$49))</f>
        <v/>
      </c>
      <c r="S39" s="97">
        <f>SUMPRODUCT(MMULT('M5'!$M39:$AZ39,'M1'!S$10:S$49))</f>
        <v/>
      </c>
      <c r="T39" s="97">
        <f>SUMPRODUCT(MMULT('M5'!$M39:$AZ39,'M1'!T$10:T$49))</f>
        <v/>
      </c>
      <c r="U39" s="97">
        <f>SUMPRODUCT(MMULT('M5'!$M39:$AZ39,'M1'!U$10:U$49))</f>
        <v/>
      </c>
      <c r="V39" s="97">
        <f>SUMPRODUCT(MMULT('M5'!$M39:$AZ39,'M1'!V$10:V$49))</f>
        <v/>
      </c>
      <c r="W39" s="97">
        <f>SUMPRODUCT(MMULT('M5'!$M39:$AZ39,'M1'!W$10:W$49))</f>
        <v/>
      </c>
      <c r="X39" s="97">
        <f>SUMPRODUCT(MMULT('M5'!$M39:$AZ39,'M1'!X$10:X$49))</f>
        <v/>
      </c>
      <c r="Y39" s="97">
        <f>SUMPRODUCT(MMULT('M5'!$M39:$AZ39,'M1'!Y$10:Y$49))</f>
        <v/>
      </c>
      <c r="Z39" s="97">
        <f>SUMPRODUCT(MMULT('M5'!$M39:$AZ39,'M1'!Z$10:Z$49))</f>
        <v/>
      </c>
      <c r="AA39" s="97">
        <f>SUMPRODUCT(MMULT('M5'!$M39:$AZ39,'M1'!AA$10:AA$49))</f>
        <v/>
      </c>
      <c r="AB39" s="97">
        <f>SUMPRODUCT(MMULT('M5'!$M39:$AZ39,'M1'!AB$10:AB$49))</f>
        <v/>
      </c>
      <c r="AC39" s="97">
        <f>SUMPRODUCT(MMULT('M5'!$M39:$AZ39,'M1'!AC$10:AC$49))</f>
        <v/>
      </c>
      <c r="AD39" s="97">
        <f>SUMPRODUCT(MMULT('M5'!$M39:$AZ39,'M1'!AD$10:AD$49))</f>
        <v/>
      </c>
      <c r="AE39" s="97">
        <f>SUMPRODUCT(MMULT('M5'!$M39:$AZ39,'M1'!AE$10:AE$49))</f>
        <v/>
      </c>
      <c r="AF39" s="97">
        <f>SUMPRODUCT(MMULT('M5'!$M39:$AZ39,'M1'!AF$10:AF$49))</f>
        <v/>
      </c>
      <c r="AG39" s="97">
        <f>SUMPRODUCT(MMULT('M5'!$M39:$AZ39,'M1'!AG$10:AG$49))</f>
        <v/>
      </c>
      <c r="AH39" s="97">
        <f>SUMPRODUCT(MMULT('M5'!$M39:$AZ39,'M1'!AH$10:AH$49))</f>
        <v/>
      </c>
      <c r="AI39" s="97">
        <f>SUMPRODUCT(MMULT('M5'!$M39:$AZ39,'M1'!AI$10:AI$49))</f>
        <v/>
      </c>
      <c r="AJ39" s="97">
        <f>SUMPRODUCT(MMULT('M5'!$M39:$AZ39,'M1'!AJ$10:AJ$49))</f>
        <v/>
      </c>
      <c r="AK39" s="97">
        <f>SUMPRODUCT(MMULT('M5'!$M39:$AZ39,'M1'!AK$10:AK$49))</f>
        <v/>
      </c>
      <c r="AL39" s="97">
        <f>SUMPRODUCT(MMULT('M5'!$M39:$AZ39,'M1'!AL$10:AL$49))</f>
        <v/>
      </c>
      <c r="AM39" s="97">
        <f>SUMPRODUCT(MMULT('M5'!$M39:$AZ39,'M1'!AM$10:AM$49))</f>
        <v/>
      </c>
      <c r="AN39" s="97">
        <f>SUMPRODUCT(MMULT('M5'!$M39:$AZ39,'M1'!AN$10:AN$49))</f>
        <v/>
      </c>
      <c r="AO39" s="97">
        <f>SUMPRODUCT(MMULT('M5'!$M39:$AZ39,'M1'!AO$10:AO$49))</f>
        <v/>
      </c>
      <c r="AP39" s="97">
        <f>SUMPRODUCT(MMULT('M5'!$M39:$AZ39,'M1'!AP$10:AP$49))</f>
        <v/>
      </c>
      <c r="AQ39" s="97">
        <f>SUMPRODUCT(MMULT('M5'!$M39:$AZ39,'M1'!AQ$10:AQ$49))</f>
        <v/>
      </c>
      <c r="AR39" s="97">
        <f>SUMPRODUCT(MMULT('M5'!$M39:$AZ39,'M1'!AR$10:AR$49))</f>
        <v/>
      </c>
      <c r="AS39" s="97">
        <f>SUMPRODUCT(MMULT('M5'!$M39:$AZ39,'M1'!AS$10:AS$49))</f>
        <v/>
      </c>
      <c r="AT39" s="97">
        <f>SUMPRODUCT(MMULT('M5'!$M39:$AZ39,'M1'!AT$10:AT$49))</f>
        <v/>
      </c>
      <c r="AU39" s="97">
        <f>SUMPRODUCT(MMULT('M5'!$M39:$AZ39,'M1'!AU$10:AU$49))</f>
        <v/>
      </c>
      <c r="AV39" s="97">
        <f>SUMPRODUCT(MMULT('M5'!$M39:$AZ39,'M1'!AV$10:AV$49))</f>
        <v/>
      </c>
      <c r="AW39" s="97">
        <f>SUMPRODUCT(MMULT('M5'!$M39:$AZ39,'M1'!AW$10:AW$49))</f>
        <v/>
      </c>
      <c r="AX39" s="97">
        <f>SUMPRODUCT(MMULT('M5'!$M39:$AZ39,'M1'!AX$10:AX$49))</f>
        <v/>
      </c>
      <c r="AY39" s="97">
        <f>SUMPRODUCT(MMULT('M5'!$M39:$AZ39,'M1'!AY$10:AY$49))</f>
        <v/>
      </c>
      <c r="AZ39" s="97">
        <f>SUMPRODUCT(MMULT('M5'!$M39:$AZ39,'M1'!AZ$10:AZ$49))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SUMPRODUCT(MMULT('M5'!$M40:$AZ40,'M1'!M$10:M$49))</f>
        <v/>
      </c>
      <c r="N40" s="97">
        <f>SUMPRODUCT(MMULT('M5'!$M40:$AZ40,'M1'!N$10:N$49))</f>
        <v/>
      </c>
      <c r="O40" s="97">
        <f>SUMPRODUCT(MMULT('M5'!$M40:$AZ40,'M1'!O$10:O$49))</f>
        <v/>
      </c>
      <c r="P40" s="97">
        <f>SUMPRODUCT(MMULT('M5'!$M40:$AZ40,'M1'!P$10:P$49))</f>
        <v/>
      </c>
      <c r="Q40" s="97">
        <f>SUMPRODUCT(MMULT('M5'!$M40:$AZ40,'M1'!Q$10:Q$49))</f>
        <v/>
      </c>
      <c r="R40" s="97">
        <f>SUMPRODUCT(MMULT('M5'!$M40:$AZ40,'M1'!R$10:R$49))</f>
        <v/>
      </c>
      <c r="S40" s="97">
        <f>SUMPRODUCT(MMULT('M5'!$M40:$AZ40,'M1'!S$10:S$49))</f>
        <v/>
      </c>
      <c r="T40" s="97">
        <f>SUMPRODUCT(MMULT('M5'!$M40:$AZ40,'M1'!T$10:T$49))</f>
        <v/>
      </c>
      <c r="U40" s="97">
        <f>SUMPRODUCT(MMULT('M5'!$M40:$AZ40,'M1'!U$10:U$49))</f>
        <v/>
      </c>
      <c r="V40" s="97">
        <f>SUMPRODUCT(MMULT('M5'!$M40:$AZ40,'M1'!V$10:V$49))</f>
        <v/>
      </c>
      <c r="W40" s="97">
        <f>SUMPRODUCT(MMULT('M5'!$M40:$AZ40,'M1'!W$10:W$49))</f>
        <v/>
      </c>
      <c r="X40" s="97">
        <f>SUMPRODUCT(MMULT('M5'!$M40:$AZ40,'M1'!X$10:X$49))</f>
        <v/>
      </c>
      <c r="Y40" s="97">
        <f>SUMPRODUCT(MMULT('M5'!$M40:$AZ40,'M1'!Y$10:Y$49))</f>
        <v/>
      </c>
      <c r="Z40" s="97">
        <f>SUMPRODUCT(MMULT('M5'!$M40:$AZ40,'M1'!Z$10:Z$49))</f>
        <v/>
      </c>
      <c r="AA40" s="97">
        <f>SUMPRODUCT(MMULT('M5'!$M40:$AZ40,'M1'!AA$10:AA$49))</f>
        <v/>
      </c>
      <c r="AB40" s="97">
        <f>SUMPRODUCT(MMULT('M5'!$M40:$AZ40,'M1'!AB$10:AB$49))</f>
        <v/>
      </c>
      <c r="AC40" s="97">
        <f>SUMPRODUCT(MMULT('M5'!$M40:$AZ40,'M1'!AC$10:AC$49))</f>
        <v/>
      </c>
      <c r="AD40" s="97">
        <f>SUMPRODUCT(MMULT('M5'!$M40:$AZ40,'M1'!AD$10:AD$49))</f>
        <v/>
      </c>
      <c r="AE40" s="97">
        <f>SUMPRODUCT(MMULT('M5'!$M40:$AZ40,'M1'!AE$10:AE$49))</f>
        <v/>
      </c>
      <c r="AF40" s="97">
        <f>SUMPRODUCT(MMULT('M5'!$M40:$AZ40,'M1'!AF$10:AF$49))</f>
        <v/>
      </c>
      <c r="AG40" s="97">
        <f>SUMPRODUCT(MMULT('M5'!$M40:$AZ40,'M1'!AG$10:AG$49))</f>
        <v/>
      </c>
      <c r="AH40" s="97">
        <f>SUMPRODUCT(MMULT('M5'!$M40:$AZ40,'M1'!AH$10:AH$49))</f>
        <v/>
      </c>
      <c r="AI40" s="97">
        <f>SUMPRODUCT(MMULT('M5'!$M40:$AZ40,'M1'!AI$10:AI$49))</f>
        <v/>
      </c>
      <c r="AJ40" s="97">
        <f>SUMPRODUCT(MMULT('M5'!$M40:$AZ40,'M1'!AJ$10:AJ$49))</f>
        <v/>
      </c>
      <c r="AK40" s="97">
        <f>SUMPRODUCT(MMULT('M5'!$M40:$AZ40,'M1'!AK$10:AK$49))</f>
        <v/>
      </c>
      <c r="AL40" s="97">
        <f>SUMPRODUCT(MMULT('M5'!$M40:$AZ40,'M1'!AL$10:AL$49))</f>
        <v/>
      </c>
      <c r="AM40" s="97">
        <f>SUMPRODUCT(MMULT('M5'!$M40:$AZ40,'M1'!AM$10:AM$49))</f>
        <v/>
      </c>
      <c r="AN40" s="97">
        <f>SUMPRODUCT(MMULT('M5'!$M40:$AZ40,'M1'!AN$10:AN$49))</f>
        <v/>
      </c>
      <c r="AO40" s="97">
        <f>SUMPRODUCT(MMULT('M5'!$M40:$AZ40,'M1'!AO$10:AO$49))</f>
        <v/>
      </c>
      <c r="AP40" s="97">
        <f>SUMPRODUCT(MMULT('M5'!$M40:$AZ40,'M1'!AP$10:AP$49))</f>
        <v/>
      </c>
      <c r="AQ40" s="97">
        <f>SUMPRODUCT(MMULT('M5'!$M40:$AZ40,'M1'!AQ$10:AQ$49))</f>
        <v/>
      </c>
      <c r="AR40" s="97">
        <f>SUMPRODUCT(MMULT('M5'!$M40:$AZ40,'M1'!AR$10:AR$49))</f>
        <v/>
      </c>
      <c r="AS40" s="97">
        <f>SUMPRODUCT(MMULT('M5'!$M40:$AZ40,'M1'!AS$10:AS$49))</f>
        <v/>
      </c>
      <c r="AT40" s="97">
        <f>SUMPRODUCT(MMULT('M5'!$M40:$AZ40,'M1'!AT$10:AT$49))</f>
        <v/>
      </c>
      <c r="AU40" s="97">
        <f>SUMPRODUCT(MMULT('M5'!$M40:$AZ40,'M1'!AU$10:AU$49))</f>
        <v/>
      </c>
      <c r="AV40" s="97">
        <f>SUMPRODUCT(MMULT('M5'!$M40:$AZ40,'M1'!AV$10:AV$49))</f>
        <v/>
      </c>
      <c r="AW40" s="97">
        <f>SUMPRODUCT(MMULT('M5'!$M40:$AZ40,'M1'!AW$10:AW$49))</f>
        <v/>
      </c>
      <c r="AX40" s="97">
        <f>SUMPRODUCT(MMULT('M5'!$M40:$AZ40,'M1'!AX$10:AX$49))</f>
        <v/>
      </c>
      <c r="AY40" s="97">
        <f>SUMPRODUCT(MMULT('M5'!$M40:$AZ40,'M1'!AY$10:AY$49))</f>
        <v/>
      </c>
      <c r="AZ40" s="97">
        <f>SUMPRODUCT(MMULT('M5'!$M40:$AZ40,'M1'!AZ$10:AZ$49))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SUMPRODUCT(MMULT('M5'!$M41:$AZ41,'M1'!M$10:M$49))</f>
        <v/>
      </c>
      <c r="N41" s="97">
        <f>SUMPRODUCT(MMULT('M5'!$M41:$AZ41,'M1'!N$10:N$49))</f>
        <v/>
      </c>
      <c r="O41" s="97">
        <f>SUMPRODUCT(MMULT('M5'!$M41:$AZ41,'M1'!O$10:O$49))</f>
        <v/>
      </c>
      <c r="P41" s="97">
        <f>SUMPRODUCT(MMULT('M5'!$M41:$AZ41,'M1'!P$10:P$49))</f>
        <v/>
      </c>
      <c r="Q41" s="97">
        <f>SUMPRODUCT(MMULT('M5'!$M41:$AZ41,'M1'!Q$10:Q$49))</f>
        <v/>
      </c>
      <c r="R41" s="97">
        <f>SUMPRODUCT(MMULT('M5'!$M41:$AZ41,'M1'!R$10:R$49))</f>
        <v/>
      </c>
      <c r="S41" s="97">
        <f>SUMPRODUCT(MMULT('M5'!$M41:$AZ41,'M1'!S$10:S$49))</f>
        <v/>
      </c>
      <c r="T41" s="97">
        <f>SUMPRODUCT(MMULT('M5'!$M41:$AZ41,'M1'!T$10:T$49))</f>
        <v/>
      </c>
      <c r="U41" s="97">
        <f>SUMPRODUCT(MMULT('M5'!$M41:$AZ41,'M1'!U$10:U$49))</f>
        <v/>
      </c>
      <c r="V41" s="97">
        <f>SUMPRODUCT(MMULT('M5'!$M41:$AZ41,'M1'!V$10:V$49))</f>
        <v/>
      </c>
      <c r="W41" s="97">
        <f>SUMPRODUCT(MMULT('M5'!$M41:$AZ41,'M1'!W$10:W$49))</f>
        <v/>
      </c>
      <c r="X41" s="97">
        <f>SUMPRODUCT(MMULT('M5'!$M41:$AZ41,'M1'!X$10:X$49))</f>
        <v/>
      </c>
      <c r="Y41" s="97">
        <f>SUMPRODUCT(MMULT('M5'!$M41:$AZ41,'M1'!Y$10:Y$49))</f>
        <v/>
      </c>
      <c r="Z41" s="97">
        <f>SUMPRODUCT(MMULT('M5'!$M41:$AZ41,'M1'!Z$10:Z$49))</f>
        <v/>
      </c>
      <c r="AA41" s="97">
        <f>SUMPRODUCT(MMULT('M5'!$M41:$AZ41,'M1'!AA$10:AA$49))</f>
        <v/>
      </c>
      <c r="AB41" s="97">
        <f>SUMPRODUCT(MMULT('M5'!$M41:$AZ41,'M1'!AB$10:AB$49))</f>
        <v/>
      </c>
      <c r="AC41" s="97">
        <f>SUMPRODUCT(MMULT('M5'!$M41:$AZ41,'M1'!AC$10:AC$49))</f>
        <v/>
      </c>
      <c r="AD41" s="97">
        <f>SUMPRODUCT(MMULT('M5'!$M41:$AZ41,'M1'!AD$10:AD$49))</f>
        <v/>
      </c>
      <c r="AE41" s="97">
        <f>SUMPRODUCT(MMULT('M5'!$M41:$AZ41,'M1'!AE$10:AE$49))</f>
        <v/>
      </c>
      <c r="AF41" s="97">
        <f>SUMPRODUCT(MMULT('M5'!$M41:$AZ41,'M1'!AF$10:AF$49))</f>
        <v/>
      </c>
      <c r="AG41" s="97">
        <f>SUMPRODUCT(MMULT('M5'!$M41:$AZ41,'M1'!AG$10:AG$49))</f>
        <v/>
      </c>
      <c r="AH41" s="97">
        <f>SUMPRODUCT(MMULT('M5'!$M41:$AZ41,'M1'!AH$10:AH$49))</f>
        <v/>
      </c>
      <c r="AI41" s="97">
        <f>SUMPRODUCT(MMULT('M5'!$M41:$AZ41,'M1'!AI$10:AI$49))</f>
        <v/>
      </c>
      <c r="AJ41" s="97">
        <f>SUMPRODUCT(MMULT('M5'!$M41:$AZ41,'M1'!AJ$10:AJ$49))</f>
        <v/>
      </c>
      <c r="AK41" s="97">
        <f>SUMPRODUCT(MMULT('M5'!$M41:$AZ41,'M1'!AK$10:AK$49))</f>
        <v/>
      </c>
      <c r="AL41" s="97">
        <f>SUMPRODUCT(MMULT('M5'!$M41:$AZ41,'M1'!AL$10:AL$49))</f>
        <v/>
      </c>
      <c r="AM41" s="97">
        <f>SUMPRODUCT(MMULT('M5'!$M41:$AZ41,'M1'!AM$10:AM$49))</f>
        <v/>
      </c>
      <c r="AN41" s="97">
        <f>SUMPRODUCT(MMULT('M5'!$M41:$AZ41,'M1'!AN$10:AN$49))</f>
        <v/>
      </c>
      <c r="AO41" s="97">
        <f>SUMPRODUCT(MMULT('M5'!$M41:$AZ41,'M1'!AO$10:AO$49))</f>
        <v/>
      </c>
      <c r="AP41" s="97">
        <f>SUMPRODUCT(MMULT('M5'!$M41:$AZ41,'M1'!AP$10:AP$49))</f>
        <v/>
      </c>
      <c r="AQ41" s="97">
        <f>SUMPRODUCT(MMULT('M5'!$M41:$AZ41,'M1'!AQ$10:AQ$49))</f>
        <v/>
      </c>
      <c r="AR41" s="97">
        <f>SUMPRODUCT(MMULT('M5'!$M41:$AZ41,'M1'!AR$10:AR$49))</f>
        <v/>
      </c>
      <c r="AS41" s="97">
        <f>SUMPRODUCT(MMULT('M5'!$M41:$AZ41,'M1'!AS$10:AS$49))</f>
        <v/>
      </c>
      <c r="AT41" s="97">
        <f>SUMPRODUCT(MMULT('M5'!$M41:$AZ41,'M1'!AT$10:AT$49))</f>
        <v/>
      </c>
      <c r="AU41" s="97">
        <f>SUMPRODUCT(MMULT('M5'!$M41:$AZ41,'M1'!AU$10:AU$49))</f>
        <v/>
      </c>
      <c r="AV41" s="97">
        <f>SUMPRODUCT(MMULT('M5'!$M41:$AZ41,'M1'!AV$10:AV$49))</f>
        <v/>
      </c>
      <c r="AW41" s="97">
        <f>SUMPRODUCT(MMULT('M5'!$M41:$AZ41,'M1'!AW$10:AW$49))</f>
        <v/>
      </c>
      <c r="AX41" s="97">
        <f>SUMPRODUCT(MMULT('M5'!$M41:$AZ41,'M1'!AX$10:AX$49))</f>
        <v/>
      </c>
      <c r="AY41" s="97">
        <f>SUMPRODUCT(MMULT('M5'!$M41:$AZ41,'M1'!AY$10:AY$49))</f>
        <v/>
      </c>
      <c r="AZ41" s="97">
        <f>SUMPRODUCT(MMULT('M5'!$M41:$AZ41,'M1'!AZ$10:AZ$49))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SUMPRODUCT(MMULT('M5'!$M42:$AZ42,'M1'!M$10:M$49))</f>
        <v/>
      </c>
      <c r="N42" s="97">
        <f>SUMPRODUCT(MMULT('M5'!$M42:$AZ42,'M1'!N$10:N$49))</f>
        <v/>
      </c>
      <c r="O42" s="97">
        <f>SUMPRODUCT(MMULT('M5'!$M42:$AZ42,'M1'!O$10:O$49))</f>
        <v/>
      </c>
      <c r="P42" s="97">
        <f>SUMPRODUCT(MMULT('M5'!$M42:$AZ42,'M1'!P$10:P$49))</f>
        <v/>
      </c>
      <c r="Q42" s="97">
        <f>SUMPRODUCT(MMULT('M5'!$M42:$AZ42,'M1'!Q$10:Q$49))</f>
        <v/>
      </c>
      <c r="R42" s="97">
        <f>SUMPRODUCT(MMULT('M5'!$M42:$AZ42,'M1'!R$10:R$49))</f>
        <v/>
      </c>
      <c r="S42" s="97">
        <f>SUMPRODUCT(MMULT('M5'!$M42:$AZ42,'M1'!S$10:S$49))</f>
        <v/>
      </c>
      <c r="T42" s="97">
        <f>SUMPRODUCT(MMULT('M5'!$M42:$AZ42,'M1'!T$10:T$49))</f>
        <v/>
      </c>
      <c r="U42" s="97">
        <f>SUMPRODUCT(MMULT('M5'!$M42:$AZ42,'M1'!U$10:U$49))</f>
        <v/>
      </c>
      <c r="V42" s="97">
        <f>SUMPRODUCT(MMULT('M5'!$M42:$AZ42,'M1'!V$10:V$49))</f>
        <v/>
      </c>
      <c r="W42" s="97">
        <f>SUMPRODUCT(MMULT('M5'!$M42:$AZ42,'M1'!W$10:W$49))</f>
        <v/>
      </c>
      <c r="X42" s="97">
        <f>SUMPRODUCT(MMULT('M5'!$M42:$AZ42,'M1'!X$10:X$49))</f>
        <v/>
      </c>
      <c r="Y42" s="97">
        <f>SUMPRODUCT(MMULT('M5'!$M42:$AZ42,'M1'!Y$10:Y$49))</f>
        <v/>
      </c>
      <c r="Z42" s="97">
        <f>SUMPRODUCT(MMULT('M5'!$M42:$AZ42,'M1'!Z$10:Z$49))</f>
        <v/>
      </c>
      <c r="AA42" s="97">
        <f>SUMPRODUCT(MMULT('M5'!$M42:$AZ42,'M1'!AA$10:AA$49))</f>
        <v/>
      </c>
      <c r="AB42" s="97">
        <f>SUMPRODUCT(MMULT('M5'!$M42:$AZ42,'M1'!AB$10:AB$49))</f>
        <v/>
      </c>
      <c r="AC42" s="97">
        <f>SUMPRODUCT(MMULT('M5'!$M42:$AZ42,'M1'!AC$10:AC$49))</f>
        <v/>
      </c>
      <c r="AD42" s="97">
        <f>SUMPRODUCT(MMULT('M5'!$M42:$AZ42,'M1'!AD$10:AD$49))</f>
        <v/>
      </c>
      <c r="AE42" s="97">
        <f>SUMPRODUCT(MMULT('M5'!$M42:$AZ42,'M1'!AE$10:AE$49))</f>
        <v/>
      </c>
      <c r="AF42" s="97">
        <f>SUMPRODUCT(MMULT('M5'!$M42:$AZ42,'M1'!AF$10:AF$49))</f>
        <v/>
      </c>
      <c r="AG42" s="97">
        <f>SUMPRODUCT(MMULT('M5'!$M42:$AZ42,'M1'!AG$10:AG$49))</f>
        <v/>
      </c>
      <c r="AH42" s="97">
        <f>SUMPRODUCT(MMULT('M5'!$M42:$AZ42,'M1'!AH$10:AH$49))</f>
        <v/>
      </c>
      <c r="AI42" s="97">
        <f>SUMPRODUCT(MMULT('M5'!$M42:$AZ42,'M1'!AI$10:AI$49))</f>
        <v/>
      </c>
      <c r="AJ42" s="97">
        <f>SUMPRODUCT(MMULT('M5'!$M42:$AZ42,'M1'!AJ$10:AJ$49))</f>
        <v/>
      </c>
      <c r="AK42" s="97">
        <f>SUMPRODUCT(MMULT('M5'!$M42:$AZ42,'M1'!AK$10:AK$49))</f>
        <v/>
      </c>
      <c r="AL42" s="97">
        <f>SUMPRODUCT(MMULT('M5'!$M42:$AZ42,'M1'!AL$10:AL$49))</f>
        <v/>
      </c>
      <c r="AM42" s="97">
        <f>SUMPRODUCT(MMULT('M5'!$M42:$AZ42,'M1'!AM$10:AM$49))</f>
        <v/>
      </c>
      <c r="AN42" s="97">
        <f>SUMPRODUCT(MMULT('M5'!$M42:$AZ42,'M1'!AN$10:AN$49))</f>
        <v/>
      </c>
      <c r="AO42" s="97">
        <f>SUMPRODUCT(MMULT('M5'!$M42:$AZ42,'M1'!AO$10:AO$49))</f>
        <v/>
      </c>
      <c r="AP42" s="97">
        <f>SUMPRODUCT(MMULT('M5'!$M42:$AZ42,'M1'!AP$10:AP$49))</f>
        <v/>
      </c>
      <c r="AQ42" s="97">
        <f>SUMPRODUCT(MMULT('M5'!$M42:$AZ42,'M1'!AQ$10:AQ$49))</f>
        <v/>
      </c>
      <c r="AR42" s="97">
        <f>SUMPRODUCT(MMULT('M5'!$M42:$AZ42,'M1'!AR$10:AR$49))</f>
        <v/>
      </c>
      <c r="AS42" s="97">
        <f>SUMPRODUCT(MMULT('M5'!$M42:$AZ42,'M1'!AS$10:AS$49))</f>
        <v/>
      </c>
      <c r="AT42" s="97">
        <f>SUMPRODUCT(MMULT('M5'!$M42:$AZ42,'M1'!AT$10:AT$49))</f>
        <v/>
      </c>
      <c r="AU42" s="97">
        <f>SUMPRODUCT(MMULT('M5'!$M42:$AZ42,'M1'!AU$10:AU$49))</f>
        <v/>
      </c>
      <c r="AV42" s="97">
        <f>SUMPRODUCT(MMULT('M5'!$M42:$AZ42,'M1'!AV$10:AV$49))</f>
        <v/>
      </c>
      <c r="AW42" s="97">
        <f>SUMPRODUCT(MMULT('M5'!$M42:$AZ42,'M1'!AW$10:AW$49))</f>
        <v/>
      </c>
      <c r="AX42" s="97">
        <f>SUMPRODUCT(MMULT('M5'!$M42:$AZ42,'M1'!AX$10:AX$49))</f>
        <v/>
      </c>
      <c r="AY42" s="97">
        <f>SUMPRODUCT(MMULT('M5'!$M42:$AZ42,'M1'!AY$10:AY$49))</f>
        <v/>
      </c>
      <c r="AZ42" s="97">
        <f>SUMPRODUCT(MMULT('M5'!$M42:$AZ42,'M1'!AZ$10:AZ$49))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SUMPRODUCT(MMULT('M5'!$M43:$AZ43,'M1'!M$10:M$49))</f>
        <v/>
      </c>
      <c r="N43" s="97">
        <f>SUMPRODUCT(MMULT('M5'!$M43:$AZ43,'M1'!N$10:N$49))</f>
        <v/>
      </c>
      <c r="O43" s="97">
        <f>SUMPRODUCT(MMULT('M5'!$M43:$AZ43,'M1'!O$10:O$49))</f>
        <v/>
      </c>
      <c r="P43" s="97">
        <f>SUMPRODUCT(MMULT('M5'!$M43:$AZ43,'M1'!P$10:P$49))</f>
        <v/>
      </c>
      <c r="Q43" s="97">
        <f>SUMPRODUCT(MMULT('M5'!$M43:$AZ43,'M1'!Q$10:Q$49))</f>
        <v/>
      </c>
      <c r="R43" s="97">
        <f>SUMPRODUCT(MMULT('M5'!$M43:$AZ43,'M1'!R$10:R$49))</f>
        <v/>
      </c>
      <c r="S43" s="97">
        <f>SUMPRODUCT(MMULT('M5'!$M43:$AZ43,'M1'!S$10:S$49))</f>
        <v/>
      </c>
      <c r="T43" s="97">
        <f>SUMPRODUCT(MMULT('M5'!$M43:$AZ43,'M1'!T$10:T$49))</f>
        <v/>
      </c>
      <c r="U43" s="97">
        <f>SUMPRODUCT(MMULT('M5'!$M43:$AZ43,'M1'!U$10:U$49))</f>
        <v/>
      </c>
      <c r="V43" s="97">
        <f>SUMPRODUCT(MMULT('M5'!$M43:$AZ43,'M1'!V$10:V$49))</f>
        <v/>
      </c>
      <c r="W43" s="97">
        <f>SUMPRODUCT(MMULT('M5'!$M43:$AZ43,'M1'!W$10:W$49))</f>
        <v/>
      </c>
      <c r="X43" s="97">
        <f>SUMPRODUCT(MMULT('M5'!$M43:$AZ43,'M1'!X$10:X$49))</f>
        <v/>
      </c>
      <c r="Y43" s="97">
        <f>SUMPRODUCT(MMULT('M5'!$M43:$AZ43,'M1'!Y$10:Y$49))</f>
        <v/>
      </c>
      <c r="Z43" s="97">
        <f>SUMPRODUCT(MMULT('M5'!$M43:$AZ43,'M1'!Z$10:Z$49))</f>
        <v/>
      </c>
      <c r="AA43" s="97">
        <f>SUMPRODUCT(MMULT('M5'!$M43:$AZ43,'M1'!AA$10:AA$49))</f>
        <v/>
      </c>
      <c r="AB43" s="97">
        <f>SUMPRODUCT(MMULT('M5'!$M43:$AZ43,'M1'!AB$10:AB$49))</f>
        <v/>
      </c>
      <c r="AC43" s="97">
        <f>SUMPRODUCT(MMULT('M5'!$M43:$AZ43,'M1'!AC$10:AC$49))</f>
        <v/>
      </c>
      <c r="AD43" s="97">
        <f>SUMPRODUCT(MMULT('M5'!$M43:$AZ43,'M1'!AD$10:AD$49))</f>
        <v/>
      </c>
      <c r="AE43" s="97">
        <f>SUMPRODUCT(MMULT('M5'!$M43:$AZ43,'M1'!AE$10:AE$49))</f>
        <v/>
      </c>
      <c r="AF43" s="97">
        <f>SUMPRODUCT(MMULT('M5'!$M43:$AZ43,'M1'!AF$10:AF$49))</f>
        <v/>
      </c>
      <c r="AG43" s="97">
        <f>SUMPRODUCT(MMULT('M5'!$M43:$AZ43,'M1'!AG$10:AG$49))</f>
        <v/>
      </c>
      <c r="AH43" s="97">
        <f>SUMPRODUCT(MMULT('M5'!$M43:$AZ43,'M1'!AH$10:AH$49))</f>
        <v/>
      </c>
      <c r="AI43" s="97">
        <f>SUMPRODUCT(MMULT('M5'!$M43:$AZ43,'M1'!AI$10:AI$49))</f>
        <v/>
      </c>
      <c r="AJ43" s="97">
        <f>SUMPRODUCT(MMULT('M5'!$M43:$AZ43,'M1'!AJ$10:AJ$49))</f>
        <v/>
      </c>
      <c r="AK43" s="97">
        <f>SUMPRODUCT(MMULT('M5'!$M43:$AZ43,'M1'!AK$10:AK$49))</f>
        <v/>
      </c>
      <c r="AL43" s="97">
        <f>SUMPRODUCT(MMULT('M5'!$M43:$AZ43,'M1'!AL$10:AL$49))</f>
        <v/>
      </c>
      <c r="AM43" s="97">
        <f>SUMPRODUCT(MMULT('M5'!$M43:$AZ43,'M1'!AM$10:AM$49))</f>
        <v/>
      </c>
      <c r="AN43" s="97">
        <f>SUMPRODUCT(MMULT('M5'!$M43:$AZ43,'M1'!AN$10:AN$49))</f>
        <v/>
      </c>
      <c r="AO43" s="97">
        <f>SUMPRODUCT(MMULT('M5'!$M43:$AZ43,'M1'!AO$10:AO$49))</f>
        <v/>
      </c>
      <c r="AP43" s="97">
        <f>SUMPRODUCT(MMULT('M5'!$M43:$AZ43,'M1'!AP$10:AP$49))</f>
        <v/>
      </c>
      <c r="AQ43" s="97">
        <f>SUMPRODUCT(MMULT('M5'!$M43:$AZ43,'M1'!AQ$10:AQ$49))</f>
        <v/>
      </c>
      <c r="AR43" s="97">
        <f>SUMPRODUCT(MMULT('M5'!$M43:$AZ43,'M1'!AR$10:AR$49))</f>
        <v/>
      </c>
      <c r="AS43" s="97">
        <f>SUMPRODUCT(MMULT('M5'!$M43:$AZ43,'M1'!AS$10:AS$49))</f>
        <v/>
      </c>
      <c r="AT43" s="97">
        <f>SUMPRODUCT(MMULT('M5'!$M43:$AZ43,'M1'!AT$10:AT$49))</f>
        <v/>
      </c>
      <c r="AU43" s="97">
        <f>SUMPRODUCT(MMULT('M5'!$M43:$AZ43,'M1'!AU$10:AU$49))</f>
        <v/>
      </c>
      <c r="AV43" s="97">
        <f>SUMPRODUCT(MMULT('M5'!$M43:$AZ43,'M1'!AV$10:AV$49))</f>
        <v/>
      </c>
      <c r="AW43" s="97">
        <f>SUMPRODUCT(MMULT('M5'!$M43:$AZ43,'M1'!AW$10:AW$49))</f>
        <v/>
      </c>
      <c r="AX43" s="97">
        <f>SUMPRODUCT(MMULT('M5'!$M43:$AZ43,'M1'!AX$10:AX$49))</f>
        <v/>
      </c>
      <c r="AY43" s="97">
        <f>SUMPRODUCT(MMULT('M5'!$M43:$AZ43,'M1'!AY$10:AY$49))</f>
        <v/>
      </c>
      <c r="AZ43" s="97">
        <f>SUMPRODUCT(MMULT('M5'!$M43:$AZ43,'M1'!AZ$10:AZ$49))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SUMPRODUCT(MMULT('M5'!$M44:$AZ44,'M1'!M$10:M$49))</f>
        <v/>
      </c>
      <c r="N44" s="97">
        <f>SUMPRODUCT(MMULT('M5'!$M44:$AZ44,'M1'!N$10:N$49))</f>
        <v/>
      </c>
      <c r="O44" s="97">
        <f>SUMPRODUCT(MMULT('M5'!$M44:$AZ44,'M1'!O$10:O$49))</f>
        <v/>
      </c>
      <c r="P44" s="97">
        <f>SUMPRODUCT(MMULT('M5'!$M44:$AZ44,'M1'!P$10:P$49))</f>
        <v/>
      </c>
      <c r="Q44" s="97">
        <f>SUMPRODUCT(MMULT('M5'!$M44:$AZ44,'M1'!Q$10:Q$49))</f>
        <v/>
      </c>
      <c r="R44" s="97">
        <f>SUMPRODUCT(MMULT('M5'!$M44:$AZ44,'M1'!R$10:R$49))</f>
        <v/>
      </c>
      <c r="S44" s="97">
        <f>SUMPRODUCT(MMULT('M5'!$M44:$AZ44,'M1'!S$10:S$49))</f>
        <v/>
      </c>
      <c r="T44" s="97">
        <f>SUMPRODUCT(MMULT('M5'!$M44:$AZ44,'M1'!T$10:T$49))</f>
        <v/>
      </c>
      <c r="U44" s="97">
        <f>SUMPRODUCT(MMULT('M5'!$M44:$AZ44,'M1'!U$10:U$49))</f>
        <v/>
      </c>
      <c r="V44" s="97">
        <f>SUMPRODUCT(MMULT('M5'!$M44:$AZ44,'M1'!V$10:V$49))</f>
        <v/>
      </c>
      <c r="W44" s="97">
        <f>SUMPRODUCT(MMULT('M5'!$M44:$AZ44,'M1'!W$10:W$49))</f>
        <v/>
      </c>
      <c r="X44" s="97">
        <f>SUMPRODUCT(MMULT('M5'!$M44:$AZ44,'M1'!X$10:X$49))</f>
        <v/>
      </c>
      <c r="Y44" s="97">
        <f>SUMPRODUCT(MMULT('M5'!$M44:$AZ44,'M1'!Y$10:Y$49))</f>
        <v/>
      </c>
      <c r="Z44" s="97">
        <f>SUMPRODUCT(MMULT('M5'!$M44:$AZ44,'M1'!Z$10:Z$49))</f>
        <v/>
      </c>
      <c r="AA44" s="97">
        <f>SUMPRODUCT(MMULT('M5'!$M44:$AZ44,'M1'!AA$10:AA$49))</f>
        <v/>
      </c>
      <c r="AB44" s="97">
        <f>SUMPRODUCT(MMULT('M5'!$M44:$AZ44,'M1'!AB$10:AB$49))</f>
        <v/>
      </c>
      <c r="AC44" s="97">
        <f>SUMPRODUCT(MMULT('M5'!$M44:$AZ44,'M1'!AC$10:AC$49))</f>
        <v/>
      </c>
      <c r="AD44" s="97">
        <f>SUMPRODUCT(MMULT('M5'!$M44:$AZ44,'M1'!AD$10:AD$49))</f>
        <v/>
      </c>
      <c r="AE44" s="97">
        <f>SUMPRODUCT(MMULT('M5'!$M44:$AZ44,'M1'!AE$10:AE$49))</f>
        <v/>
      </c>
      <c r="AF44" s="97">
        <f>SUMPRODUCT(MMULT('M5'!$M44:$AZ44,'M1'!AF$10:AF$49))</f>
        <v/>
      </c>
      <c r="AG44" s="97">
        <f>SUMPRODUCT(MMULT('M5'!$M44:$AZ44,'M1'!AG$10:AG$49))</f>
        <v/>
      </c>
      <c r="AH44" s="97">
        <f>SUMPRODUCT(MMULT('M5'!$M44:$AZ44,'M1'!AH$10:AH$49))</f>
        <v/>
      </c>
      <c r="AI44" s="97">
        <f>SUMPRODUCT(MMULT('M5'!$M44:$AZ44,'M1'!AI$10:AI$49))</f>
        <v/>
      </c>
      <c r="AJ44" s="97">
        <f>SUMPRODUCT(MMULT('M5'!$M44:$AZ44,'M1'!AJ$10:AJ$49))</f>
        <v/>
      </c>
      <c r="AK44" s="97">
        <f>SUMPRODUCT(MMULT('M5'!$M44:$AZ44,'M1'!AK$10:AK$49))</f>
        <v/>
      </c>
      <c r="AL44" s="97">
        <f>SUMPRODUCT(MMULT('M5'!$M44:$AZ44,'M1'!AL$10:AL$49))</f>
        <v/>
      </c>
      <c r="AM44" s="97">
        <f>SUMPRODUCT(MMULT('M5'!$M44:$AZ44,'M1'!AM$10:AM$49))</f>
        <v/>
      </c>
      <c r="AN44" s="97">
        <f>SUMPRODUCT(MMULT('M5'!$M44:$AZ44,'M1'!AN$10:AN$49))</f>
        <v/>
      </c>
      <c r="AO44" s="97">
        <f>SUMPRODUCT(MMULT('M5'!$M44:$AZ44,'M1'!AO$10:AO$49))</f>
        <v/>
      </c>
      <c r="AP44" s="97">
        <f>SUMPRODUCT(MMULT('M5'!$M44:$AZ44,'M1'!AP$10:AP$49))</f>
        <v/>
      </c>
      <c r="AQ44" s="97">
        <f>SUMPRODUCT(MMULT('M5'!$M44:$AZ44,'M1'!AQ$10:AQ$49))</f>
        <v/>
      </c>
      <c r="AR44" s="97">
        <f>SUMPRODUCT(MMULT('M5'!$M44:$AZ44,'M1'!AR$10:AR$49))</f>
        <v/>
      </c>
      <c r="AS44" s="97">
        <f>SUMPRODUCT(MMULT('M5'!$M44:$AZ44,'M1'!AS$10:AS$49))</f>
        <v/>
      </c>
      <c r="AT44" s="97">
        <f>SUMPRODUCT(MMULT('M5'!$M44:$AZ44,'M1'!AT$10:AT$49))</f>
        <v/>
      </c>
      <c r="AU44" s="97">
        <f>SUMPRODUCT(MMULT('M5'!$M44:$AZ44,'M1'!AU$10:AU$49))</f>
        <v/>
      </c>
      <c r="AV44" s="97">
        <f>SUMPRODUCT(MMULT('M5'!$M44:$AZ44,'M1'!AV$10:AV$49))</f>
        <v/>
      </c>
      <c r="AW44" s="97">
        <f>SUMPRODUCT(MMULT('M5'!$M44:$AZ44,'M1'!AW$10:AW$49))</f>
        <v/>
      </c>
      <c r="AX44" s="97">
        <f>SUMPRODUCT(MMULT('M5'!$M44:$AZ44,'M1'!AX$10:AX$49))</f>
        <v/>
      </c>
      <c r="AY44" s="97">
        <f>SUMPRODUCT(MMULT('M5'!$M44:$AZ44,'M1'!AY$10:AY$49))</f>
        <v/>
      </c>
      <c r="AZ44" s="97">
        <f>SUMPRODUCT(MMULT('M5'!$M44:$AZ44,'M1'!AZ$10:AZ$49))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SUMPRODUCT(MMULT('M5'!$M45:$AZ45,'M1'!M$10:M$49))</f>
        <v/>
      </c>
      <c r="N45" s="97">
        <f>SUMPRODUCT(MMULT('M5'!$M45:$AZ45,'M1'!N$10:N$49))</f>
        <v/>
      </c>
      <c r="O45" s="97">
        <f>SUMPRODUCT(MMULT('M5'!$M45:$AZ45,'M1'!O$10:O$49))</f>
        <v/>
      </c>
      <c r="P45" s="97">
        <f>SUMPRODUCT(MMULT('M5'!$M45:$AZ45,'M1'!P$10:P$49))</f>
        <v/>
      </c>
      <c r="Q45" s="97">
        <f>SUMPRODUCT(MMULT('M5'!$M45:$AZ45,'M1'!Q$10:Q$49))</f>
        <v/>
      </c>
      <c r="R45" s="97">
        <f>SUMPRODUCT(MMULT('M5'!$M45:$AZ45,'M1'!R$10:R$49))</f>
        <v/>
      </c>
      <c r="S45" s="97">
        <f>SUMPRODUCT(MMULT('M5'!$M45:$AZ45,'M1'!S$10:S$49))</f>
        <v/>
      </c>
      <c r="T45" s="97">
        <f>SUMPRODUCT(MMULT('M5'!$M45:$AZ45,'M1'!T$10:T$49))</f>
        <v/>
      </c>
      <c r="U45" s="97">
        <f>SUMPRODUCT(MMULT('M5'!$M45:$AZ45,'M1'!U$10:U$49))</f>
        <v/>
      </c>
      <c r="V45" s="97">
        <f>SUMPRODUCT(MMULT('M5'!$M45:$AZ45,'M1'!V$10:V$49))</f>
        <v/>
      </c>
      <c r="W45" s="97">
        <f>SUMPRODUCT(MMULT('M5'!$M45:$AZ45,'M1'!W$10:W$49))</f>
        <v/>
      </c>
      <c r="X45" s="97">
        <f>SUMPRODUCT(MMULT('M5'!$M45:$AZ45,'M1'!X$10:X$49))</f>
        <v/>
      </c>
      <c r="Y45" s="97">
        <f>SUMPRODUCT(MMULT('M5'!$M45:$AZ45,'M1'!Y$10:Y$49))</f>
        <v/>
      </c>
      <c r="Z45" s="97">
        <f>SUMPRODUCT(MMULT('M5'!$M45:$AZ45,'M1'!Z$10:Z$49))</f>
        <v/>
      </c>
      <c r="AA45" s="97">
        <f>SUMPRODUCT(MMULT('M5'!$M45:$AZ45,'M1'!AA$10:AA$49))</f>
        <v/>
      </c>
      <c r="AB45" s="97">
        <f>SUMPRODUCT(MMULT('M5'!$M45:$AZ45,'M1'!AB$10:AB$49))</f>
        <v/>
      </c>
      <c r="AC45" s="97">
        <f>SUMPRODUCT(MMULT('M5'!$M45:$AZ45,'M1'!AC$10:AC$49))</f>
        <v/>
      </c>
      <c r="AD45" s="97">
        <f>SUMPRODUCT(MMULT('M5'!$M45:$AZ45,'M1'!AD$10:AD$49))</f>
        <v/>
      </c>
      <c r="AE45" s="97">
        <f>SUMPRODUCT(MMULT('M5'!$M45:$AZ45,'M1'!AE$10:AE$49))</f>
        <v/>
      </c>
      <c r="AF45" s="97">
        <f>SUMPRODUCT(MMULT('M5'!$M45:$AZ45,'M1'!AF$10:AF$49))</f>
        <v/>
      </c>
      <c r="AG45" s="97">
        <f>SUMPRODUCT(MMULT('M5'!$M45:$AZ45,'M1'!AG$10:AG$49))</f>
        <v/>
      </c>
      <c r="AH45" s="97">
        <f>SUMPRODUCT(MMULT('M5'!$M45:$AZ45,'M1'!AH$10:AH$49))</f>
        <v/>
      </c>
      <c r="AI45" s="97">
        <f>SUMPRODUCT(MMULT('M5'!$M45:$AZ45,'M1'!AI$10:AI$49))</f>
        <v/>
      </c>
      <c r="AJ45" s="97">
        <f>SUMPRODUCT(MMULT('M5'!$M45:$AZ45,'M1'!AJ$10:AJ$49))</f>
        <v/>
      </c>
      <c r="AK45" s="97">
        <f>SUMPRODUCT(MMULT('M5'!$M45:$AZ45,'M1'!AK$10:AK$49))</f>
        <v/>
      </c>
      <c r="AL45" s="97">
        <f>SUMPRODUCT(MMULT('M5'!$M45:$AZ45,'M1'!AL$10:AL$49))</f>
        <v/>
      </c>
      <c r="AM45" s="97">
        <f>SUMPRODUCT(MMULT('M5'!$M45:$AZ45,'M1'!AM$10:AM$49))</f>
        <v/>
      </c>
      <c r="AN45" s="97">
        <f>SUMPRODUCT(MMULT('M5'!$M45:$AZ45,'M1'!AN$10:AN$49))</f>
        <v/>
      </c>
      <c r="AO45" s="97">
        <f>SUMPRODUCT(MMULT('M5'!$M45:$AZ45,'M1'!AO$10:AO$49))</f>
        <v/>
      </c>
      <c r="AP45" s="97">
        <f>SUMPRODUCT(MMULT('M5'!$M45:$AZ45,'M1'!AP$10:AP$49))</f>
        <v/>
      </c>
      <c r="AQ45" s="97">
        <f>SUMPRODUCT(MMULT('M5'!$M45:$AZ45,'M1'!AQ$10:AQ$49))</f>
        <v/>
      </c>
      <c r="AR45" s="97">
        <f>SUMPRODUCT(MMULT('M5'!$M45:$AZ45,'M1'!AR$10:AR$49))</f>
        <v/>
      </c>
      <c r="AS45" s="97">
        <f>SUMPRODUCT(MMULT('M5'!$M45:$AZ45,'M1'!AS$10:AS$49))</f>
        <v/>
      </c>
      <c r="AT45" s="97">
        <f>SUMPRODUCT(MMULT('M5'!$M45:$AZ45,'M1'!AT$10:AT$49))</f>
        <v/>
      </c>
      <c r="AU45" s="97">
        <f>SUMPRODUCT(MMULT('M5'!$M45:$AZ45,'M1'!AU$10:AU$49))</f>
        <v/>
      </c>
      <c r="AV45" s="97">
        <f>SUMPRODUCT(MMULT('M5'!$M45:$AZ45,'M1'!AV$10:AV$49))</f>
        <v/>
      </c>
      <c r="AW45" s="97">
        <f>SUMPRODUCT(MMULT('M5'!$M45:$AZ45,'M1'!AW$10:AW$49))</f>
        <v/>
      </c>
      <c r="AX45" s="97">
        <f>SUMPRODUCT(MMULT('M5'!$M45:$AZ45,'M1'!AX$10:AX$49))</f>
        <v/>
      </c>
      <c r="AY45" s="97">
        <f>SUMPRODUCT(MMULT('M5'!$M45:$AZ45,'M1'!AY$10:AY$49))</f>
        <v/>
      </c>
      <c r="AZ45" s="97">
        <f>SUMPRODUCT(MMULT('M5'!$M45:$AZ45,'M1'!AZ$10:AZ$49))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SUMPRODUCT(MMULT('M5'!$M46:$AZ46,'M1'!M$10:M$49))</f>
        <v/>
      </c>
      <c r="N46" s="97">
        <f>SUMPRODUCT(MMULT('M5'!$M46:$AZ46,'M1'!N$10:N$49))</f>
        <v/>
      </c>
      <c r="O46" s="97">
        <f>SUMPRODUCT(MMULT('M5'!$M46:$AZ46,'M1'!O$10:O$49))</f>
        <v/>
      </c>
      <c r="P46" s="97">
        <f>SUMPRODUCT(MMULT('M5'!$M46:$AZ46,'M1'!P$10:P$49))</f>
        <v/>
      </c>
      <c r="Q46" s="97">
        <f>SUMPRODUCT(MMULT('M5'!$M46:$AZ46,'M1'!Q$10:Q$49))</f>
        <v/>
      </c>
      <c r="R46" s="97">
        <f>SUMPRODUCT(MMULT('M5'!$M46:$AZ46,'M1'!R$10:R$49))</f>
        <v/>
      </c>
      <c r="S46" s="97">
        <f>SUMPRODUCT(MMULT('M5'!$M46:$AZ46,'M1'!S$10:S$49))</f>
        <v/>
      </c>
      <c r="T46" s="97">
        <f>SUMPRODUCT(MMULT('M5'!$M46:$AZ46,'M1'!T$10:T$49))</f>
        <v/>
      </c>
      <c r="U46" s="97">
        <f>SUMPRODUCT(MMULT('M5'!$M46:$AZ46,'M1'!U$10:U$49))</f>
        <v/>
      </c>
      <c r="V46" s="97">
        <f>SUMPRODUCT(MMULT('M5'!$M46:$AZ46,'M1'!V$10:V$49))</f>
        <v/>
      </c>
      <c r="W46" s="97">
        <f>SUMPRODUCT(MMULT('M5'!$M46:$AZ46,'M1'!W$10:W$49))</f>
        <v/>
      </c>
      <c r="X46" s="97">
        <f>SUMPRODUCT(MMULT('M5'!$M46:$AZ46,'M1'!X$10:X$49))</f>
        <v/>
      </c>
      <c r="Y46" s="97">
        <f>SUMPRODUCT(MMULT('M5'!$M46:$AZ46,'M1'!Y$10:Y$49))</f>
        <v/>
      </c>
      <c r="Z46" s="97">
        <f>SUMPRODUCT(MMULT('M5'!$M46:$AZ46,'M1'!Z$10:Z$49))</f>
        <v/>
      </c>
      <c r="AA46" s="97">
        <f>SUMPRODUCT(MMULT('M5'!$M46:$AZ46,'M1'!AA$10:AA$49))</f>
        <v/>
      </c>
      <c r="AB46" s="97">
        <f>SUMPRODUCT(MMULT('M5'!$M46:$AZ46,'M1'!AB$10:AB$49))</f>
        <v/>
      </c>
      <c r="AC46" s="97">
        <f>SUMPRODUCT(MMULT('M5'!$M46:$AZ46,'M1'!AC$10:AC$49))</f>
        <v/>
      </c>
      <c r="AD46" s="97">
        <f>SUMPRODUCT(MMULT('M5'!$M46:$AZ46,'M1'!AD$10:AD$49))</f>
        <v/>
      </c>
      <c r="AE46" s="97">
        <f>SUMPRODUCT(MMULT('M5'!$M46:$AZ46,'M1'!AE$10:AE$49))</f>
        <v/>
      </c>
      <c r="AF46" s="97">
        <f>SUMPRODUCT(MMULT('M5'!$M46:$AZ46,'M1'!AF$10:AF$49))</f>
        <v/>
      </c>
      <c r="AG46" s="97">
        <f>SUMPRODUCT(MMULT('M5'!$M46:$AZ46,'M1'!AG$10:AG$49))</f>
        <v/>
      </c>
      <c r="AH46" s="97">
        <f>SUMPRODUCT(MMULT('M5'!$M46:$AZ46,'M1'!AH$10:AH$49))</f>
        <v/>
      </c>
      <c r="AI46" s="97">
        <f>SUMPRODUCT(MMULT('M5'!$M46:$AZ46,'M1'!AI$10:AI$49))</f>
        <v/>
      </c>
      <c r="AJ46" s="97">
        <f>SUMPRODUCT(MMULT('M5'!$M46:$AZ46,'M1'!AJ$10:AJ$49))</f>
        <v/>
      </c>
      <c r="AK46" s="97">
        <f>SUMPRODUCT(MMULT('M5'!$M46:$AZ46,'M1'!AK$10:AK$49))</f>
        <v/>
      </c>
      <c r="AL46" s="97">
        <f>SUMPRODUCT(MMULT('M5'!$M46:$AZ46,'M1'!AL$10:AL$49))</f>
        <v/>
      </c>
      <c r="AM46" s="97">
        <f>SUMPRODUCT(MMULT('M5'!$M46:$AZ46,'M1'!AM$10:AM$49))</f>
        <v/>
      </c>
      <c r="AN46" s="97">
        <f>SUMPRODUCT(MMULT('M5'!$M46:$AZ46,'M1'!AN$10:AN$49))</f>
        <v/>
      </c>
      <c r="AO46" s="97">
        <f>SUMPRODUCT(MMULT('M5'!$M46:$AZ46,'M1'!AO$10:AO$49))</f>
        <v/>
      </c>
      <c r="AP46" s="97">
        <f>SUMPRODUCT(MMULT('M5'!$M46:$AZ46,'M1'!AP$10:AP$49))</f>
        <v/>
      </c>
      <c r="AQ46" s="97">
        <f>SUMPRODUCT(MMULT('M5'!$M46:$AZ46,'M1'!AQ$10:AQ$49))</f>
        <v/>
      </c>
      <c r="AR46" s="97">
        <f>SUMPRODUCT(MMULT('M5'!$M46:$AZ46,'M1'!AR$10:AR$49))</f>
        <v/>
      </c>
      <c r="AS46" s="97">
        <f>SUMPRODUCT(MMULT('M5'!$M46:$AZ46,'M1'!AS$10:AS$49))</f>
        <v/>
      </c>
      <c r="AT46" s="97">
        <f>SUMPRODUCT(MMULT('M5'!$M46:$AZ46,'M1'!AT$10:AT$49))</f>
        <v/>
      </c>
      <c r="AU46" s="97">
        <f>SUMPRODUCT(MMULT('M5'!$M46:$AZ46,'M1'!AU$10:AU$49))</f>
        <v/>
      </c>
      <c r="AV46" s="97">
        <f>SUMPRODUCT(MMULT('M5'!$M46:$AZ46,'M1'!AV$10:AV$49))</f>
        <v/>
      </c>
      <c r="AW46" s="97">
        <f>SUMPRODUCT(MMULT('M5'!$M46:$AZ46,'M1'!AW$10:AW$49))</f>
        <v/>
      </c>
      <c r="AX46" s="97">
        <f>SUMPRODUCT(MMULT('M5'!$M46:$AZ46,'M1'!AX$10:AX$49))</f>
        <v/>
      </c>
      <c r="AY46" s="97">
        <f>SUMPRODUCT(MMULT('M5'!$M46:$AZ46,'M1'!AY$10:AY$49))</f>
        <v/>
      </c>
      <c r="AZ46" s="97">
        <f>SUMPRODUCT(MMULT('M5'!$M46:$AZ46,'M1'!AZ$10:AZ$49))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SUMPRODUCT(MMULT('M5'!$M47:$AZ47,'M1'!M$10:M$49))</f>
        <v/>
      </c>
      <c r="N47" s="97">
        <f>SUMPRODUCT(MMULT('M5'!$M47:$AZ47,'M1'!N$10:N$49))</f>
        <v/>
      </c>
      <c r="O47" s="97">
        <f>SUMPRODUCT(MMULT('M5'!$M47:$AZ47,'M1'!O$10:O$49))</f>
        <v/>
      </c>
      <c r="P47" s="97">
        <f>SUMPRODUCT(MMULT('M5'!$M47:$AZ47,'M1'!P$10:P$49))</f>
        <v/>
      </c>
      <c r="Q47" s="97">
        <f>SUMPRODUCT(MMULT('M5'!$M47:$AZ47,'M1'!Q$10:Q$49))</f>
        <v/>
      </c>
      <c r="R47" s="97">
        <f>SUMPRODUCT(MMULT('M5'!$M47:$AZ47,'M1'!R$10:R$49))</f>
        <v/>
      </c>
      <c r="S47" s="97">
        <f>SUMPRODUCT(MMULT('M5'!$M47:$AZ47,'M1'!S$10:S$49))</f>
        <v/>
      </c>
      <c r="T47" s="97">
        <f>SUMPRODUCT(MMULT('M5'!$M47:$AZ47,'M1'!T$10:T$49))</f>
        <v/>
      </c>
      <c r="U47" s="97">
        <f>SUMPRODUCT(MMULT('M5'!$M47:$AZ47,'M1'!U$10:U$49))</f>
        <v/>
      </c>
      <c r="V47" s="97">
        <f>SUMPRODUCT(MMULT('M5'!$M47:$AZ47,'M1'!V$10:V$49))</f>
        <v/>
      </c>
      <c r="W47" s="97">
        <f>SUMPRODUCT(MMULT('M5'!$M47:$AZ47,'M1'!W$10:W$49))</f>
        <v/>
      </c>
      <c r="X47" s="97">
        <f>SUMPRODUCT(MMULT('M5'!$M47:$AZ47,'M1'!X$10:X$49))</f>
        <v/>
      </c>
      <c r="Y47" s="97">
        <f>SUMPRODUCT(MMULT('M5'!$M47:$AZ47,'M1'!Y$10:Y$49))</f>
        <v/>
      </c>
      <c r="Z47" s="97">
        <f>SUMPRODUCT(MMULT('M5'!$M47:$AZ47,'M1'!Z$10:Z$49))</f>
        <v/>
      </c>
      <c r="AA47" s="97">
        <f>SUMPRODUCT(MMULT('M5'!$M47:$AZ47,'M1'!AA$10:AA$49))</f>
        <v/>
      </c>
      <c r="AB47" s="97">
        <f>SUMPRODUCT(MMULT('M5'!$M47:$AZ47,'M1'!AB$10:AB$49))</f>
        <v/>
      </c>
      <c r="AC47" s="97">
        <f>SUMPRODUCT(MMULT('M5'!$M47:$AZ47,'M1'!AC$10:AC$49))</f>
        <v/>
      </c>
      <c r="AD47" s="97">
        <f>SUMPRODUCT(MMULT('M5'!$M47:$AZ47,'M1'!AD$10:AD$49))</f>
        <v/>
      </c>
      <c r="AE47" s="97">
        <f>SUMPRODUCT(MMULT('M5'!$M47:$AZ47,'M1'!AE$10:AE$49))</f>
        <v/>
      </c>
      <c r="AF47" s="97">
        <f>SUMPRODUCT(MMULT('M5'!$M47:$AZ47,'M1'!AF$10:AF$49))</f>
        <v/>
      </c>
      <c r="AG47" s="97">
        <f>SUMPRODUCT(MMULT('M5'!$M47:$AZ47,'M1'!AG$10:AG$49))</f>
        <v/>
      </c>
      <c r="AH47" s="97">
        <f>SUMPRODUCT(MMULT('M5'!$M47:$AZ47,'M1'!AH$10:AH$49))</f>
        <v/>
      </c>
      <c r="AI47" s="97">
        <f>SUMPRODUCT(MMULT('M5'!$M47:$AZ47,'M1'!AI$10:AI$49))</f>
        <v/>
      </c>
      <c r="AJ47" s="97">
        <f>SUMPRODUCT(MMULT('M5'!$M47:$AZ47,'M1'!AJ$10:AJ$49))</f>
        <v/>
      </c>
      <c r="AK47" s="97">
        <f>SUMPRODUCT(MMULT('M5'!$M47:$AZ47,'M1'!AK$10:AK$49))</f>
        <v/>
      </c>
      <c r="AL47" s="97">
        <f>SUMPRODUCT(MMULT('M5'!$M47:$AZ47,'M1'!AL$10:AL$49))</f>
        <v/>
      </c>
      <c r="AM47" s="97">
        <f>SUMPRODUCT(MMULT('M5'!$M47:$AZ47,'M1'!AM$10:AM$49))</f>
        <v/>
      </c>
      <c r="AN47" s="97">
        <f>SUMPRODUCT(MMULT('M5'!$M47:$AZ47,'M1'!AN$10:AN$49))</f>
        <v/>
      </c>
      <c r="AO47" s="97">
        <f>SUMPRODUCT(MMULT('M5'!$M47:$AZ47,'M1'!AO$10:AO$49))</f>
        <v/>
      </c>
      <c r="AP47" s="97">
        <f>SUMPRODUCT(MMULT('M5'!$M47:$AZ47,'M1'!AP$10:AP$49))</f>
        <v/>
      </c>
      <c r="AQ47" s="97">
        <f>SUMPRODUCT(MMULT('M5'!$M47:$AZ47,'M1'!AQ$10:AQ$49))</f>
        <v/>
      </c>
      <c r="AR47" s="97">
        <f>SUMPRODUCT(MMULT('M5'!$M47:$AZ47,'M1'!AR$10:AR$49))</f>
        <v/>
      </c>
      <c r="AS47" s="97">
        <f>SUMPRODUCT(MMULT('M5'!$M47:$AZ47,'M1'!AS$10:AS$49))</f>
        <v/>
      </c>
      <c r="AT47" s="97">
        <f>SUMPRODUCT(MMULT('M5'!$M47:$AZ47,'M1'!AT$10:AT$49))</f>
        <v/>
      </c>
      <c r="AU47" s="97">
        <f>SUMPRODUCT(MMULT('M5'!$M47:$AZ47,'M1'!AU$10:AU$49))</f>
        <v/>
      </c>
      <c r="AV47" s="97">
        <f>SUMPRODUCT(MMULT('M5'!$M47:$AZ47,'M1'!AV$10:AV$49))</f>
        <v/>
      </c>
      <c r="AW47" s="97">
        <f>SUMPRODUCT(MMULT('M5'!$M47:$AZ47,'M1'!AW$10:AW$49))</f>
        <v/>
      </c>
      <c r="AX47" s="97">
        <f>SUMPRODUCT(MMULT('M5'!$M47:$AZ47,'M1'!AX$10:AX$49))</f>
        <v/>
      </c>
      <c r="AY47" s="97">
        <f>SUMPRODUCT(MMULT('M5'!$M47:$AZ47,'M1'!AY$10:AY$49))</f>
        <v/>
      </c>
      <c r="AZ47" s="97">
        <f>SUMPRODUCT(MMULT('M5'!$M47:$AZ47,'M1'!AZ$10:AZ$49))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SUMPRODUCT(MMULT('M5'!$M48:$AZ48,'M1'!M$10:M$49))</f>
        <v/>
      </c>
      <c r="N48" s="97">
        <f>SUMPRODUCT(MMULT('M5'!$M48:$AZ48,'M1'!N$10:N$49))</f>
        <v/>
      </c>
      <c r="O48" s="97">
        <f>SUMPRODUCT(MMULT('M5'!$M48:$AZ48,'M1'!O$10:O$49))</f>
        <v/>
      </c>
      <c r="P48" s="97">
        <f>SUMPRODUCT(MMULT('M5'!$M48:$AZ48,'M1'!P$10:P$49))</f>
        <v/>
      </c>
      <c r="Q48" s="97">
        <f>SUMPRODUCT(MMULT('M5'!$M48:$AZ48,'M1'!Q$10:Q$49))</f>
        <v/>
      </c>
      <c r="R48" s="97">
        <f>SUMPRODUCT(MMULT('M5'!$M48:$AZ48,'M1'!R$10:R$49))</f>
        <v/>
      </c>
      <c r="S48" s="97">
        <f>SUMPRODUCT(MMULT('M5'!$M48:$AZ48,'M1'!S$10:S$49))</f>
        <v/>
      </c>
      <c r="T48" s="97">
        <f>SUMPRODUCT(MMULT('M5'!$M48:$AZ48,'M1'!T$10:T$49))</f>
        <v/>
      </c>
      <c r="U48" s="97">
        <f>SUMPRODUCT(MMULT('M5'!$M48:$AZ48,'M1'!U$10:U$49))</f>
        <v/>
      </c>
      <c r="V48" s="97">
        <f>SUMPRODUCT(MMULT('M5'!$M48:$AZ48,'M1'!V$10:V$49))</f>
        <v/>
      </c>
      <c r="W48" s="97">
        <f>SUMPRODUCT(MMULT('M5'!$M48:$AZ48,'M1'!W$10:W$49))</f>
        <v/>
      </c>
      <c r="X48" s="97">
        <f>SUMPRODUCT(MMULT('M5'!$M48:$AZ48,'M1'!X$10:X$49))</f>
        <v/>
      </c>
      <c r="Y48" s="97">
        <f>SUMPRODUCT(MMULT('M5'!$M48:$AZ48,'M1'!Y$10:Y$49))</f>
        <v/>
      </c>
      <c r="Z48" s="97">
        <f>SUMPRODUCT(MMULT('M5'!$M48:$AZ48,'M1'!Z$10:Z$49))</f>
        <v/>
      </c>
      <c r="AA48" s="97">
        <f>SUMPRODUCT(MMULT('M5'!$M48:$AZ48,'M1'!AA$10:AA$49))</f>
        <v/>
      </c>
      <c r="AB48" s="97">
        <f>SUMPRODUCT(MMULT('M5'!$M48:$AZ48,'M1'!AB$10:AB$49))</f>
        <v/>
      </c>
      <c r="AC48" s="97">
        <f>SUMPRODUCT(MMULT('M5'!$M48:$AZ48,'M1'!AC$10:AC$49))</f>
        <v/>
      </c>
      <c r="AD48" s="97">
        <f>SUMPRODUCT(MMULT('M5'!$M48:$AZ48,'M1'!AD$10:AD$49))</f>
        <v/>
      </c>
      <c r="AE48" s="97">
        <f>SUMPRODUCT(MMULT('M5'!$M48:$AZ48,'M1'!AE$10:AE$49))</f>
        <v/>
      </c>
      <c r="AF48" s="97">
        <f>SUMPRODUCT(MMULT('M5'!$M48:$AZ48,'M1'!AF$10:AF$49))</f>
        <v/>
      </c>
      <c r="AG48" s="97">
        <f>SUMPRODUCT(MMULT('M5'!$M48:$AZ48,'M1'!AG$10:AG$49))</f>
        <v/>
      </c>
      <c r="AH48" s="97">
        <f>SUMPRODUCT(MMULT('M5'!$M48:$AZ48,'M1'!AH$10:AH$49))</f>
        <v/>
      </c>
      <c r="AI48" s="97">
        <f>SUMPRODUCT(MMULT('M5'!$M48:$AZ48,'M1'!AI$10:AI$49))</f>
        <v/>
      </c>
      <c r="AJ48" s="97">
        <f>SUMPRODUCT(MMULT('M5'!$M48:$AZ48,'M1'!AJ$10:AJ$49))</f>
        <v/>
      </c>
      <c r="AK48" s="97">
        <f>SUMPRODUCT(MMULT('M5'!$M48:$AZ48,'M1'!AK$10:AK$49))</f>
        <v/>
      </c>
      <c r="AL48" s="97">
        <f>SUMPRODUCT(MMULT('M5'!$M48:$AZ48,'M1'!AL$10:AL$49))</f>
        <v/>
      </c>
      <c r="AM48" s="97">
        <f>SUMPRODUCT(MMULT('M5'!$M48:$AZ48,'M1'!AM$10:AM$49))</f>
        <v/>
      </c>
      <c r="AN48" s="97">
        <f>SUMPRODUCT(MMULT('M5'!$M48:$AZ48,'M1'!AN$10:AN$49))</f>
        <v/>
      </c>
      <c r="AO48" s="97">
        <f>SUMPRODUCT(MMULT('M5'!$M48:$AZ48,'M1'!AO$10:AO$49))</f>
        <v/>
      </c>
      <c r="AP48" s="97">
        <f>SUMPRODUCT(MMULT('M5'!$M48:$AZ48,'M1'!AP$10:AP$49))</f>
        <v/>
      </c>
      <c r="AQ48" s="97">
        <f>SUMPRODUCT(MMULT('M5'!$M48:$AZ48,'M1'!AQ$10:AQ$49))</f>
        <v/>
      </c>
      <c r="AR48" s="97">
        <f>SUMPRODUCT(MMULT('M5'!$M48:$AZ48,'M1'!AR$10:AR$49))</f>
        <v/>
      </c>
      <c r="AS48" s="97">
        <f>SUMPRODUCT(MMULT('M5'!$M48:$AZ48,'M1'!AS$10:AS$49))</f>
        <v/>
      </c>
      <c r="AT48" s="97">
        <f>SUMPRODUCT(MMULT('M5'!$M48:$AZ48,'M1'!AT$10:AT$49))</f>
        <v/>
      </c>
      <c r="AU48" s="97">
        <f>SUMPRODUCT(MMULT('M5'!$M48:$AZ48,'M1'!AU$10:AU$49))</f>
        <v/>
      </c>
      <c r="AV48" s="97">
        <f>SUMPRODUCT(MMULT('M5'!$M48:$AZ48,'M1'!AV$10:AV$49))</f>
        <v/>
      </c>
      <c r="AW48" s="97">
        <f>SUMPRODUCT(MMULT('M5'!$M48:$AZ48,'M1'!AW$10:AW$49))</f>
        <v/>
      </c>
      <c r="AX48" s="97">
        <f>SUMPRODUCT(MMULT('M5'!$M48:$AZ48,'M1'!AX$10:AX$49))</f>
        <v/>
      </c>
      <c r="AY48" s="97">
        <f>SUMPRODUCT(MMULT('M5'!$M48:$AZ48,'M1'!AY$10:AY$49))</f>
        <v/>
      </c>
      <c r="AZ48" s="97">
        <f>SUMPRODUCT(MMULT('M5'!$M48:$AZ48,'M1'!AZ$10:AZ$49))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SUMPRODUCT(MMULT('M5'!$M49:$AZ49,'M1'!M$10:M$49))</f>
        <v/>
      </c>
      <c r="N49" s="97">
        <f>SUMPRODUCT(MMULT('M5'!$M49:$AZ49,'M1'!N$10:N$49))</f>
        <v/>
      </c>
      <c r="O49" s="97">
        <f>SUMPRODUCT(MMULT('M5'!$M49:$AZ49,'M1'!O$10:O$49))</f>
        <v/>
      </c>
      <c r="P49" s="97">
        <f>SUMPRODUCT(MMULT('M5'!$M49:$AZ49,'M1'!P$10:P$49))</f>
        <v/>
      </c>
      <c r="Q49" s="97">
        <f>SUMPRODUCT(MMULT('M5'!$M49:$AZ49,'M1'!Q$10:Q$49))</f>
        <v/>
      </c>
      <c r="R49" s="97">
        <f>SUMPRODUCT(MMULT('M5'!$M49:$AZ49,'M1'!R$10:R$49))</f>
        <v/>
      </c>
      <c r="S49" s="97">
        <f>SUMPRODUCT(MMULT('M5'!$M49:$AZ49,'M1'!S$10:S$49))</f>
        <v/>
      </c>
      <c r="T49" s="97">
        <f>SUMPRODUCT(MMULT('M5'!$M49:$AZ49,'M1'!T$10:T$49))</f>
        <v/>
      </c>
      <c r="U49" s="97">
        <f>SUMPRODUCT(MMULT('M5'!$M49:$AZ49,'M1'!U$10:U$49))</f>
        <v/>
      </c>
      <c r="V49" s="97">
        <f>SUMPRODUCT(MMULT('M5'!$M49:$AZ49,'M1'!V$10:V$49))</f>
        <v/>
      </c>
      <c r="W49" s="97">
        <f>SUMPRODUCT(MMULT('M5'!$M49:$AZ49,'M1'!W$10:W$49))</f>
        <v/>
      </c>
      <c r="X49" s="97">
        <f>SUMPRODUCT(MMULT('M5'!$M49:$AZ49,'M1'!X$10:X$49))</f>
        <v/>
      </c>
      <c r="Y49" s="97">
        <f>SUMPRODUCT(MMULT('M5'!$M49:$AZ49,'M1'!Y$10:Y$49))</f>
        <v/>
      </c>
      <c r="Z49" s="97">
        <f>SUMPRODUCT(MMULT('M5'!$M49:$AZ49,'M1'!Z$10:Z$49))</f>
        <v/>
      </c>
      <c r="AA49" s="97">
        <f>SUMPRODUCT(MMULT('M5'!$M49:$AZ49,'M1'!AA$10:AA$49))</f>
        <v/>
      </c>
      <c r="AB49" s="97">
        <f>SUMPRODUCT(MMULT('M5'!$M49:$AZ49,'M1'!AB$10:AB$49))</f>
        <v/>
      </c>
      <c r="AC49" s="97">
        <f>SUMPRODUCT(MMULT('M5'!$M49:$AZ49,'M1'!AC$10:AC$49))</f>
        <v/>
      </c>
      <c r="AD49" s="97">
        <f>SUMPRODUCT(MMULT('M5'!$M49:$AZ49,'M1'!AD$10:AD$49))</f>
        <v/>
      </c>
      <c r="AE49" s="97">
        <f>SUMPRODUCT(MMULT('M5'!$M49:$AZ49,'M1'!AE$10:AE$49))</f>
        <v/>
      </c>
      <c r="AF49" s="97">
        <f>SUMPRODUCT(MMULT('M5'!$M49:$AZ49,'M1'!AF$10:AF$49))</f>
        <v/>
      </c>
      <c r="AG49" s="97">
        <f>SUMPRODUCT(MMULT('M5'!$M49:$AZ49,'M1'!AG$10:AG$49))</f>
        <v/>
      </c>
      <c r="AH49" s="97">
        <f>SUMPRODUCT(MMULT('M5'!$M49:$AZ49,'M1'!AH$10:AH$49))</f>
        <v/>
      </c>
      <c r="AI49" s="97">
        <f>SUMPRODUCT(MMULT('M5'!$M49:$AZ49,'M1'!AI$10:AI$49))</f>
        <v/>
      </c>
      <c r="AJ49" s="97">
        <f>SUMPRODUCT(MMULT('M5'!$M49:$AZ49,'M1'!AJ$10:AJ$49))</f>
        <v/>
      </c>
      <c r="AK49" s="97">
        <f>SUMPRODUCT(MMULT('M5'!$M49:$AZ49,'M1'!AK$10:AK$49))</f>
        <v/>
      </c>
      <c r="AL49" s="97">
        <f>SUMPRODUCT(MMULT('M5'!$M49:$AZ49,'M1'!AL$10:AL$49))</f>
        <v/>
      </c>
      <c r="AM49" s="97">
        <f>SUMPRODUCT(MMULT('M5'!$M49:$AZ49,'M1'!AM$10:AM$49))</f>
        <v/>
      </c>
      <c r="AN49" s="97">
        <f>SUMPRODUCT(MMULT('M5'!$M49:$AZ49,'M1'!AN$10:AN$49))</f>
        <v/>
      </c>
      <c r="AO49" s="97">
        <f>SUMPRODUCT(MMULT('M5'!$M49:$AZ49,'M1'!AO$10:AO$49))</f>
        <v/>
      </c>
      <c r="AP49" s="97">
        <f>SUMPRODUCT(MMULT('M5'!$M49:$AZ49,'M1'!AP$10:AP$49))</f>
        <v/>
      </c>
      <c r="AQ49" s="97">
        <f>SUMPRODUCT(MMULT('M5'!$M49:$AZ49,'M1'!AQ$10:AQ$49))</f>
        <v/>
      </c>
      <c r="AR49" s="97">
        <f>SUMPRODUCT(MMULT('M5'!$M49:$AZ49,'M1'!AR$10:AR$49))</f>
        <v/>
      </c>
      <c r="AS49" s="97">
        <f>SUMPRODUCT(MMULT('M5'!$M49:$AZ49,'M1'!AS$10:AS$49))</f>
        <v/>
      </c>
      <c r="AT49" s="97">
        <f>SUMPRODUCT(MMULT('M5'!$M49:$AZ49,'M1'!AT$10:AT$49))</f>
        <v/>
      </c>
      <c r="AU49" s="97">
        <f>SUMPRODUCT(MMULT('M5'!$M49:$AZ49,'M1'!AU$10:AU$49))</f>
        <v/>
      </c>
      <c r="AV49" s="97">
        <f>SUMPRODUCT(MMULT('M5'!$M49:$AZ49,'M1'!AV$10:AV$49))</f>
        <v/>
      </c>
      <c r="AW49" s="97">
        <f>SUMPRODUCT(MMULT('M5'!$M49:$AZ49,'M1'!AW$10:AW$49))</f>
        <v/>
      </c>
      <c r="AX49" s="97">
        <f>SUMPRODUCT(MMULT('M5'!$M49:$AZ49,'M1'!AX$10:AX$49))</f>
        <v/>
      </c>
      <c r="AY49" s="97">
        <f>SUMPRODUCT(MMULT('M5'!$M49:$AZ49,'M1'!AY$10:AY$49))</f>
        <v/>
      </c>
      <c r="AZ49" s="97">
        <f>SUMPRODUCT(MMULT('M5'!$M49:$AZ49,'M1'!AZ$10:AZ$49))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9.xml><?xml version="1.0" encoding="utf-8"?>
<worksheet xmlns="http://schemas.openxmlformats.org/spreadsheetml/2006/main">
  <sheetPr>
    <tabColor rgb="FF6699CC"/>
    <outlinePr summaryBelow="1" summaryRight="1"/>
    <pageSetUpPr fitToPage="1"/>
  </sheetPr>
  <dimension ref="A1:J109"/>
  <sheetViews>
    <sheetView showGridLines="0" topLeftCell="A10" zoomScale="85" workbookViewId="0">
      <selection activeCell="A1" sqref="A1:H1"/>
    </sheetView>
  </sheetViews>
  <sheetFormatPr baseColWidth="10" defaultColWidth="8.83203125" defaultRowHeight="15"/>
  <cols>
    <col width="11" customWidth="1" style="62" min="1" max="1"/>
    <col width="52" customWidth="1" style="62" min="2" max="2"/>
    <col width="16" customWidth="1" style="62" min="3" max="8"/>
    <col width="30" customWidth="1" style="62" min="9" max="9"/>
    <col width="12" customWidth="1" style="62" min="10" max="10"/>
  </cols>
  <sheetData>
    <row r="1" ht="30" customHeight="1" s="62">
      <c r="A1" s="65" t="inlineStr">
        <is>
          <t>Evolución de las posiciones entre M1 y M6</t>
        </is>
      </c>
    </row>
    <row r="2" ht="30" customHeight="1" s="62">
      <c r="A2" s="63" t="inlineStr">
        <is>
          <t>Rango 1 corresponde al total mayor. Un empate conserva el mismo rango: 1, 2, 2, 4. Se compara a cada variable consigo misma entre potencias.</t>
        </is>
      </c>
    </row>
    <row r="3" ht="24" customHeight="1" s="62">
      <c r="A3" s="61">
        <f>IF(matrizOK,"Comparación disponible para "&amp;nVariables&amp;" variables.","Complete y corrija M para obtener resultados.")</f>
        <v/>
      </c>
    </row>
    <row r="5" ht="32" customHeight="1" s="62">
      <c r="A5" s="69" t="inlineStr">
        <is>
          <t>Paso</t>
        </is>
      </c>
      <c r="B5" s="69" t="inlineStr">
        <is>
          <t>Comparación</t>
        </is>
      </c>
      <c r="C5" s="69" t="inlineStr">
        <is>
          <t>Cambios en influencia</t>
        </is>
      </c>
      <c r="D5" s="69" t="inlineStr">
        <is>
          <t>Cambios en dependencia</t>
        </is>
      </c>
      <c r="E5" s="69" t="inlineStr">
        <is>
          <t>Lectura</t>
        </is>
      </c>
      <c r="I5" s="17" t="inlineStr">
        <is>
          <t>Estabilidad de los rangos</t>
        </is>
      </c>
      <c r="J5" s="17" t="inlineStr">
        <is>
          <t>Desde M…</t>
        </is>
      </c>
    </row>
    <row r="6" ht="22" customHeight="1" s="62">
      <c r="A6" s="68" t="n">
        <v>1</v>
      </c>
      <c r="B6" s="32" t="inlineStr">
        <is>
          <t>M1 frente a M2</t>
        </is>
      </c>
      <c r="C6" s="33">
        <f>IF(AND(matrizOK,'M1'!$C$9&gt;0,'M2'!$C$9&gt;0),SUMPRODUCT(--('M1'!$G$10:$G$49&lt;&gt;'M2'!$G$10:$G$49)),"")</f>
        <v/>
      </c>
      <c r="D6" s="33">
        <f>IF(AND(matrizOK,'M1'!$C$9&gt;0,'M2'!$C$9&gt;0),SUMPRODUCT(--('M1'!$H$10:$H$49&lt;&gt;'M2'!$H$10:$H$49)),"")</f>
        <v/>
      </c>
      <c r="E6" s="68">
        <f>IF(NOT(matrizOK),"M incompleta",IF(OR('M1'!$C$9=0,'M2'!$C$9=0),"Sin comparación",IF(AND(C6=0,D6=0),"Sin cambios de rango","Hay cambios de rango")))</f>
        <v/>
      </c>
      <c r="I6" s="34" t="inlineStr">
        <is>
          <t>Influencia estable desde</t>
        </is>
      </c>
      <c r="J6" s="35">
        <f>IF(matrizOK,MAX(IF(N(C6)&gt;0,1,0),IF(N(C7)&gt;0,2,0),IF(N(C8)&gt;0,3,0),IF(N(C9)&gt;0,4,0),IF(N(C10)&gt;0,5,0))+1,"")</f>
        <v/>
      </c>
    </row>
    <row r="7" ht="22" customHeight="1" s="62">
      <c r="A7" s="68" t="n">
        <v>2</v>
      </c>
      <c r="B7" s="32" t="inlineStr">
        <is>
          <t>M2 frente a M3</t>
        </is>
      </c>
      <c r="C7" s="33">
        <f>IF(AND(matrizOK,'M2'!$C$9&gt;0,'M3'!$C$9&gt;0),SUMPRODUCT(--('M2'!$G$10:$G$49&lt;&gt;'M3'!$G$10:$G$49)),"")</f>
        <v/>
      </c>
      <c r="D7" s="33">
        <f>IF(AND(matrizOK,'M2'!$C$9&gt;0,'M3'!$C$9&gt;0),SUMPRODUCT(--('M2'!$H$10:$H$49&lt;&gt;'M3'!$H$10:$H$49)),"")</f>
        <v/>
      </c>
      <c r="E7" s="68">
        <f>IF(NOT(matrizOK),"M incompleta",IF(OR('M2'!$C$9=0,'M3'!$C$9=0),"Sin comparación",IF(AND(C7=0,D7=0),"Sin cambios de rango","Hay cambios de rango")))</f>
        <v/>
      </c>
      <c r="I7" s="34" t="inlineStr">
        <is>
          <t>Dependencia estable desde</t>
        </is>
      </c>
      <c r="J7" s="35">
        <f>IF(matrizOK,MAX(IF(N(D6)&gt;0,1,0),IF(N(D7)&gt;0,2,0),IF(N(D8)&gt;0,3,0),IF(N(D9)&gt;0,4,0),IF(N(D10)&gt;0,5,0))+1,"")</f>
        <v/>
      </c>
    </row>
    <row r="8" ht="22" customHeight="1" s="62">
      <c r="A8" s="68" t="n">
        <v>3</v>
      </c>
      <c r="B8" s="32" t="inlineStr">
        <is>
          <t>M3 frente a M4</t>
        </is>
      </c>
      <c r="C8" s="33">
        <f>IF(AND(matrizOK,'M3'!$C$9&gt;0,'M4'!$C$9&gt;0),SUMPRODUCT(--('M3'!$G$10:$G$49&lt;&gt;'M4'!$G$10:$G$49)),"")</f>
        <v/>
      </c>
      <c r="D8" s="33">
        <f>IF(AND(matrizOK,'M3'!$C$9&gt;0,'M4'!$C$9&gt;0),SUMPRODUCT(--('M3'!$H$10:$H$49&lt;&gt;'M4'!$H$10:$H$49)),"")</f>
        <v/>
      </c>
      <c r="E8" s="68">
        <f>IF(NOT(matrizOK),"M incompleta",IF(OR('M3'!$C$9=0,'M4'!$C$9=0),"Sin comparación",IF(AND(C8=0,D8=0),"Sin cambios de rango","Hay cambios de rango")))</f>
        <v/>
      </c>
    </row>
    <row r="9" ht="22" customHeight="1" s="62">
      <c r="A9" s="68" t="n">
        <v>4</v>
      </c>
      <c r="B9" s="32" t="inlineStr">
        <is>
          <t>M4 frente a M5</t>
        </is>
      </c>
      <c r="C9" s="33">
        <f>IF(AND(matrizOK,'M4'!$C$9&gt;0,'M5'!$C$9&gt;0),SUMPRODUCT(--('M4'!$G$10:$G$49&lt;&gt;'M5'!$G$10:$G$49)),"")</f>
        <v/>
      </c>
      <c r="D9" s="33">
        <f>IF(AND(matrizOK,'M4'!$C$9&gt;0,'M5'!$C$9&gt;0),SUMPRODUCT(--('M4'!$H$10:$H$49&lt;&gt;'M5'!$H$10:$H$49)),"")</f>
        <v/>
      </c>
      <c r="E9" s="68">
        <f>IF(NOT(matrizOK),"M incompleta",IF(OR('M4'!$C$9=0,'M5'!$C$9=0),"Sin comparación",IF(AND(C9=0,D9=0),"Sin cambios de rango","Hay cambios de rango")))</f>
        <v/>
      </c>
    </row>
    <row r="10" ht="22" customHeight="1" s="62">
      <c r="A10" s="68" t="n">
        <v>5</v>
      </c>
      <c r="B10" s="32" t="inlineStr">
        <is>
          <t>M5 frente a M6</t>
        </is>
      </c>
      <c r="C10" s="33">
        <f>IF(AND(matrizOK,'M5'!$C$9&gt;0,'M6'!$C$9&gt;0),SUMPRODUCT(--('M5'!$G$10:$G$49&lt;&gt;'M6'!$G$10:$G$49)),"")</f>
        <v/>
      </c>
      <c r="D10" s="33">
        <f>IF(AND(matrizOK,'M5'!$C$9&gt;0,'M6'!$C$9&gt;0),SUMPRODUCT(--('M5'!$H$10:$H$49&lt;&gt;'M6'!$H$10:$H$49)),"")</f>
        <v/>
      </c>
      <c r="E10" s="68">
        <f>IF(NOT(matrizOK),"M incompleta",IF(OR('M5'!$C$9=0,'M6'!$C$9=0),"Sin comparación",IF(AND(C10=0,D10=0),"Sin cambios de rango","Hay cambios de rango")))</f>
        <v/>
      </c>
    </row>
    <row r="11" ht="30" customHeight="1" s="62">
      <c r="A11" s="63" t="inlineStr">
        <is>
          <t>Sin cambios en una transición no garantiza que las siguientes sean iguales. Compruebe todas las transiciones disponibles; seis potencias no prueban estabilidad indefinida.</t>
        </is>
      </c>
    </row>
    <row r="12" ht="32" customHeight="1" s="62">
      <c r="A12" s="63">
        <f>IF(matrizOK,"Con la matriz actual, la influencia mantiene sus rangos de M"&amp;$J$6&amp;" a M6"&amp;IF($J$6=6," (solo la última potencia: no hay evidencia de estabilidad)","")&amp;"; la dependencia los mantiene de M"&amp;$J$7&amp;" a M6"&amp;IF($J$7=6," (solo la última potencia: no hay evidencia de estabilidad)","")&amp;". Esta observación se recalcula en la tabla si usted cambia M.","")</f>
        <v/>
      </c>
    </row>
    <row r="15" ht="32" customHeight="1" s="62">
      <c r="A15" s="69" t="inlineStr">
        <is>
          <t>Potencia</t>
        </is>
      </c>
      <c r="B15" s="69" t="inlineStr">
        <is>
          <t>Total de pesos</t>
        </is>
      </c>
      <c r="C15" s="69" t="inlineStr">
        <is>
          <t>Mediana influencia</t>
        </is>
      </c>
      <c r="D15" s="69" t="inlineStr">
        <is>
          <t>Mediana dependencia</t>
        </is>
      </c>
    </row>
    <row r="16">
      <c r="A16" s="33" t="n">
        <v>1</v>
      </c>
      <c r="B16" s="36">
        <f>IF(matrizOK,'M1'!$C$9,"")</f>
        <v/>
      </c>
      <c r="C16" s="99">
        <f>IF(matrizOK,'M1'!$C$51,"")</f>
        <v/>
      </c>
      <c r="D16" s="99">
        <f>IF(matrizOK,'M1'!$D$51,"")</f>
        <v/>
      </c>
    </row>
    <row r="17">
      <c r="A17" s="33" t="n">
        <v>2</v>
      </c>
      <c r="B17" s="36">
        <f>IF(matrizOK,'M2'!$C$9,"")</f>
        <v/>
      </c>
      <c r="C17" s="99">
        <f>IF(matrizOK,'M2'!$C$51,"")</f>
        <v/>
      </c>
      <c r="D17" s="99">
        <f>IF(matrizOK,'M2'!$D$51,"")</f>
        <v/>
      </c>
    </row>
    <row r="18">
      <c r="A18" s="33" t="n">
        <v>3</v>
      </c>
      <c r="B18" s="36">
        <f>IF(matrizOK,'M3'!$C$9,"")</f>
        <v/>
      </c>
      <c r="C18" s="99">
        <f>IF(matrizOK,'M3'!$C$51,"")</f>
        <v/>
      </c>
      <c r="D18" s="99">
        <f>IF(matrizOK,'M3'!$D$51,"")</f>
        <v/>
      </c>
    </row>
    <row r="19">
      <c r="A19" s="33" t="n">
        <v>4</v>
      </c>
      <c r="B19" s="36">
        <f>IF(matrizOK,'M4'!$C$9,"")</f>
        <v/>
      </c>
      <c r="C19" s="99">
        <f>IF(matrizOK,'M4'!$C$51,"")</f>
        <v/>
      </c>
      <c r="D19" s="99">
        <f>IF(matrizOK,'M4'!$D$51,"")</f>
        <v/>
      </c>
    </row>
    <row r="20">
      <c r="A20" s="33" t="n">
        <v>5</v>
      </c>
      <c r="B20" s="36">
        <f>IF(matrizOK,'M5'!$C$9,"")</f>
        <v/>
      </c>
      <c r="C20" s="99">
        <f>IF(matrizOK,'M5'!$C$51,"")</f>
        <v/>
      </c>
      <c r="D20" s="99">
        <f>IF(matrizOK,'M5'!$D$51,"")</f>
        <v/>
      </c>
    </row>
    <row r="21">
      <c r="A21" s="33" t="n">
        <v>6</v>
      </c>
      <c r="B21" s="36">
        <f>IF(matrizOK,'M6'!$C$9,"")</f>
        <v/>
      </c>
      <c r="C21" s="99">
        <f>IF(matrizOK,'M6'!$C$51,"")</f>
        <v/>
      </c>
      <c r="D21" s="99">
        <f>IF(matrizOK,'M6'!$D$51,"")</f>
        <v/>
      </c>
    </row>
    <row r="24" ht="24" customHeight="1" s="62">
      <c r="A24" s="69" t="inlineStr">
        <is>
          <t>N.º</t>
        </is>
      </c>
      <c r="B24" s="69" t="inlineStr">
        <is>
          <t>Rango de influencia</t>
        </is>
      </c>
      <c r="C24" s="69" t="inlineStr">
        <is>
          <t>M1</t>
        </is>
      </c>
      <c r="D24" s="69" t="inlineStr">
        <is>
          <t>M2</t>
        </is>
      </c>
      <c r="E24" s="69" t="inlineStr">
        <is>
          <t>M3</t>
        </is>
      </c>
      <c r="F24" s="69" t="inlineStr">
        <is>
          <t>M4</t>
        </is>
      </c>
      <c r="G24" s="69" t="inlineStr">
        <is>
          <t>M5</t>
        </is>
      </c>
      <c r="H24" s="69" t="inlineStr">
        <is>
          <t>M6</t>
        </is>
      </c>
    </row>
    <row r="25" ht="21" customHeight="1" s="62">
      <c r="A25" s="6" t="n">
        <v>1</v>
      </c>
      <c r="B25" s="81">
        <f>IF($A25&lt;=nVariables,M!B10,"")</f>
        <v/>
      </c>
      <c r="C25" s="9">
        <f>IF(AND(matrizOK,$A25&lt;=nVariables,'M1'!$C$9&gt;0),'M1'!G10,"")</f>
        <v/>
      </c>
      <c r="D25" s="9">
        <f>IF(AND(matrizOK,$A25&lt;=nVariables,'M2'!$C$9&gt;0),'M2'!G10,"")</f>
        <v/>
      </c>
      <c r="E25" s="9">
        <f>IF(AND(matrizOK,$A25&lt;=nVariables,'M3'!$C$9&gt;0),'M3'!G10,"")</f>
        <v/>
      </c>
      <c r="F25" s="9">
        <f>IF(AND(matrizOK,$A25&lt;=nVariables,'M4'!$C$9&gt;0),'M4'!G10,"")</f>
        <v/>
      </c>
      <c r="G25" s="9">
        <f>IF(AND(matrizOK,$A25&lt;=nVariables,'M5'!$C$9&gt;0),'M5'!G10,"")</f>
        <v/>
      </c>
      <c r="H25" s="9">
        <f>IF(AND(matrizOK,$A25&lt;=nVariables,'M6'!$C$9&gt;0),'M6'!G10,"")</f>
        <v/>
      </c>
    </row>
    <row r="26" ht="21" customHeight="1" s="62">
      <c r="A26" s="6" t="n">
        <v>2</v>
      </c>
      <c r="B26" s="81">
        <f>IF($A26&lt;=nVariables,M!B11,"")</f>
        <v/>
      </c>
      <c r="C26" s="9">
        <f>IF(AND(matrizOK,$A26&lt;=nVariables,'M1'!$C$9&gt;0),'M1'!G11,"")</f>
        <v/>
      </c>
      <c r="D26" s="9">
        <f>IF(AND(matrizOK,$A26&lt;=nVariables,'M2'!$C$9&gt;0),'M2'!G11,"")</f>
        <v/>
      </c>
      <c r="E26" s="9">
        <f>IF(AND(matrizOK,$A26&lt;=nVariables,'M3'!$C$9&gt;0),'M3'!G11,"")</f>
        <v/>
      </c>
      <c r="F26" s="9">
        <f>IF(AND(matrizOK,$A26&lt;=nVariables,'M4'!$C$9&gt;0),'M4'!G11,"")</f>
        <v/>
      </c>
      <c r="G26" s="9">
        <f>IF(AND(matrizOK,$A26&lt;=nVariables,'M5'!$C$9&gt;0),'M5'!G11,"")</f>
        <v/>
      </c>
      <c r="H26" s="9">
        <f>IF(AND(matrizOK,$A26&lt;=nVariables,'M6'!$C$9&gt;0),'M6'!G11,"")</f>
        <v/>
      </c>
    </row>
    <row r="27" ht="21" customHeight="1" s="62">
      <c r="A27" s="6" t="n">
        <v>3</v>
      </c>
      <c r="B27" s="81">
        <f>IF($A27&lt;=nVariables,M!B12,"")</f>
        <v/>
      </c>
      <c r="C27" s="9">
        <f>IF(AND(matrizOK,$A27&lt;=nVariables,'M1'!$C$9&gt;0),'M1'!G12,"")</f>
        <v/>
      </c>
      <c r="D27" s="9">
        <f>IF(AND(matrizOK,$A27&lt;=nVariables,'M2'!$C$9&gt;0),'M2'!G12,"")</f>
        <v/>
      </c>
      <c r="E27" s="9">
        <f>IF(AND(matrizOK,$A27&lt;=nVariables,'M3'!$C$9&gt;0),'M3'!G12,"")</f>
        <v/>
      </c>
      <c r="F27" s="9">
        <f>IF(AND(matrizOK,$A27&lt;=nVariables,'M4'!$C$9&gt;0),'M4'!G12,"")</f>
        <v/>
      </c>
      <c r="G27" s="9">
        <f>IF(AND(matrizOK,$A27&lt;=nVariables,'M5'!$C$9&gt;0),'M5'!G12,"")</f>
        <v/>
      </c>
      <c r="H27" s="9">
        <f>IF(AND(matrizOK,$A27&lt;=nVariables,'M6'!$C$9&gt;0),'M6'!G12,"")</f>
        <v/>
      </c>
    </row>
    <row r="28" ht="21" customHeight="1" s="62">
      <c r="A28" s="6" t="n">
        <v>4</v>
      </c>
      <c r="B28" s="81">
        <f>IF($A28&lt;=nVariables,M!B13,"")</f>
        <v/>
      </c>
      <c r="C28" s="9">
        <f>IF(AND(matrizOK,$A28&lt;=nVariables,'M1'!$C$9&gt;0),'M1'!G13,"")</f>
        <v/>
      </c>
      <c r="D28" s="9">
        <f>IF(AND(matrizOK,$A28&lt;=nVariables,'M2'!$C$9&gt;0),'M2'!G13,"")</f>
        <v/>
      </c>
      <c r="E28" s="9">
        <f>IF(AND(matrizOK,$A28&lt;=nVariables,'M3'!$C$9&gt;0),'M3'!G13,"")</f>
        <v/>
      </c>
      <c r="F28" s="9">
        <f>IF(AND(matrizOK,$A28&lt;=nVariables,'M4'!$C$9&gt;0),'M4'!G13,"")</f>
        <v/>
      </c>
      <c r="G28" s="9">
        <f>IF(AND(matrizOK,$A28&lt;=nVariables,'M5'!$C$9&gt;0),'M5'!G13,"")</f>
        <v/>
      </c>
      <c r="H28" s="9">
        <f>IF(AND(matrizOK,$A28&lt;=nVariables,'M6'!$C$9&gt;0),'M6'!G13,"")</f>
        <v/>
      </c>
    </row>
    <row r="29" ht="21" customHeight="1" s="62">
      <c r="A29" s="6" t="n">
        <v>5</v>
      </c>
      <c r="B29" s="81">
        <f>IF($A29&lt;=nVariables,M!B14,"")</f>
        <v/>
      </c>
      <c r="C29" s="9">
        <f>IF(AND(matrizOK,$A29&lt;=nVariables,'M1'!$C$9&gt;0),'M1'!G14,"")</f>
        <v/>
      </c>
      <c r="D29" s="9">
        <f>IF(AND(matrizOK,$A29&lt;=nVariables,'M2'!$C$9&gt;0),'M2'!G14,"")</f>
        <v/>
      </c>
      <c r="E29" s="9">
        <f>IF(AND(matrizOK,$A29&lt;=nVariables,'M3'!$C$9&gt;0),'M3'!G14,"")</f>
        <v/>
      </c>
      <c r="F29" s="9">
        <f>IF(AND(matrizOK,$A29&lt;=nVariables,'M4'!$C$9&gt;0),'M4'!G14,"")</f>
        <v/>
      </c>
      <c r="G29" s="9">
        <f>IF(AND(matrizOK,$A29&lt;=nVariables,'M5'!$C$9&gt;0),'M5'!G14,"")</f>
        <v/>
      </c>
      <c r="H29" s="9">
        <f>IF(AND(matrizOK,$A29&lt;=nVariables,'M6'!$C$9&gt;0),'M6'!G14,"")</f>
        <v/>
      </c>
    </row>
    <row r="30" ht="21" customHeight="1" s="62">
      <c r="A30" s="6" t="n">
        <v>6</v>
      </c>
      <c r="B30" s="81">
        <f>IF($A30&lt;=nVariables,M!B15,"")</f>
        <v/>
      </c>
      <c r="C30" s="9">
        <f>IF(AND(matrizOK,$A30&lt;=nVariables,'M1'!$C$9&gt;0),'M1'!G15,"")</f>
        <v/>
      </c>
      <c r="D30" s="9">
        <f>IF(AND(matrizOK,$A30&lt;=nVariables,'M2'!$C$9&gt;0),'M2'!G15,"")</f>
        <v/>
      </c>
      <c r="E30" s="9">
        <f>IF(AND(matrizOK,$A30&lt;=nVariables,'M3'!$C$9&gt;0),'M3'!G15,"")</f>
        <v/>
      </c>
      <c r="F30" s="9">
        <f>IF(AND(matrizOK,$A30&lt;=nVariables,'M4'!$C$9&gt;0),'M4'!G15,"")</f>
        <v/>
      </c>
      <c r="G30" s="9">
        <f>IF(AND(matrizOK,$A30&lt;=nVariables,'M5'!$C$9&gt;0),'M5'!G15,"")</f>
        <v/>
      </c>
      <c r="H30" s="9">
        <f>IF(AND(matrizOK,$A30&lt;=nVariables,'M6'!$C$9&gt;0),'M6'!G15,"")</f>
        <v/>
      </c>
    </row>
    <row r="31" ht="21" customHeight="1" s="62">
      <c r="A31" s="6" t="n">
        <v>7</v>
      </c>
      <c r="B31" s="81">
        <f>IF($A31&lt;=nVariables,M!B16,"")</f>
        <v/>
      </c>
      <c r="C31" s="9">
        <f>IF(AND(matrizOK,$A31&lt;=nVariables,'M1'!$C$9&gt;0),'M1'!G16,"")</f>
        <v/>
      </c>
      <c r="D31" s="9">
        <f>IF(AND(matrizOK,$A31&lt;=nVariables,'M2'!$C$9&gt;0),'M2'!G16,"")</f>
        <v/>
      </c>
      <c r="E31" s="9">
        <f>IF(AND(matrizOK,$A31&lt;=nVariables,'M3'!$C$9&gt;0),'M3'!G16,"")</f>
        <v/>
      </c>
      <c r="F31" s="9">
        <f>IF(AND(matrizOK,$A31&lt;=nVariables,'M4'!$C$9&gt;0),'M4'!G16,"")</f>
        <v/>
      </c>
      <c r="G31" s="9">
        <f>IF(AND(matrizOK,$A31&lt;=nVariables,'M5'!$C$9&gt;0),'M5'!G16,"")</f>
        <v/>
      </c>
      <c r="H31" s="9">
        <f>IF(AND(matrizOK,$A31&lt;=nVariables,'M6'!$C$9&gt;0),'M6'!G16,"")</f>
        <v/>
      </c>
    </row>
    <row r="32" ht="21" customHeight="1" s="62">
      <c r="A32" s="6" t="n">
        <v>8</v>
      </c>
      <c r="B32" s="81">
        <f>IF($A32&lt;=nVariables,M!B17,"")</f>
        <v/>
      </c>
      <c r="C32" s="9">
        <f>IF(AND(matrizOK,$A32&lt;=nVariables,'M1'!$C$9&gt;0),'M1'!G17,"")</f>
        <v/>
      </c>
      <c r="D32" s="9">
        <f>IF(AND(matrizOK,$A32&lt;=nVariables,'M2'!$C$9&gt;0),'M2'!G17,"")</f>
        <v/>
      </c>
      <c r="E32" s="9">
        <f>IF(AND(matrizOK,$A32&lt;=nVariables,'M3'!$C$9&gt;0),'M3'!G17,"")</f>
        <v/>
      </c>
      <c r="F32" s="9">
        <f>IF(AND(matrizOK,$A32&lt;=nVariables,'M4'!$C$9&gt;0),'M4'!G17,"")</f>
        <v/>
      </c>
      <c r="G32" s="9">
        <f>IF(AND(matrizOK,$A32&lt;=nVariables,'M5'!$C$9&gt;0),'M5'!G17,"")</f>
        <v/>
      </c>
      <c r="H32" s="9">
        <f>IF(AND(matrizOK,$A32&lt;=nVariables,'M6'!$C$9&gt;0),'M6'!G17,"")</f>
        <v/>
      </c>
    </row>
    <row r="33" ht="21" customHeight="1" s="62">
      <c r="A33" s="6" t="n">
        <v>9</v>
      </c>
      <c r="B33" s="81">
        <f>IF($A33&lt;=nVariables,M!B18,"")</f>
        <v/>
      </c>
      <c r="C33" s="9">
        <f>IF(AND(matrizOK,$A33&lt;=nVariables,'M1'!$C$9&gt;0),'M1'!G18,"")</f>
        <v/>
      </c>
      <c r="D33" s="9">
        <f>IF(AND(matrizOK,$A33&lt;=nVariables,'M2'!$C$9&gt;0),'M2'!G18,"")</f>
        <v/>
      </c>
      <c r="E33" s="9">
        <f>IF(AND(matrizOK,$A33&lt;=nVariables,'M3'!$C$9&gt;0),'M3'!G18,"")</f>
        <v/>
      </c>
      <c r="F33" s="9">
        <f>IF(AND(matrizOK,$A33&lt;=nVariables,'M4'!$C$9&gt;0),'M4'!G18,"")</f>
        <v/>
      </c>
      <c r="G33" s="9">
        <f>IF(AND(matrizOK,$A33&lt;=nVariables,'M5'!$C$9&gt;0),'M5'!G18,"")</f>
        <v/>
      </c>
      <c r="H33" s="9">
        <f>IF(AND(matrizOK,$A33&lt;=nVariables,'M6'!$C$9&gt;0),'M6'!G18,"")</f>
        <v/>
      </c>
    </row>
    <row r="34" ht="21" customHeight="1" s="62">
      <c r="A34" s="6" t="n">
        <v>10</v>
      </c>
      <c r="B34" s="81">
        <f>IF($A34&lt;=nVariables,M!B19,"")</f>
        <v/>
      </c>
      <c r="C34" s="9">
        <f>IF(AND(matrizOK,$A34&lt;=nVariables,'M1'!$C$9&gt;0),'M1'!G19,"")</f>
        <v/>
      </c>
      <c r="D34" s="9">
        <f>IF(AND(matrizOK,$A34&lt;=nVariables,'M2'!$C$9&gt;0),'M2'!G19,"")</f>
        <v/>
      </c>
      <c r="E34" s="9">
        <f>IF(AND(matrizOK,$A34&lt;=nVariables,'M3'!$C$9&gt;0),'M3'!G19,"")</f>
        <v/>
      </c>
      <c r="F34" s="9">
        <f>IF(AND(matrizOK,$A34&lt;=nVariables,'M4'!$C$9&gt;0),'M4'!G19,"")</f>
        <v/>
      </c>
      <c r="G34" s="9">
        <f>IF(AND(matrizOK,$A34&lt;=nVariables,'M5'!$C$9&gt;0),'M5'!G19,"")</f>
        <v/>
      </c>
      <c r="H34" s="9">
        <f>IF(AND(matrizOK,$A34&lt;=nVariables,'M6'!$C$9&gt;0),'M6'!G19,"")</f>
        <v/>
      </c>
    </row>
    <row r="35" ht="21" customHeight="1" s="62">
      <c r="A35" s="6" t="n">
        <v>11</v>
      </c>
      <c r="B35" s="81">
        <f>IF($A35&lt;=nVariables,M!B20,"")</f>
        <v/>
      </c>
      <c r="C35" s="9">
        <f>IF(AND(matrizOK,$A35&lt;=nVariables,'M1'!$C$9&gt;0),'M1'!G20,"")</f>
        <v/>
      </c>
      <c r="D35" s="9">
        <f>IF(AND(matrizOK,$A35&lt;=nVariables,'M2'!$C$9&gt;0),'M2'!G20,"")</f>
        <v/>
      </c>
      <c r="E35" s="9">
        <f>IF(AND(matrizOK,$A35&lt;=nVariables,'M3'!$C$9&gt;0),'M3'!G20,"")</f>
        <v/>
      </c>
      <c r="F35" s="9">
        <f>IF(AND(matrizOK,$A35&lt;=nVariables,'M4'!$C$9&gt;0),'M4'!G20,"")</f>
        <v/>
      </c>
      <c r="G35" s="9">
        <f>IF(AND(matrizOK,$A35&lt;=nVariables,'M5'!$C$9&gt;0),'M5'!G20,"")</f>
        <v/>
      </c>
      <c r="H35" s="9">
        <f>IF(AND(matrizOK,$A35&lt;=nVariables,'M6'!$C$9&gt;0),'M6'!G20,"")</f>
        <v/>
      </c>
    </row>
    <row r="36" ht="21" customHeight="1" s="62">
      <c r="A36" s="6" t="n">
        <v>12</v>
      </c>
      <c r="B36" s="81">
        <f>IF($A36&lt;=nVariables,M!B21,"")</f>
        <v/>
      </c>
      <c r="C36" s="9">
        <f>IF(AND(matrizOK,$A36&lt;=nVariables,'M1'!$C$9&gt;0),'M1'!G21,"")</f>
        <v/>
      </c>
      <c r="D36" s="9">
        <f>IF(AND(matrizOK,$A36&lt;=nVariables,'M2'!$C$9&gt;0),'M2'!G21,"")</f>
        <v/>
      </c>
      <c r="E36" s="9">
        <f>IF(AND(matrizOK,$A36&lt;=nVariables,'M3'!$C$9&gt;0),'M3'!G21,"")</f>
        <v/>
      </c>
      <c r="F36" s="9">
        <f>IF(AND(matrizOK,$A36&lt;=nVariables,'M4'!$C$9&gt;0),'M4'!G21,"")</f>
        <v/>
      </c>
      <c r="G36" s="9">
        <f>IF(AND(matrizOK,$A36&lt;=nVariables,'M5'!$C$9&gt;0),'M5'!G21,"")</f>
        <v/>
      </c>
      <c r="H36" s="9">
        <f>IF(AND(matrizOK,$A36&lt;=nVariables,'M6'!$C$9&gt;0),'M6'!G21,"")</f>
        <v/>
      </c>
    </row>
    <row r="37" ht="21" customHeight="1" s="62">
      <c r="A37" s="6" t="n">
        <v>13</v>
      </c>
      <c r="B37" s="81">
        <f>IF($A37&lt;=nVariables,M!B22,"")</f>
        <v/>
      </c>
      <c r="C37" s="9">
        <f>IF(AND(matrizOK,$A37&lt;=nVariables,'M1'!$C$9&gt;0),'M1'!G22,"")</f>
        <v/>
      </c>
      <c r="D37" s="9">
        <f>IF(AND(matrizOK,$A37&lt;=nVariables,'M2'!$C$9&gt;0),'M2'!G22,"")</f>
        <v/>
      </c>
      <c r="E37" s="9">
        <f>IF(AND(matrizOK,$A37&lt;=nVariables,'M3'!$C$9&gt;0),'M3'!G22,"")</f>
        <v/>
      </c>
      <c r="F37" s="9">
        <f>IF(AND(matrizOK,$A37&lt;=nVariables,'M4'!$C$9&gt;0),'M4'!G22,"")</f>
        <v/>
      </c>
      <c r="G37" s="9">
        <f>IF(AND(matrizOK,$A37&lt;=nVariables,'M5'!$C$9&gt;0),'M5'!G22,"")</f>
        <v/>
      </c>
      <c r="H37" s="9">
        <f>IF(AND(matrizOK,$A37&lt;=nVariables,'M6'!$C$9&gt;0),'M6'!G22,"")</f>
        <v/>
      </c>
    </row>
    <row r="38" ht="21" customHeight="1" s="62">
      <c r="A38" s="6" t="n">
        <v>14</v>
      </c>
      <c r="B38" s="81">
        <f>IF($A38&lt;=nVariables,M!B23,"")</f>
        <v/>
      </c>
      <c r="C38" s="9">
        <f>IF(AND(matrizOK,$A38&lt;=nVariables,'M1'!$C$9&gt;0),'M1'!G23,"")</f>
        <v/>
      </c>
      <c r="D38" s="9">
        <f>IF(AND(matrizOK,$A38&lt;=nVariables,'M2'!$C$9&gt;0),'M2'!G23,"")</f>
        <v/>
      </c>
      <c r="E38" s="9">
        <f>IF(AND(matrizOK,$A38&lt;=nVariables,'M3'!$C$9&gt;0),'M3'!G23,"")</f>
        <v/>
      </c>
      <c r="F38" s="9">
        <f>IF(AND(matrizOK,$A38&lt;=nVariables,'M4'!$C$9&gt;0),'M4'!G23,"")</f>
        <v/>
      </c>
      <c r="G38" s="9">
        <f>IF(AND(matrizOK,$A38&lt;=nVariables,'M5'!$C$9&gt;0),'M5'!G23,"")</f>
        <v/>
      </c>
      <c r="H38" s="9">
        <f>IF(AND(matrizOK,$A38&lt;=nVariables,'M6'!$C$9&gt;0),'M6'!G23,"")</f>
        <v/>
      </c>
    </row>
    <row r="39" ht="21" customHeight="1" s="62">
      <c r="A39" s="6" t="n">
        <v>15</v>
      </c>
      <c r="B39" s="81">
        <f>IF($A39&lt;=nVariables,M!B24,"")</f>
        <v/>
      </c>
      <c r="C39" s="9">
        <f>IF(AND(matrizOK,$A39&lt;=nVariables,'M1'!$C$9&gt;0),'M1'!G24,"")</f>
        <v/>
      </c>
      <c r="D39" s="9">
        <f>IF(AND(matrizOK,$A39&lt;=nVariables,'M2'!$C$9&gt;0),'M2'!G24,"")</f>
        <v/>
      </c>
      <c r="E39" s="9">
        <f>IF(AND(matrizOK,$A39&lt;=nVariables,'M3'!$C$9&gt;0),'M3'!G24,"")</f>
        <v/>
      </c>
      <c r="F39" s="9">
        <f>IF(AND(matrizOK,$A39&lt;=nVariables,'M4'!$C$9&gt;0),'M4'!G24,"")</f>
        <v/>
      </c>
      <c r="G39" s="9">
        <f>IF(AND(matrizOK,$A39&lt;=nVariables,'M5'!$C$9&gt;0),'M5'!G24,"")</f>
        <v/>
      </c>
      <c r="H39" s="9">
        <f>IF(AND(matrizOK,$A39&lt;=nVariables,'M6'!$C$9&gt;0),'M6'!G24,"")</f>
        <v/>
      </c>
    </row>
    <row r="40" ht="21" customHeight="1" s="62">
      <c r="A40" s="6" t="n">
        <v>16</v>
      </c>
      <c r="B40" s="81">
        <f>IF($A40&lt;=nVariables,M!B25,"")</f>
        <v/>
      </c>
      <c r="C40" s="9">
        <f>IF(AND(matrizOK,$A40&lt;=nVariables,'M1'!$C$9&gt;0),'M1'!G25,"")</f>
        <v/>
      </c>
      <c r="D40" s="9">
        <f>IF(AND(matrizOK,$A40&lt;=nVariables,'M2'!$C$9&gt;0),'M2'!G25,"")</f>
        <v/>
      </c>
      <c r="E40" s="9">
        <f>IF(AND(matrizOK,$A40&lt;=nVariables,'M3'!$C$9&gt;0),'M3'!G25,"")</f>
        <v/>
      </c>
      <c r="F40" s="9">
        <f>IF(AND(matrizOK,$A40&lt;=nVariables,'M4'!$C$9&gt;0),'M4'!G25,"")</f>
        <v/>
      </c>
      <c r="G40" s="9">
        <f>IF(AND(matrizOK,$A40&lt;=nVariables,'M5'!$C$9&gt;0),'M5'!G25,"")</f>
        <v/>
      </c>
      <c r="H40" s="9">
        <f>IF(AND(matrizOK,$A40&lt;=nVariables,'M6'!$C$9&gt;0),'M6'!G25,"")</f>
        <v/>
      </c>
    </row>
    <row r="41" ht="21" customHeight="1" s="62">
      <c r="A41" s="6" t="n">
        <v>17</v>
      </c>
      <c r="B41" s="81">
        <f>IF($A41&lt;=nVariables,M!B26,"")</f>
        <v/>
      </c>
      <c r="C41" s="9">
        <f>IF(AND(matrizOK,$A41&lt;=nVariables,'M1'!$C$9&gt;0),'M1'!G26,"")</f>
        <v/>
      </c>
      <c r="D41" s="9">
        <f>IF(AND(matrizOK,$A41&lt;=nVariables,'M2'!$C$9&gt;0),'M2'!G26,"")</f>
        <v/>
      </c>
      <c r="E41" s="9">
        <f>IF(AND(matrizOK,$A41&lt;=nVariables,'M3'!$C$9&gt;0),'M3'!G26,"")</f>
        <v/>
      </c>
      <c r="F41" s="9">
        <f>IF(AND(matrizOK,$A41&lt;=nVariables,'M4'!$C$9&gt;0),'M4'!G26,"")</f>
        <v/>
      </c>
      <c r="G41" s="9">
        <f>IF(AND(matrizOK,$A41&lt;=nVariables,'M5'!$C$9&gt;0),'M5'!G26,"")</f>
        <v/>
      </c>
      <c r="H41" s="9">
        <f>IF(AND(matrizOK,$A41&lt;=nVariables,'M6'!$C$9&gt;0),'M6'!G26,"")</f>
        <v/>
      </c>
    </row>
    <row r="42" ht="21" customHeight="1" s="62">
      <c r="A42" s="6" t="n">
        <v>18</v>
      </c>
      <c r="B42" s="81">
        <f>IF($A42&lt;=nVariables,M!B27,"")</f>
        <v/>
      </c>
      <c r="C42" s="9">
        <f>IF(AND(matrizOK,$A42&lt;=nVariables,'M1'!$C$9&gt;0),'M1'!G27,"")</f>
        <v/>
      </c>
      <c r="D42" s="9">
        <f>IF(AND(matrizOK,$A42&lt;=nVariables,'M2'!$C$9&gt;0),'M2'!G27,"")</f>
        <v/>
      </c>
      <c r="E42" s="9">
        <f>IF(AND(matrizOK,$A42&lt;=nVariables,'M3'!$C$9&gt;0),'M3'!G27,"")</f>
        <v/>
      </c>
      <c r="F42" s="9">
        <f>IF(AND(matrizOK,$A42&lt;=nVariables,'M4'!$C$9&gt;0),'M4'!G27,"")</f>
        <v/>
      </c>
      <c r="G42" s="9">
        <f>IF(AND(matrizOK,$A42&lt;=nVariables,'M5'!$C$9&gt;0),'M5'!G27,"")</f>
        <v/>
      </c>
      <c r="H42" s="9">
        <f>IF(AND(matrizOK,$A42&lt;=nVariables,'M6'!$C$9&gt;0),'M6'!G27,"")</f>
        <v/>
      </c>
    </row>
    <row r="43" ht="21" customHeight="1" s="62">
      <c r="A43" s="6" t="n">
        <v>19</v>
      </c>
      <c r="B43" s="81">
        <f>IF($A43&lt;=nVariables,M!B28,"")</f>
        <v/>
      </c>
      <c r="C43" s="9">
        <f>IF(AND(matrizOK,$A43&lt;=nVariables,'M1'!$C$9&gt;0),'M1'!G28,"")</f>
        <v/>
      </c>
      <c r="D43" s="9">
        <f>IF(AND(matrizOK,$A43&lt;=nVariables,'M2'!$C$9&gt;0),'M2'!G28,"")</f>
        <v/>
      </c>
      <c r="E43" s="9">
        <f>IF(AND(matrizOK,$A43&lt;=nVariables,'M3'!$C$9&gt;0),'M3'!G28,"")</f>
        <v/>
      </c>
      <c r="F43" s="9">
        <f>IF(AND(matrizOK,$A43&lt;=nVariables,'M4'!$C$9&gt;0),'M4'!G28,"")</f>
        <v/>
      </c>
      <c r="G43" s="9">
        <f>IF(AND(matrizOK,$A43&lt;=nVariables,'M5'!$C$9&gt;0),'M5'!G28,"")</f>
        <v/>
      </c>
      <c r="H43" s="9">
        <f>IF(AND(matrizOK,$A43&lt;=nVariables,'M6'!$C$9&gt;0),'M6'!G28,"")</f>
        <v/>
      </c>
    </row>
    <row r="44" ht="21" customHeight="1" s="62">
      <c r="A44" s="6" t="n">
        <v>20</v>
      </c>
      <c r="B44" s="81">
        <f>IF($A44&lt;=nVariables,M!B29,"")</f>
        <v/>
      </c>
      <c r="C44" s="9">
        <f>IF(AND(matrizOK,$A44&lt;=nVariables,'M1'!$C$9&gt;0),'M1'!G29,"")</f>
        <v/>
      </c>
      <c r="D44" s="9">
        <f>IF(AND(matrizOK,$A44&lt;=nVariables,'M2'!$C$9&gt;0),'M2'!G29,"")</f>
        <v/>
      </c>
      <c r="E44" s="9">
        <f>IF(AND(matrizOK,$A44&lt;=nVariables,'M3'!$C$9&gt;0),'M3'!G29,"")</f>
        <v/>
      </c>
      <c r="F44" s="9">
        <f>IF(AND(matrizOK,$A44&lt;=nVariables,'M4'!$C$9&gt;0),'M4'!G29,"")</f>
        <v/>
      </c>
      <c r="G44" s="9">
        <f>IF(AND(matrizOK,$A44&lt;=nVariables,'M5'!$C$9&gt;0),'M5'!G29,"")</f>
        <v/>
      </c>
      <c r="H44" s="9">
        <f>IF(AND(matrizOK,$A44&lt;=nVariables,'M6'!$C$9&gt;0),'M6'!G29,"")</f>
        <v/>
      </c>
    </row>
    <row r="45" ht="21" customHeight="1" s="62">
      <c r="A45" s="6" t="n">
        <v>21</v>
      </c>
      <c r="B45" s="81">
        <f>IF($A45&lt;=nVariables,M!B30,"")</f>
        <v/>
      </c>
      <c r="C45" s="9">
        <f>IF(AND(matrizOK,$A45&lt;=nVariables,'M1'!$C$9&gt;0),'M1'!G30,"")</f>
        <v/>
      </c>
      <c r="D45" s="9">
        <f>IF(AND(matrizOK,$A45&lt;=nVariables,'M2'!$C$9&gt;0),'M2'!G30,"")</f>
        <v/>
      </c>
      <c r="E45" s="9">
        <f>IF(AND(matrizOK,$A45&lt;=nVariables,'M3'!$C$9&gt;0),'M3'!G30,"")</f>
        <v/>
      </c>
      <c r="F45" s="9">
        <f>IF(AND(matrizOK,$A45&lt;=nVariables,'M4'!$C$9&gt;0),'M4'!G30,"")</f>
        <v/>
      </c>
      <c r="G45" s="9">
        <f>IF(AND(matrizOK,$A45&lt;=nVariables,'M5'!$C$9&gt;0),'M5'!G30,"")</f>
        <v/>
      </c>
      <c r="H45" s="9">
        <f>IF(AND(matrizOK,$A45&lt;=nVariables,'M6'!$C$9&gt;0),'M6'!G30,"")</f>
        <v/>
      </c>
    </row>
    <row r="46" ht="21" customHeight="1" s="62">
      <c r="A46" s="6" t="n">
        <v>22</v>
      </c>
      <c r="B46" s="81">
        <f>IF($A46&lt;=nVariables,M!B31,"")</f>
        <v/>
      </c>
      <c r="C46" s="9">
        <f>IF(AND(matrizOK,$A46&lt;=nVariables,'M1'!$C$9&gt;0),'M1'!G31,"")</f>
        <v/>
      </c>
      <c r="D46" s="9">
        <f>IF(AND(matrizOK,$A46&lt;=nVariables,'M2'!$C$9&gt;0),'M2'!G31,"")</f>
        <v/>
      </c>
      <c r="E46" s="9">
        <f>IF(AND(matrizOK,$A46&lt;=nVariables,'M3'!$C$9&gt;0),'M3'!G31,"")</f>
        <v/>
      </c>
      <c r="F46" s="9">
        <f>IF(AND(matrizOK,$A46&lt;=nVariables,'M4'!$C$9&gt;0),'M4'!G31,"")</f>
        <v/>
      </c>
      <c r="G46" s="9">
        <f>IF(AND(matrizOK,$A46&lt;=nVariables,'M5'!$C$9&gt;0),'M5'!G31,"")</f>
        <v/>
      </c>
      <c r="H46" s="9">
        <f>IF(AND(matrizOK,$A46&lt;=nVariables,'M6'!$C$9&gt;0),'M6'!G31,"")</f>
        <v/>
      </c>
    </row>
    <row r="47" ht="21" customHeight="1" s="62">
      <c r="A47" s="6" t="n">
        <v>23</v>
      </c>
      <c r="B47" s="81">
        <f>IF($A47&lt;=nVariables,M!B32,"")</f>
        <v/>
      </c>
      <c r="C47" s="9">
        <f>IF(AND(matrizOK,$A47&lt;=nVariables,'M1'!$C$9&gt;0),'M1'!G32,"")</f>
        <v/>
      </c>
      <c r="D47" s="9">
        <f>IF(AND(matrizOK,$A47&lt;=nVariables,'M2'!$C$9&gt;0),'M2'!G32,"")</f>
        <v/>
      </c>
      <c r="E47" s="9">
        <f>IF(AND(matrizOK,$A47&lt;=nVariables,'M3'!$C$9&gt;0),'M3'!G32,"")</f>
        <v/>
      </c>
      <c r="F47" s="9">
        <f>IF(AND(matrizOK,$A47&lt;=nVariables,'M4'!$C$9&gt;0),'M4'!G32,"")</f>
        <v/>
      </c>
      <c r="G47" s="9">
        <f>IF(AND(matrizOK,$A47&lt;=nVariables,'M5'!$C$9&gt;0),'M5'!G32,"")</f>
        <v/>
      </c>
      <c r="H47" s="9">
        <f>IF(AND(matrizOK,$A47&lt;=nVariables,'M6'!$C$9&gt;0),'M6'!G32,"")</f>
        <v/>
      </c>
    </row>
    <row r="48" ht="21" customHeight="1" s="62">
      <c r="A48" s="6" t="n">
        <v>24</v>
      </c>
      <c r="B48" s="81">
        <f>IF($A48&lt;=nVariables,M!B33,"")</f>
        <v/>
      </c>
      <c r="C48" s="9">
        <f>IF(AND(matrizOK,$A48&lt;=nVariables,'M1'!$C$9&gt;0),'M1'!G33,"")</f>
        <v/>
      </c>
      <c r="D48" s="9">
        <f>IF(AND(matrizOK,$A48&lt;=nVariables,'M2'!$C$9&gt;0),'M2'!G33,"")</f>
        <v/>
      </c>
      <c r="E48" s="9">
        <f>IF(AND(matrizOK,$A48&lt;=nVariables,'M3'!$C$9&gt;0),'M3'!G33,"")</f>
        <v/>
      </c>
      <c r="F48" s="9">
        <f>IF(AND(matrizOK,$A48&lt;=nVariables,'M4'!$C$9&gt;0),'M4'!G33,"")</f>
        <v/>
      </c>
      <c r="G48" s="9">
        <f>IF(AND(matrizOK,$A48&lt;=nVariables,'M5'!$C$9&gt;0),'M5'!G33,"")</f>
        <v/>
      </c>
      <c r="H48" s="9">
        <f>IF(AND(matrizOK,$A48&lt;=nVariables,'M6'!$C$9&gt;0),'M6'!G33,"")</f>
        <v/>
      </c>
    </row>
    <row r="49" ht="21" customHeight="1" s="62">
      <c r="A49" s="6" t="n">
        <v>25</v>
      </c>
      <c r="B49" s="81">
        <f>IF($A49&lt;=nVariables,M!B34,"")</f>
        <v/>
      </c>
      <c r="C49" s="9">
        <f>IF(AND(matrizOK,$A49&lt;=nVariables,'M1'!$C$9&gt;0),'M1'!G34,"")</f>
        <v/>
      </c>
      <c r="D49" s="9">
        <f>IF(AND(matrizOK,$A49&lt;=nVariables,'M2'!$C$9&gt;0),'M2'!G34,"")</f>
        <v/>
      </c>
      <c r="E49" s="9">
        <f>IF(AND(matrizOK,$A49&lt;=nVariables,'M3'!$C$9&gt;0),'M3'!G34,"")</f>
        <v/>
      </c>
      <c r="F49" s="9">
        <f>IF(AND(matrizOK,$A49&lt;=nVariables,'M4'!$C$9&gt;0),'M4'!G34,"")</f>
        <v/>
      </c>
      <c r="G49" s="9">
        <f>IF(AND(matrizOK,$A49&lt;=nVariables,'M5'!$C$9&gt;0),'M5'!G34,"")</f>
        <v/>
      </c>
      <c r="H49" s="9">
        <f>IF(AND(matrizOK,$A49&lt;=nVariables,'M6'!$C$9&gt;0),'M6'!G34,"")</f>
        <v/>
      </c>
    </row>
    <row r="50" ht="21" customHeight="1" s="62">
      <c r="A50" s="6" t="n">
        <v>26</v>
      </c>
      <c r="B50" s="81">
        <f>IF($A50&lt;=nVariables,M!B35,"")</f>
        <v/>
      </c>
      <c r="C50" s="9">
        <f>IF(AND(matrizOK,$A50&lt;=nVariables,'M1'!$C$9&gt;0),'M1'!G35,"")</f>
        <v/>
      </c>
      <c r="D50" s="9">
        <f>IF(AND(matrizOK,$A50&lt;=nVariables,'M2'!$C$9&gt;0),'M2'!G35,"")</f>
        <v/>
      </c>
      <c r="E50" s="9">
        <f>IF(AND(matrizOK,$A50&lt;=nVariables,'M3'!$C$9&gt;0),'M3'!G35,"")</f>
        <v/>
      </c>
      <c r="F50" s="9">
        <f>IF(AND(matrizOK,$A50&lt;=nVariables,'M4'!$C$9&gt;0),'M4'!G35,"")</f>
        <v/>
      </c>
      <c r="G50" s="9">
        <f>IF(AND(matrizOK,$A50&lt;=nVariables,'M5'!$C$9&gt;0),'M5'!G35,"")</f>
        <v/>
      </c>
      <c r="H50" s="9">
        <f>IF(AND(matrizOK,$A50&lt;=nVariables,'M6'!$C$9&gt;0),'M6'!G35,"")</f>
        <v/>
      </c>
    </row>
    <row r="51" ht="21" customHeight="1" s="62">
      <c r="A51" s="6" t="n">
        <v>27</v>
      </c>
      <c r="B51" s="81">
        <f>IF($A51&lt;=nVariables,M!B36,"")</f>
        <v/>
      </c>
      <c r="C51" s="9">
        <f>IF(AND(matrizOK,$A51&lt;=nVariables,'M1'!$C$9&gt;0),'M1'!G36,"")</f>
        <v/>
      </c>
      <c r="D51" s="9">
        <f>IF(AND(matrizOK,$A51&lt;=nVariables,'M2'!$C$9&gt;0),'M2'!G36,"")</f>
        <v/>
      </c>
      <c r="E51" s="9">
        <f>IF(AND(matrizOK,$A51&lt;=nVariables,'M3'!$C$9&gt;0),'M3'!G36,"")</f>
        <v/>
      </c>
      <c r="F51" s="9">
        <f>IF(AND(matrizOK,$A51&lt;=nVariables,'M4'!$C$9&gt;0),'M4'!G36,"")</f>
        <v/>
      </c>
      <c r="G51" s="9">
        <f>IF(AND(matrizOK,$A51&lt;=nVariables,'M5'!$C$9&gt;0),'M5'!G36,"")</f>
        <v/>
      </c>
      <c r="H51" s="9">
        <f>IF(AND(matrizOK,$A51&lt;=nVariables,'M6'!$C$9&gt;0),'M6'!G36,"")</f>
        <v/>
      </c>
    </row>
    <row r="52" ht="21" customHeight="1" s="62">
      <c r="A52" s="6" t="n">
        <v>28</v>
      </c>
      <c r="B52" s="81">
        <f>IF($A52&lt;=nVariables,M!B37,"")</f>
        <v/>
      </c>
      <c r="C52" s="9">
        <f>IF(AND(matrizOK,$A52&lt;=nVariables,'M1'!$C$9&gt;0),'M1'!G37,"")</f>
        <v/>
      </c>
      <c r="D52" s="9">
        <f>IF(AND(matrizOK,$A52&lt;=nVariables,'M2'!$C$9&gt;0),'M2'!G37,"")</f>
        <v/>
      </c>
      <c r="E52" s="9">
        <f>IF(AND(matrizOK,$A52&lt;=nVariables,'M3'!$C$9&gt;0),'M3'!G37,"")</f>
        <v/>
      </c>
      <c r="F52" s="9">
        <f>IF(AND(matrizOK,$A52&lt;=nVariables,'M4'!$C$9&gt;0),'M4'!G37,"")</f>
        <v/>
      </c>
      <c r="G52" s="9">
        <f>IF(AND(matrizOK,$A52&lt;=nVariables,'M5'!$C$9&gt;0),'M5'!G37,"")</f>
        <v/>
      </c>
      <c r="H52" s="9">
        <f>IF(AND(matrizOK,$A52&lt;=nVariables,'M6'!$C$9&gt;0),'M6'!G37,"")</f>
        <v/>
      </c>
    </row>
    <row r="53" ht="21" customHeight="1" s="62">
      <c r="A53" s="6" t="n">
        <v>29</v>
      </c>
      <c r="B53" s="81">
        <f>IF($A53&lt;=nVariables,M!B38,"")</f>
        <v/>
      </c>
      <c r="C53" s="9">
        <f>IF(AND(matrizOK,$A53&lt;=nVariables,'M1'!$C$9&gt;0),'M1'!G38,"")</f>
        <v/>
      </c>
      <c r="D53" s="9">
        <f>IF(AND(matrizOK,$A53&lt;=nVariables,'M2'!$C$9&gt;0),'M2'!G38,"")</f>
        <v/>
      </c>
      <c r="E53" s="9">
        <f>IF(AND(matrizOK,$A53&lt;=nVariables,'M3'!$C$9&gt;0),'M3'!G38,"")</f>
        <v/>
      </c>
      <c r="F53" s="9">
        <f>IF(AND(matrizOK,$A53&lt;=nVariables,'M4'!$C$9&gt;0),'M4'!G38,"")</f>
        <v/>
      </c>
      <c r="G53" s="9">
        <f>IF(AND(matrizOK,$A53&lt;=nVariables,'M5'!$C$9&gt;0),'M5'!G38,"")</f>
        <v/>
      </c>
      <c r="H53" s="9">
        <f>IF(AND(matrizOK,$A53&lt;=nVariables,'M6'!$C$9&gt;0),'M6'!G38,"")</f>
        <v/>
      </c>
    </row>
    <row r="54" ht="21" customHeight="1" s="62">
      <c r="A54" s="6" t="n">
        <v>30</v>
      </c>
      <c r="B54" s="81">
        <f>IF($A54&lt;=nVariables,M!B39,"")</f>
        <v/>
      </c>
      <c r="C54" s="9">
        <f>IF(AND(matrizOK,$A54&lt;=nVariables,'M1'!$C$9&gt;0),'M1'!G39,"")</f>
        <v/>
      </c>
      <c r="D54" s="9">
        <f>IF(AND(matrizOK,$A54&lt;=nVariables,'M2'!$C$9&gt;0),'M2'!G39,"")</f>
        <v/>
      </c>
      <c r="E54" s="9">
        <f>IF(AND(matrizOK,$A54&lt;=nVariables,'M3'!$C$9&gt;0),'M3'!G39,"")</f>
        <v/>
      </c>
      <c r="F54" s="9">
        <f>IF(AND(matrizOK,$A54&lt;=nVariables,'M4'!$C$9&gt;0),'M4'!G39,"")</f>
        <v/>
      </c>
      <c r="G54" s="9">
        <f>IF(AND(matrizOK,$A54&lt;=nVariables,'M5'!$C$9&gt;0),'M5'!G39,"")</f>
        <v/>
      </c>
      <c r="H54" s="9">
        <f>IF(AND(matrizOK,$A54&lt;=nVariables,'M6'!$C$9&gt;0),'M6'!G39,"")</f>
        <v/>
      </c>
    </row>
    <row r="55" ht="21" customHeight="1" s="62">
      <c r="A55" s="6" t="n">
        <v>31</v>
      </c>
      <c r="B55" s="81">
        <f>IF($A55&lt;=nVariables,M!B40,"")</f>
        <v/>
      </c>
      <c r="C55" s="9">
        <f>IF(AND(matrizOK,$A55&lt;=nVariables,'M1'!$C$9&gt;0),'M1'!G40,"")</f>
        <v/>
      </c>
      <c r="D55" s="9">
        <f>IF(AND(matrizOK,$A55&lt;=nVariables,'M2'!$C$9&gt;0),'M2'!G40,"")</f>
        <v/>
      </c>
      <c r="E55" s="9">
        <f>IF(AND(matrizOK,$A55&lt;=nVariables,'M3'!$C$9&gt;0),'M3'!G40,"")</f>
        <v/>
      </c>
      <c r="F55" s="9">
        <f>IF(AND(matrizOK,$A55&lt;=nVariables,'M4'!$C$9&gt;0),'M4'!G40,"")</f>
        <v/>
      </c>
      <c r="G55" s="9">
        <f>IF(AND(matrizOK,$A55&lt;=nVariables,'M5'!$C$9&gt;0),'M5'!G40,"")</f>
        <v/>
      </c>
      <c r="H55" s="9">
        <f>IF(AND(matrizOK,$A55&lt;=nVariables,'M6'!$C$9&gt;0),'M6'!G40,"")</f>
        <v/>
      </c>
    </row>
    <row r="56" ht="21" customHeight="1" s="62">
      <c r="A56" s="6" t="n">
        <v>32</v>
      </c>
      <c r="B56" s="81">
        <f>IF($A56&lt;=nVariables,M!B41,"")</f>
        <v/>
      </c>
      <c r="C56" s="9">
        <f>IF(AND(matrizOK,$A56&lt;=nVariables,'M1'!$C$9&gt;0),'M1'!G41,"")</f>
        <v/>
      </c>
      <c r="D56" s="9">
        <f>IF(AND(matrizOK,$A56&lt;=nVariables,'M2'!$C$9&gt;0),'M2'!G41,"")</f>
        <v/>
      </c>
      <c r="E56" s="9">
        <f>IF(AND(matrizOK,$A56&lt;=nVariables,'M3'!$C$9&gt;0),'M3'!G41,"")</f>
        <v/>
      </c>
      <c r="F56" s="9">
        <f>IF(AND(matrizOK,$A56&lt;=nVariables,'M4'!$C$9&gt;0),'M4'!G41,"")</f>
        <v/>
      </c>
      <c r="G56" s="9">
        <f>IF(AND(matrizOK,$A56&lt;=nVariables,'M5'!$C$9&gt;0),'M5'!G41,"")</f>
        <v/>
      </c>
      <c r="H56" s="9">
        <f>IF(AND(matrizOK,$A56&lt;=nVariables,'M6'!$C$9&gt;0),'M6'!G41,"")</f>
        <v/>
      </c>
    </row>
    <row r="57" ht="21" customHeight="1" s="62">
      <c r="A57" s="6" t="n">
        <v>33</v>
      </c>
      <c r="B57" s="81">
        <f>IF($A57&lt;=nVariables,M!B42,"")</f>
        <v/>
      </c>
      <c r="C57" s="9">
        <f>IF(AND(matrizOK,$A57&lt;=nVariables,'M1'!$C$9&gt;0),'M1'!G42,"")</f>
        <v/>
      </c>
      <c r="D57" s="9">
        <f>IF(AND(matrizOK,$A57&lt;=nVariables,'M2'!$C$9&gt;0),'M2'!G42,"")</f>
        <v/>
      </c>
      <c r="E57" s="9">
        <f>IF(AND(matrizOK,$A57&lt;=nVariables,'M3'!$C$9&gt;0),'M3'!G42,"")</f>
        <v/>
      </c>
      <c r="F57" s="9">
        <f>IF(AND(matrizOK,$A57&lt;=nVariables,'M4'!$C$9&gt;0),'M4'!G42,"")</f>
        <v/>
      </c>
      <c r="G57" s="9">
        <f>IF(AND(matrizOK,$A57&lt;=nVariables,'M5'!$C$9&gt;0),'M5'!G42,"")</f>
        <v/>
      </c>
      <c r="H57" s="9">
        <f>IF(AND(matrizOK,$A57&lt;=nVariables,'M6'!$C$9&gt;0),'M6'!G42,"")</f>
        <v/>
      </c>
    </row>
    <row r="58" ht="21" customHeight="1" s="62">
      <c r="A58" s="6" t="n">
        <v>34</v>
      </c>
      <c r="B58" s="81">
        <f>IF($A58&lt;=nVariables,M!B43,"")</f>
        <v/>
      </c>
      <c r="C58" s="9">
        <f>IF(AND(matrizOK,$A58&lt;=nVariables,'M1'!$C$9&gt;0),'M1'!G43,"")</f>
        <v/>
      </c>
      <c r="D58" s="9">
        <f>IF(AND(matrizOK,$A58&lt;=nVariables,'M2'!$C$9&gt;0),'M2'!G43,"")</f>
        <v/>
      </c>
      <c r="E58" s="9">
        <f>IF(AND(matrizOK,$A58&lt;=nVariables,'M3'!$C$9&gt;0),'M3'!G43,"")</f>
        <v/>
      </c>
      <c r="F58" s="9">
        <f>IF(AND(matrizOK,$A58&lt;=nVariables,'M4'!$C$9&gt;0),'M4'!G43,"")</f>
        <v/>
      </c>
      <c r="G58" s="9">
        <f>IF(AND(matrizOK,$A58&lt;=nVariables,'M5'!$C$9&gt;0),'M5'!G43,"")</f>
        <v/>
      </c>
      <c r="H58" s="9">
        <f>IF(AND(matrizOK,$A58&lt;=nVariables,'M6'!$C$9&gt;0),'M6'!G43,"")</f>
        <v/>
      </c>
    </row>
    <row r="59" ht="21" customHeight="1" s="62">
      <c r="A59" s="6" t="n">
        <v>35</v>
      </c>
      <c r="B59" s="81">
        <f>IF($A59&lt;=nVariables,M!B44,"")</f>
        <v/>
      </c>
      <c r="C59" s="9">
        <f>IF(AND(matrizOK,$A59&lt;=nVariables,'M1'!$C$9&gt;0),'M1'!G44,"")</f>
        <v/>
      </c>
      <c r="D59" s="9">
        <f>IF(AND(matrizOK,$A59&lt;=nVariables,'M2'!$C$9&gt;0),'M2'!G44,"")</f>
        <v/>
      </c>
      <c r="E59" s="9">
        <f>IF(AND(matrizOK,$A59&lt;=nVariables,'M3'!$C$9&gt;0),'M3'!G44,"")</f>
        <v/>
      </c>
      <c r="F59" s="9">
        <f>IF(AND(matrizOK,$A59&lt;=nVariables,'M4'!$C$9&gt;0),'M4'!G44,"")</f>
        <v/>
      </c>
      <c r="G59" s="9">
        <f>IF(AND(matrizOK,$A59&lt;=nVariables,'M5'!$C$9&gt;0),'M5'!G44,"")</f>
        <v/>
      </c>
      <c r="H59" s="9">
        <f>IF(AND(matrizOK,$A59&lt;=nVariables,'M6'!$C$9&gt;0),'M6'!G44,"")</f>
        <v/>
      </c>
    </row>
    <row r="60" ht="21" customHeight="1" s="62">
      <c r="A60" s="6" t="n">
        <v>36</v>
      </c>
      <c r="B60" s="81">
        <f>IF($A60&lt;=nVariables,M!B45,"")</f>
        <v/>
      </c>
      <c r="C60" s="9">
        <f>IF(AND(matrizOK,$A60&lt;=nVariables,'M1'!$C$9&gt;0),'M1'!G45,"")</f>
        <v/>
      </c>
      <c r="D60" s="9">
        <f>IF(AND(matrizOK,$A60&lt;=nVariables,'M2'!$C$9&gt;0),'M2'!G45,"")</f>
        <v/>
      </c>
      <c r="E60" s="9">
        <f>IF(AND(matrizOK,$A60&lt;=nVariables,'M3'!$C$9&gt;0),'M3'!G45,"")</f>
        <v/>
      </c>
      <c r="F60" s="9">
        <f>IF(AND(matrizOK,$A60&lt;=nVariables,'M4'!$C$9&gt;0),'M4'!G45,"")</f>
        <v/>
      </c>
      <c r="G60" s="9">
        <f>IF(AND(matrizOK,$A60&lt;=nVariables,'M5'!$C$9&gt;0),'M5'!G45,"")</f>
        <v/>
      </c>
      <c r="H60" s="9">
        <f>IF(AND(matrizOK,$A60&lt;=nVariables,'M6'!$C$9&gt;0),'M6'!G45,"")</f>
        <v/>
      </c>
    </row>
    <row r="61" ht="21" customHeight="1" s="62">
      <c r="A61" s="6" t="n">
        <v>37</v>
      </c>
      <c r="B61" s="81">
        <f>IF($A61&lt;=nVariables,M!B46,"")</f>
        <v/>
      </c>
      <c r="C61" s="9">
        <f>IF(AND(matrizOK,$A61&lt;=nVariables,'M1'!$C$9&gt;0),'M1'!G46,"")</f>
        <v/>
      </c>
      <c r="D61" s="9">
        <f>IF(AND(matrizOK,$A61&lt;=nVariables,'M2'!$C$9&gt;0),'M2'!G46,"")</f>
        <v/>
      </c>
      <c r="E61" s="9">
        <f>IF(AND(matrizOK,$A61&lt;=nVariables,'M3'!$C$9&gt;0),'M3'!G46,"")</f>
        <v/>
      </c>
      <c r="F61" s="9">
        <f>IF(AND(matrizOK,$A61&lt;=nVariables,'M4'!$C$9&gt;0),'M4'!G46,"")</f>
        <v/>
      </c>
      <c r="G61" s="9">
        <f>IF(AND(matrizOK,$A61&lt;=nVariables,'M5'!$C$9&gt;0),'M5'!G46,"")</f>
        <v/>
      </c>
      <c r="H61" s="9">
        <f>IF(AND(matrizOK,$A61&lt;=nVariables,'M6'!$C$9&gt;0),'M6'!G46,"")</f>
        <v/>
      </c>
    </row>
    <row r="62" ht="21" customHeight="1" s="62">
      <c r="A62" s="6" t="n">
        <v>38</v>
      </c>
      <c r="B62" s="81">
        <f>IF($A62&lt;=nVariables,M!B47,"")</f>
        <v/>
      </c>
      <c r="C62" s="9">
        <f>IF(AND(matrizOK,$A62&lt;=nVariables,'M1'!$C$9&gt;0),'M1'!G47,"")</f>
        <v/>
      </c>
      <c r="D62" s="9">
        <f>IF(AND(matrizOK,$A62&lt;=nVariables,'M2'!$C$9&gt;0),'M2'!G47,"")</f>
        <v/>
      </c>
      <c r="E62" s="9">
        <f>IF(AND(matrizOK,$A62&lt;=nVariables,'M3'!$C$9&gt;0),'M3'!G47,"")</f>
        <v/>
      </c>
      <c r="F62" s="9">
        <f>IF(AND(matrizOK,$A62&lt;=nVariables,'M4'!$C$9&gt;0),'M4'!G47,"")</f>
        <v/>
      </c>
      <c r="G62" s="9">
        <f>IF(AND(matrizOK,$A62&lt;=nVariables,'M5'!$C$9&gt;0),'M5'!G47,"")</f>
        <v/>
      </c>
      <c r="H62" s="9">
        <f>IF(AND(matrizOK,$A62&lt;=nVariables,'M6'!$C$9&gt;0),'M6'!G47,"")</f>
        <v/>
      </c>
    </row>
    <row r="63" ht="21" customHeight="1" s="62">
      <c r="A63" s="6" t="n">
        <v>39</v>
      </c>
      <c r="B63" s="81">
        <f>IF($A63&lt;=nVariables,M!B48,"")</f>
        <v/>
      </c>
      <c r="C63" s="9">
        <f>IF(AND(matrizOK,$A63&lt;=nVariables,'M1'!$C$9&gt;0),'M1'!G48,"")</f>
        <v/>
      </c>
      <c r="D63" s="9">
        <f>IF(AND(matrizOK,$A63&lt;=nVariables,'M2'!$C$9&gt;0),'M2'!G48,"")</f>
        <v/>
      </c>
      <c r="E63" s="9">
        <f>IF(AND(matrizOK,$A63&lt;=nVariables,'M3'!$C$9&gt;0),'M3'!G48,"")</f>
        <v/>
      </c>
      <c r="F63" s="9">
        <f>IF(AND(matrizOK,$A63&lt;=nVariables,'M4'!$C$9&gt;0),'M4'!G48,"")</f>
        <v/>
      </c>
      <c r="G63" s="9">
        <f>IF(AND(matrizOK,$A63&lt;=nVariables,'M5'!$C$9&gt;0),'M5'!G48,"")</f>
        <v/>
      </c>
      <c r="H63" s="9">
        <f>IF(AND(matrizOK,$A63&lt;=nVariables,'M6'!$C$9&gt;0),'M6'!G48,"")</f>
        <v/>
      </c>
    </row>
    <row r="64" ht="21" customHeight="1" s="62">
      <c r="A64" s="6" t="n">
        <v>40</v>
      </c>
      <c r="B64" s="81">
        <f>IF($A64&lt;=nVariables,M!B49,"")</f>
        <v/>
      </c>
      <c r="C64" s="9">
        <f>IF(AND(matrizOK,$A64&lt;=nVariables,'M1'!$C$9&gt;0),'M1'!G49,"")</f>
        <v/>
      </c>
      <c r="D64" s="9">
        <f>IF(AND(matrizOK,$A64&lt;=nVariables,'M2'!$C$9&gt;0),'M2'!G49,"")</f>
        <v/>
      </c>
      <c r="E64" s="9">
        <f>IF(AND(matrizOK,$A64&lt;=nVariables,'M3'!$C$9&gt;0),'M3'!G49,"")</f>
        <v/>
      </c>
      <c r="F64" s="9">
        <f>IF(AND(matrizOK,$A64&lt;=nVariables,'M4'!$C$9&gt;0),'M4'!G49,"")</f>
        <v/>
      </c>
      <c r="G64" s="9">
        <f>IF(AND(matrizOK,$A64&lt;=nVariables,'M5'!$C$9&gt;0),'M5'!G49,"")</f>
        <v/>
      </c>
      <c r="H64" s="9">
        <f>IF(AND(matrizOK,$A64&lt;=nVariables,'M6'!$C$9&gt;0),'M6'!G49,"")</f>
        <v/>
      </c>
    </row>
    <row r="67" ht="24" customHeight="1" s="62">
      <c r="A67" s="69" t="inlineStr">
        <is>
          <t>N.º</t>
        </is>
      </c>
      <c r="B67" s="69" t="inlineStr">
        <is>
          <t>Rango de dependencia</t>
        </is>
      </c>
      <c r="C67" s="69" t="inlineStr">
        <is>
          <t>M1</t>
        </is>
      </c>
      <c r="D67" s="69" t="inlineStr">
        <is>
          <t>M2</t>
        </is>
      </c>
      <c r="E67" s="69" t="inlineStr">
        <is>
          <t>M3</t>
        </is>
      </c>
      <c r="F67" s="69" t="inlineStr">
        <is>
          <t>M4</t>
        </is>
      </c>
      <c r="G67" s="69" t="inlineStr">
        <is>
          <t>M5</t>
        </is>
      </c>
      <c r="H67" s="69" t="inlineStr">
        <is>
          <t>M6</t>
        </is>
      </c>
    </row>
    <row r="68" ht="21" customHeight="1" s="62">
      <c r="A68" s="6" t="n">
        <v>1</v>
      </c>
      <c r="B68" s="81">
        <f>IF($A68&lt;=nVariables,M!B10,"")</f>
        <v/>
      </c>
      <c r="C68" s="9">
        <f>IF(AND(matrizOK,$A68&lt;=nVariables,'M1'!$C$9&gt;0),'M1'!H10,"")</f>
        <v/>
      </c>
      <c r="D68" s="9">
        <f>IF(AND(matrizOK,$A68&lt;=nVariables,'M2'!$C$9&gt;0),'M2'!H10,"")</f>
        <v/>
      </c>
      <c r="E68" s="9">
        <f>IF(AND(matrizOK,$A68&lt;=nVariables,'M3'!$C$9&gt;0),'M3'!H10,"")</f>
        <v/>
      </c>
      <c r="F68" s="9">
        <f>IF(AND(matrizOK,$A68&lt;=nVariables,'M4'!$C$9&gt;0),'M4'!H10,"")</f>
        <v/>
      </c>
      <c r="G68" s="9">
        <f>IF(AND(matrizOK,$A68&lt;=nVariables,'M5'!$C$9&gt;0),'M5'!H10,"")</f>
        <v/>
      </c>
      <c r="H68" s="9">
        <f>IF(AND(matrizOK,$A68&lt;=nVariables,'M6'!$C$9&gt;0),'M6'!H10,"")</f>
        <v/>
      </c>
    </row>
    <row r="69" ht="21" customHeight="1" s="62">
      <c r="A69" s="6" t="n">
        <v>2</v>
      </c>
      <c r="B69" s="81">
        <f>IF($A69&lt;=nVariables,M!B11,"")</f>
        <v/>
      </c>
      <c r="C69" s="9">
        <f>IF(AND(matrizOK,$A69&lt;=nVariables,'M1'!$C$9&gt;0),'M1'!H11,"")</f>
        <v/>
      </c>
      <c r="D69" s="9">
        <f>IF(AND(matrizOK,$A69&lt;=nVariables,'M2'!$C$9&gt;0),'M2'!H11,"")</f>
        <v/>
      </c>
      <c r="E69" s="9">
        <f>IF(AND(matrizOK,$A69&lt;=nVariables,'M3'!$C$9&gt;0),'M3'!H11,"")</f>
        <v/>
      </c>
      <c r="F69" s="9">
        <f>IF(AND(matrizOK,$A69&lt;=nVariables,'M4'!$C$9&gt;0),'M4'!H11,"")</f>
        <v/>
      </c>
      <c r="G69" s="9">
        <f>IF(AND(matrizOK,$A69&lt;=nVariables,'M5'!$C$9&gt;0),'M5'!H11,"")</f>
        <v/>
      </c>
      <c r="H69" s="9">
        <f>IF(AND(matrizOK,$A69&lt;=nVariables,'M6'!$C$9&gt;0),'M6'!H11,"")</f>
        <v/>
      </c>
    </row>
    <row r="70" ht="21" customHeight="1" s="62">
      <c r="A70" s="6" t="n">
        <v>3</v>
      </c>
      <c r="B70" s="81">
        <f>IF($A70&lt;=nVariables,M!B12,"")</f>
        <v/>
      </c>
      <c r="C70" s="9">
        <f>IF(AND(matrizOK,$A70&lt;=nVariables,'M1'!$C$9&gt;0),'M1'!H12,"")</f>
        <v/>
      </c>
      <c r="D70" s="9">
        <f>IF(AND(matrizOK,$A70&lt;=nVariables,'M2'!$C$9&gt;0),'M2'!H12,"")</f>
        <v/>
      </c>
      <c r="E70" s="9">
        <f>IF(AND(matrizOK,$A70&lt;=nVariables,'M3'!$C$9&gt;0),'M3'!H12,"")</f>
        <v/>
      </c>
      <c r="F70" s="9">
        <f>IF(AND(matrizOK,$A70&lt;=nVariables,'M4'!$C$9&gt;0),'M4'!H12,"")</f>
        <v/>
      </c>
      <c r="G70" s="9">
        <f>IF(AND(matrizOK,$A70&lt;=nVariables,'M5'!$C$9&gt;0),'M5'!H12,"")</f>
        <v/>
      </c>
      <c r="H70" s="9">
        <f>IF(AND(matrizOK,$A70&lt;=nVariables,'M6'!$C$9&gt;0),'M6'!H12,"")</f>
        <v/>
      </c>
    </row>
    <row r="71" ht="21" customHeight="1" s="62">
      <c r="A71" s="6" t="n">
        <v>4</v>
      </c>
      <c r="B71" s="81">
        <f>IF($A71&lt;=nVariables,M!B13,"")</f>
        <v/>
      </c>
      <c r="C71" s="9">
        <f>IF(AND(matrizOK,$A71&lt;=nVariables,'M1'!$C$9&gt;0),'M1'!H13,"")</f>
        <v/>
      </c>
      <c r="D71" s="9">
        <f>IF(AND(matrizOK,$A71&lt;=nVariables,'M2'!$C$9&gt;0),'M2'!H13,"")</f>
        <v/>
      </c>
      <c r="E71" s="9">
        <f>IF(AND(matrizOK,$A71&lt;=nVariables,'M3'!$C$9&gt;0),'M3'!H13,"")</f>
        <v/>
      </c>
      <c r="F71" s="9">
        <f>IF(AND(matrizOK,$A71&lt;=nVariables,'M4'!$C$9&gt;0),'M4'!H13,"")</f>
        <v/>
      </c>
      <c r="G71" s="9">
        <f>IF(AND(matrizOK,$A71&lt;=nVariables,'M5'!$C$9&gt;0),'M5'!H13,"")</f>
        <v/>
      </c>
      <c r="H71" s="9">
        <f>IF(AND(matrizOK,$A71&lt;=nVariables,'M6'!$C$9&gt;0),'M6'!H13,"")</f>
        <v/>
      </c>
    </row>
    <row r="72" ht="21" customHeight="1" s="62">
      <c r="A72" s="6" t="n">
        <v>5</v>
      </c>
      <c r="B72" s="81">
        <f>IF($A72&lt;=nVariables,M!B14,"")</f>
        <v/>
      </c>
      <c r="C72" s="9">
        <f>IF(AND(matrizOK,$A72&lt;=nVariables,'M1'!$C$9&gt;0),'M1'!H14,"")</f>
        <v/>
      </c>
      <c r="D72" s="9">
        <f>IF(AND(matrizOK,$A72&lt;=nVariables,'M2'!$C$9&gt;0),'M2'!H14,"")</f>
        <v/>
      </c>
      <c r="E72" s="9">
        <f>IF(AND(matrizOK,$A72&lt;=nVariables,'M3'!$C$9&gt;0),'M3'!H14,"")</f>
        <v/>
      </c>
      <c r="F72" s="9">
        <f>IF(AND(matrizOK,$A72&lt;=nVariables,'M4'!$C$9&gt;0),'M4'!H14,"")</f>
        <v/>
      </c>
      <c r="G72" s="9">
        <f>IF(AND(matrizOK,$A72&lt;=nVariables,'M5'!$C$9&gt;0),'M5'!H14,"")</f>
        <v/>
      </c>
      <c r="H72" s="9">
        <f>IF(AND(matrizOK,$A72&lt;=nVariables,'M6'!$C$9&gt;0),'M6'!H14,"")</f>
        <v/>
      </c>
    </row>
    <row r="73" ht="21" customHeight="1" s="62">
      <c r="A73" s="6" t="n">
        <v>6</v>
      </c>
      <c r="B73" s="81">
        <f>IF($A73&lt;=nVariables,M!B15,"")</f>
        <v/>
      </c>
      <c r="C73" s="9">
        <f>IF(AND(matrizOK,$A73&lt;=nVariables,'M1'!$C$9&gt;0),'M1'!H15,"")</f>
        <v/>
      </c>
      <c r="D73" s="9">
        <f>IF(AND(matrizOK,$A73&lt;=nVariables,'M2'!$C$9&gt;0),'M2'!H15,"")</f>
        <v/>
      </c>
      <c r="E73" s="9">
        <f>IF(AND(matrizOK,$A73&lt;=nVariables,'M3'!$C$9&gt;0),'M3'!H15,"")</f>
        <v/>
      </c>
      <c r="F73" s="9">
        <f>IF(AND(matrizOK,$A73&lt;=nVariables,'M4'!$C$9&gt;0),'M4'!H15,"")</f>
        <v/>
      </c>
      <c r="G73" s="9">
        <f>IF(AND(matrizOK,$A73&lt;=nVariables,'M5'!$C$9&gt;0),'M5'!H15,"")</f>
        <v/>
      </c>
      <c r="H73" s="9">
        <f>IF(AND(matrizOK,$A73&lt;=nVariables,'M6'!$C$9&gt;0),'M6'!H15,"")</f>
        <v/>
      </c>
    </row>
    <row r="74" ht="21" customHeight="1" s="62">
      <c r="A74" s="6" t="n">
        <v>7</v>
      </c>
      <c r="B74" s="81">
        <f>IF($A74&lt;=nVariables,M!B16,"")</f>
        <v/>
      </c>
      <c r="C74" s="9">
        <f>IF(AND(matrizOK,$A74&lt;=nVariables,'M1'!$C$9&gt;0),'M1'!H16,"")</f>
        <v/>
      </c>
      <c r="D74" s="9">
        <f>IF(AND(matrizOK,$A74&lt;=nVariables,'M2'!$C$9&gt;0),'M2'!H16,"")</f>
        <v/>
      </c>
      <c r="E74" s="9">
        <f>IF(AND(matrizOK,$A74&lt;=nVariables,'M3'!$C$9&gt;0),'M3'!H16,"")</f>
        <v/>
      </c>
      <c r="F74" s="9">
        <f>IF(AND(matrizOK,$A74&lt;=nVariables,'M4'!$C$9&gt;0),'M4'!H16,"")</f>
        <v/>
      </c>
      <c r="G74" s="9">
        <f>IF(AND(matrizOK,$A74&lt;=nVariables,'M5'!$C$9&gt;0),'M5'!H16,"")</f>
        <v/>
      </c>
      <c r="H74" s="9">
        <f>IF(AND(matrizOK,$A74&lt;=nVariables,'M6'!$C$9&gt;0),'M6'!H16,"")</f>
        <v/>
      </c>
    </row>
    <row r="75" ht="21" customHeight="1" s="62">
      <c r="A75" s="6" t="n">
        <v>8</v>
      </c>
      <c r="B75" s="81">
        <f>IF($A75&lt;=nVariables,M!B17,"")</f>
        <v/>
      </c>
      <c r="C75" s="9">
        <f>IF(AND(matrizOK,$A75&lt;=nVariables,'M1'!$C$9&gt;0),'M1'!H17,"")</f>
        <v/>
      </c>
      <c r="D75" s="9">
        <f>IF(AND(matrizOK,$A75&lt;=nVariables,'M2'!$C$9&gt;0),'M2'!H17,"")</f>
        <v/>
      </c>
      <c r="E75" s="9">
        <f>IF(AND(matrizOK,$A75&lt;=nVariables,'M3'!$C$9&gt;0),'M3'!H17,"")</f>
        <v/>
      </c>
      <c r="F75" s="9">
        <f>IF(AND(matrizOK,$A75&lt;=nVariables,'M4'!$C$9&gt;0),'M4'!H17,"")</f>
        <v/>
      </c>
      <c r="G75" s="9">
        <f>IF(AND(matrizOK,$A75&lt;=nVariables,'M5'!$C$9&gt;0),'M5'!H17,"")</f>
        <v/>
      </c>
      <c r="H75" s="9">
        <f>IF(AND(matrizOK,$A75&lt;=nVariables,'M6'!$C$9&gt;0),'M6'!H17,"")</f>
        <v/>
      </c>
    </row>
    <row r="76" ht="21" customHeight="1" s="62">
      <c r="A76" s="6" t="n">
        <v>9</v>
      </c>
      <c r="B76" s="81">
        <f>IF($A76&lt;=nVariables,M!B18,"")</f>
        <v/>
      </c>
      <c r="C76" s="9">
        <f>IF(AND(matrizOK,$A76&lt;=nVariables,'M1'!$C$9&gt;0),'M1'!H18,"")</f>
        <v/>
      </c>
      <c r="D76" s="9">
        <f>IF(AND(matrizOK,$A76&lt;=nVariables,'M2'!$C$9&gt;0),'M2'!H18,"")</f>
        <v/>
      </c>
      <c r="E76" s="9">
        <f>IF(AND(matrizOK,$A76&lt;=nVariables,'M3'!$C$9&gt;0),'M3'!H18,"")</f>
        <v/>
      </c>
      <c r="F76" s="9">
        <f>IF(AND(matrizOK,$A76&lt;=nVariables,'M4'!$C$9&gt;0),'M4'!H18,"")</f>
        <v/>
      </c>
      <c r="G76" s="9">
        <f>IF(AND(matrizOK,$A76&lt;=nVariables,'M5'!$C$9&gt;0),'M5'!H18,"")</f>
        <v/>
      </c>
      <c r="H76" s="9">
        <f>IF(AND(matrizOK,$A76&lt;=nVariables,'M6'!$C$9&gt;0),'M6'!H18,"")</f>
        <v/>
      </c>
    </row>
    <row r="77" ht="21" customHeight="1" s="62">
      <c r="A77" s="6" t="n">
        <v>10</v>
      </c>
      <c r="B77" s="81">
        <f>IF($A77&lt;=nVariables,M!B19,"")</f>
        <v/>
      </c>
      <c r="C77" s="9">
        <f>IF(AND(matrizOK,$A77&lt;=nVariables,'M1'!$C$9&gt;0),'M1'!H19,"")</f>
        <v/>
      </c>
      <c r="D77" s="9">
        <f>IF(AND(matrizOK,$A77&lt;=nVariables,'M2'!$C$9&gt;0),'M2'!H19,"")</f>
        <v/>
      </c>
      <c r="E77" s="9">
        <f>IF(AND(matrizOK,$A77&lt;=nVariables,'M3'!$C$9&gt;0),'M3'!H19,"")</f>
        <v/>
      </c>
      <c r="F77" s="9">
        <f>IF(AND(matrizOK,$A77&lt;=nVariables,'M4'!$C$9&gt;0),'M4'!H19,"")</f>
        <v/>
      </c>
      <c r="G77" s="9">
        <f>IF(AND(matrizOK,$A77&lt;=nVariables,'M5'!$C$9&gt;0),'M5'!H19,"")</f>
        <v/>
      </c>
      <c r="H77" s="9">
        <f>IF(AND(matrizOK,$A77&lt;=nVariables,'M6'!$C$9&gt;0),'M6'!H19,"")</f>
        <v/>
      </c>
    </row>
    <row r="78" ht="21" customHeight="1" s="62">
      <c r="A78" s="6" t="n">
        <v>11</v>
      </c>
      <c r="B78" s="81">
        <f>IF($A78&lt;=nVariables,M!B20,"")</f>
        <v/>
      </c>
      <c r="C78" s="9">
        <f>IF(AND(matrizOK,$A78&lt;=nVariables,'M1'!$C$9&gt;0),'M1'!H20,"")</f>
        <v/>
      </c>
      <c r="D78" s="9">
        <f>IF(AND(matrizOK,$A78&lt;=nVariables,'M2'!$C$9&gt;0),'M2'!H20,"")</f>
        <v/>
      </c>
      <c r="E78" s="9">
        <f>IF(AND(matrizOK,$A78&lt;=nVariables,'M3'!$C$9&gt;0),'M3'!H20,"")</f>
        <v/>
      </c>
      <c r="F78" s="9">
        <f>IF(AND(matrizOK,$A78&lt;=nVariables,'M4'!$C$9&gt;0),'M4'!H20,"")</f>
        <v/>
      </c>
      <c r="G78" s="9">
        <f>IF(AND(matrizOK,$A78&lt;=nVariables,'M5'!$C$9&gt;0),'M5'!H20,"")</f>
        <v/>
      </c>
      <c r="H78" s="9">
        <f>IF(AND(matrizOK,$A78&lt;=nVariables,'M6'!$C$9&gt;0),'M6'!H20,"")</f>
        <v/>
      </c>
    </row>
    <row r="79" ht="21" customHeight="1" s="62">
      <c r="A79" s="6" t="n">
        <v>12</v>
      </c>
      <c r="B79" s="81">
        <f>IF($A79&lt;=nVariables,M!B21,"")</f>
        <v/>
      </c>
      <c r="C79" s="9">
        <f>IF(AND(matrizOK,$A79&lt;=nVariables,'M1'!$C$9&gt;0),'M1'!H21,"")</f>
        <v/>
      </c>
      <c r="D79" s="9">
        <f>IF(AND(matrizOK,$A79&lt;=nVariables,'M2'!$C$9&gt;0),'M2'!H21,"")</f>
        <v/>
      </c>
      <c r="E79" s="9">
        <f>IF(AND(matrizOK,$A79&lt;=nVariables,'M3'!$C$9&gt;0),'M3'!H21,"")</f>
        <v/>
      </c>
      <c r="F79" s="9">
        <f>IF(AND(matrizOK,$A79&lt;=nVariables,'M4'!$C$9&gt;0),'M4'!H21,"")</f>
        <v/>
      </c>
      <c r="G79" s="9">
        <f>IF(AND(matrizOK,$A79&lt;=nVariables,'M5'!$C$9&gt;0),'M5'!H21,"")</f>
        <v/>
      </c>
      <c r="H79" s="9">
        <f>IF(AND(matrizOK,$A79&lt;=nVariables,'M6'!$C$9&gt;0),'M6'!H21,"")</f>
        <v/>
      </c>
    </row>
    <row r="80" ht="21" customHeight="1" s="62">
      <c r="A80" s="6" t="n">
        <v>13</v>
      </c>
      <c r="B80" s="81">
        <f>IF($A80&lt;=nVariables,M!B22,"")</f>
        <v/>
      </c>
      <c r="C80" s="9">
        <f>IF(AND(matrizOK,$A80&lt;=nVariables,'M1'!$C$9&gt;0),'M1'!H22,"")</f>
        <v/>
      </c>
      <c r="D80" s="9">
        <f>IF(AND(matrizOK,$A80&lt;=nVariables,'M2'!$C$9&gt;0),'M2'!H22,"")</f>
        <v/>
      </c>
      <c r="E80" s="9">
        <f>IF(AND(matrizOK,$A80&lt;=nVariables,'M3'!$C$9&gt;0),'M3'!H22,"")</f>
        <v/>
      </c>
      <c r="F80" s="9">
        <f>IF(AND(matrizOK,$A80&lt;=nVariables,'M4'!$C$9&gt;0),'M4'!H22,"")</f>
        <v/>
      </c>
      <c r="G80" s="9">
        <f>IF(AND(matrizOK,$A80&lt;=nVariables,'M5'!$C$9&gt;0),'M5'!H22,"")</f>
        <v/>
      </c>
      <c r="H80" s="9">
        <f>IF(AND(matrizOK,$A80&lt;=nVariables,'M6'!$C$9&gt;0),'M6'!H22,"")</f>
        <v/>
      </c>
    </row>
    <row r="81" ht="21" customHeight="1" s="62">
      <c r="A81" s="6" t="n">
        <v>14</v>
      </c>
      <c r="B81" s="81">
        <f>IF($A81&lt;=nVariables,M!B23,"")</f>
        <v/>
      </c>
      <c r="C81" s="9">
        <f>IF(AND(matrizOK,$A81&lt;=nVariables,'M1'!$C$9&gt;0),'M1'!H23,"")</f>
        <v/>
      </c>
      <c r="D81" s="9">
        <f>IF(AND(matrizOK,$A81&lt;=nVariables,'M2'!$C$9&gt;0),'M2'!H23,"")</f>
        <v/>
      </c>
      <c r="E81" s="9">
        <f>IF(AND(matrizOK,$A81&lt;=nVariables,'M3'!$C$9&gt;0),'M3'!H23,"")</f>
        <v/>
      </c>
      <c r="F81" s="9">
        <f>IF(AND(matrizOK,$A81&lt;=nVariables,'M4'!$C$9&gt;0),'M4'!H23,"")</f>
        <v/>
      </c>
      <c r="G81" s="9">
        <f>IF(AND(matrizOK,$A81&lt;=nVariables,'M5'!$C$9&gt;0),'M5'!H23,"")</f>
        <v/>
      </c>
      <c r="H81" s="9">
        <f>IF(AND(matrizOK,$A81&lt;=nVariables,'M6'!$C$9&gt;0),'M6'!H23,"")</f>
        <v/>
      </c>
    </row>
    <row r="82" ht="21" customHeight="1" s="62">
      <c r="A82" s="6" t="n">
        <v>15</v>
      </c>
      <c r="B82" s="81">
        <f>IF($A82&lt;=nVariables,M!B24,"")</f>
        <v/>
      </c>
      <c r="C82" s="9">
        <f>IF(AND(matrizOK,$A82&lt;=nVariables,'M1'!$C$9&gt;0),'M1'!H24,"")</f>
        <v/>
      </c>
      <c r="D82" s="9">
        <f>IF(AND(matrizOK,$A82&lt;=nVariables,'M2'!$C$9&gt;0),'M2'!H24,"")</f>
        <v/>
      </c>
      <c r="E82" s="9">
        <f>IF(AND(matrizOK,$A82&lt;=nVariables,'M3'!$C$9&gt;0),'M3'!H24,"")</f>
        <v/>
      </c>
      <c r="F82" s="9">
        <f>IF(AND(matrizOK,$A82&lt;=nVariables,'M4'!$C$9&gt;0),'M4'!H24,"")</f>
        <v/>
      </c>
      <c r="G82" s="9">
        <f>IF(AND(matrizOK,$A82&lt;=nVariables,'M5'!$C$9&gt;0),'M5'!H24,"")</f>
        <v/>
      </c>
      <c r="H82" s="9">
        <f>IF(AND(matrizOK,$A82&lt;=nVariables,'M6'!$C$9&gt;0),'M6'!H24,"")</f>
        <v/>
      </c>
    </row>
    <row r="83" ht="21" customHeight="1" s="62">
      <c r="A83" s="6" t="n">
        <v>16</v>
      </c>
      <c r="B83" s="81">
        <f>IF($A83&lt;=nVariables,M!B25,"")</f>
        <v/>
      </c>
      <c r="C83" s="9">
        <f>IF(AND(matrizOK,$A83&lt;=nVariables,'M1'!$C$9&gt;0),'M1'!H25,"")</f>
        <v/>
      </c>
      <c r="D83" s="9">
        <f>IF(AND(matrizOK,$A83&lt;=nVariables,'M2'!$C$9&gt;0),'M2'!H25,"")</f>
        <v/>
      </c>
      <c r="E83" s="9">
        <f>IF(AND(matrizOK,$A83&lt;=nVariables,'M3'!$C$9&gt;0),'M3'!H25,"")</f>
        <v/>
      </c>
      <c r="F83" s="9">
        <f>IF(AND(matrizOK,$A83&lt;=nVariables,'M4'!$C$9&gt;0),'M4'!H25,"")</f>
        <v/>
      </c>
      <c r="G83" s="9">
        <f>IF(AND(matrizOK,$A83&lt;=nVariables,'M5'!$C$9&gt;0),'M5'!H25,"")</f>
        <v/>
      </c>
      <c r="H83" s="9">
        <f>IF(AND(matrizOK,$A83&lt;=nVariables,'M6'!$C$9&gt;0),'M6'!H25,"")</f>
        <v/>
      </c>
    </row>
    <row r="84" ht="21" customHeight="1" s="62">
      <c r="A84" s="6" t="n">
        <v>17</v>
      </c>
      <c r="B84" s="81">
        <f>IF($A84&lt;=nVariables,M!B26,"")</f>
        <v/>
      </c>
      <c r="C84" s="9">
        <f>IF(AND(matrizOK,$A84&lt;=nVariables,'M1'!$C$9&gt;0),'M1'!H26,"")</f>
        <v/>
      </c>
      <c r="D84" s="9">
        <f>IF(AND(matrizOK,$A84&lt;=nVariables,'M2'!$C$9&gt;0),'M2'!H26,"")</f>
        <v/>
      </c>
      <c r="E84" s="9">
        <f>IF(AND(matrizOK,$A84&lt;=nVariables,'M3'!$C$9&gt;0),'M3'!H26,"")</f>
        <v/>
      </c>
      <c r="F84" s="9">
        <f>IF(AND(matrizOK,$A84&lt;=nVariables,'M4'!$C$9&gt;0),'M4'!H26,"")</f>
        <v/>
      </c>
      <c r="G84" s="9">
        <f>IF(AND(matrizOK,$A84&lt;=nVariables,'M5'!$C$9&gt;0),'M5'!H26,"")</f>
        <v/>
      </c>
      <c r="H84" s="9">
        <f>IF(AND(matrizOK,$A84&lt;=nVariables,'M6'!$C$9&gt;0),'M6'!H26,"")</f>
        <v/>
      </c>
    </row>
    <row r="85" ht="21" customHeight="1" s="62">
      <c r="A85" s="6" t="n">
        <v>18</v>
      </c>
      <c r="B85" s="81">
        <f>IF($A85&lt;=nVariables,M!B27,"")</f>
        <v/>
      </c>
      <c r="C85" s="9">
        <f>IF(AND(matrizOK,$A85&lt;=nVariables,'M1'!$C$9&gt;0),'M1'!H27,"")</f>
        <v/>
      </c>
      <c r="D85" s="9">
        <f>IF(AND(matrizOK,$A85&lt;=nVariables,'M2'!$C$9&gt;0),'M2'!H27,"")</f>
        <v/>
      </c>
      <c r="E85" s="9">
        <f>IF(AND(matrizOK,$A85&lt;=nVariables,'M3'!$C$9&gt;0),'M3'!H27,"")</f>
        <v/>
      </c>
      <c r="F85" s="9">
        <f>IF(AND(matrizOK,$A85&lt;=nVariables,'M4'!$C$9&gt;0),'M4'!H27,"")</f>
        <v/>
      </c>
      <c r="G85" s="9">
        <f>IF(AND(matrizOK,$A85&lt;=nVariables,'M5'!$C$9&gt;0),'M5'!H27,"")</f>
        <v/>
      </c>
      <c r="H85" s="9">
        <f>IF(AND(matrizOK,$A85&lt;=nVariables,'M6'!$C$9&gt;0),'M6'!H27,"")</f>
        <v/>
      </c>
    </row>
    <row r="86" ht="21" customHeight="1" s="62">
      <c r="A86" s="6" t="n">
        <v>19</v>
      </c>
      <c r="B86" s="81">
        <f>IF($A86&lt;=nVariables,M!B28,"")</f>
        <v/>
      </c>
      <c r="C86" s="9">
        <f>IF(AND(matrizOK,$A86&lt;=nVariables,'M1'!$C$9&gt;0),'M1'!H28,"")</f>
        <v/>
      </c>
      <c r="D86" s="9">
        <f>IF(AND(matrizOK,$A86&lt;=nVariables,'M2'!$C$9&gt;0),'M2'!H28,"")</f>
        <v/>
      </c>
      <c r="E86" s="9">
        <f>IF(AND(matrizOK,$A86&lt;=nVariables,'M3'!$C$9&gt;0),'M3'!H28,"")</f>
        <v/>
      </c>
      <c r="F86" s="9">
        <f>IF(AND(matrizOK,$A86&lt;=nVariables,'M4'!$C$9&gt;0),'M4'!H28,"")</f>
        <v/>
      </c>
      <c r="G86" s="9">
        <f>IF(AND(matrizOK,$A86&lt;=nVariables,'M5'!$C$9&gt;0),'M5'!H28,"")</f>
        <v/>
      </c>
      <c r="H86" s="9">
        <f>IF(AND(matrizOK,$A86&lt;=nVariables,'M6'!$C$9&gt;0),'M6'!H28,"")</f>
        <v/>
      </c>
    </row>
    <row r="87" ht="21" customHeight="1" s="62">
      <c r="A87" s="6" t="n">
        <v>20</v>
      </c>
      <c r="B87" s="81">
        <f>IF($A87&lt;=nVariables,M!B29,"")</f>
        <v/>
      </c>
      <c r="C87" s="9">
        <f>IF(AND(matrizOK,$A87&lt;=nVariables,'M1'!$C$9&gt;0),'M1'!H29,"")</f>
        <v/>
      </c>
      <c r="D87" s="9">
        <f>IF(AND(matrizOK,$A87&lt;=nVariables,'M2'!$C$9&gt;0),'M2'!H29,"")</f>
        <v/>
      </c>
      <c r="E87" s="9">
        <f>IF(AND(matrizOK,$A87&lt;=nVariables,'M3'!$C$9&gt;0),'M3'!H29,"")</f>
        <v/>
      </c>
      <c r="F87" s="9">
        <f>IF(AND(matrizOK,$A87&lt;=nVariables,'M4'!$C$9&gt;0),'M4'!H29,"")</f>
        <v/>
      </c>
      <c r="G87" s="9">
        <f>IF(AND(matrizOK,$A87&lt;=nVariables,'M5'!$C$9&gt;0),'M5'!H29,"")</f>
        <v/>
      </c>
      <c r="H87" s="9">
        <f>IF(AND(matrizOK,$A87&lt;=nVariables,'M6'!$C$9&gt;0),'M6'!H29,"")</f>
        <v/>
      </c>
    </row>
    <row r="88" ht="21" customHeight="1" s="62">
      <c r="A88" s="6" t="n">
        <v>21</v>
      </c>
      <c r="B88" s="81">
        <f>IF($A88&lt;=nVariables,M!B30,"")</f>
        <v/>
      </c>
      <c r="C88" s="9">
        <f>IF(AND(matrizOK,$A88&lt;=nVariables,'M1'!$C$9&gt;0),'M1'!H30,"")</f>
        <v/>
      </c>
      <c r="D88" s="9">
        <f>IF(AND(matrizOK,$A88&lt;=nVariables,'M2'!$C$9&gt;0),'M2'!H30,"")</f>
        <v/>
      </c>
      <c r="E88" s="9">
        <f>IF(AND(matrizOK,$A88&lt;=nVariables,'M3'!$C$9&gt;0),'M3'!H30,"")</f>
        <v/>
      </c>
      <c r="F88" s="9">
        <f>IF(AND(matrizOK,$A88&lt;=nVariables,'M4'!$C$9&gt;0),'M4'!H30,"")</f>
        <v/>
      </c>
      <c r="G88" s="9">
        <f>IF(AND(matrizOK,$A88&lt;=nVariables,'M5'!$C$9&gt;0),'M5'!H30,"")</f>
        <v/>
      </c>
      <c r="H88" s="9">
        <f>IF(AND(matrizOK,$A88&lt;=nVariables,'M6'!$C$9&gt;0),'M6'!H30,"")</f>
        <v/>
      </c>
    </row>
    <row r="89" ht="21" customHeight="1" s="62">
      <c r="A89" s="6" t="n">
        <v>22</v>
      </c>
      <c r="B89" s="81">
        <f>IF($A89&lt;=nVariables,M!B31,"")</f>
        <v/>
      </c>
      <c r="C89" s="9">
        <f>IF(AND(matrizOK,$A89&lt;=nVariables,'M1'!$C$9&gt;0),'M1'!H31,"")</f>
        <v/>
      </c>
      <c r="D89" s="9">
        <f>IF(AND(matrizOK,$A89&lt;=nVariables,'M2'!$C$9&gt;0),'M2'!H31,"")</f>
        <v/>
      </c>
      <c r="E89" s="9">
        <f>IF(AND(matrizOK,$A89&lt;=nVariables,'M3'!$C$9&gt;0),'M3'!H31,"")</f>
        <v/>
      </c>
      <c r="F89" s="9">
        <f>IF(AND(matrizOK,$A89&lt;=nVariables,'M4'!$C$9&gt;0),'M4'!H31,"")</f>
        <v/>
      </c>
      <c r="G89" s="9">
        <f>IF(AND(matrizOK,$A89&lt;=nVariables,'M5'!$C$9&gt;0),'M5'!H31,"")</f>
        <v/>
      </c>
      <c r="H89" s="9">
        <f>IF(AND(matrizOK,$A89&lt;=nVariables,'M6'!$C$9&gt;0),'M6'!H31,"")</f>
        <v/>
      </c>
    </row>
    <row r="90" ht="21" customHeight="1" s="62">
      <c r="A90" s="6" t="n">
        <v>23</v>
      </c>
      <c r="B90" s="81">
        <f>IF($A90&lt;=nVariables,M!B32,"")</f>
        <v/>
      </c>
      <c r="C90" s="9">
        <f>IF(AND(matrizOK,$A90&lt;=nVariables,'M1'!$C$9&gt;0),'M1'!H32,"")</f>
        <v/>
      </c>
      <c r="D90" s="9">
        <f>IF(AND(matrizOK,$A90&lt;=nVariables,'M2'!$C$9&gt;0),'M2'!H32,"")</f>
        <v/>
      </c>
      <c r="E90" s="9">
        <f>IF(AND(matrizOK,$A90&lt;=nVariables,'M3'!$C$9&gt;0),'M3'!H32,"")</f>
        <v/>
      </c>
      <c r="F90" s="9">
        <f>IF(AND(matrizOK,$A90&lt;=nVariables,'M4'!$C$9&gt;0),'M4'!H32,"")</f>
        <v/>
      </c>
      <c r="G90" s="9">
        <f>IF(AND(matrizOK,$A90&lt;=nVariables,'M5'!$C$9&gt;0),'M5'!H32,"")</f>
        <v/>
      </c>
      <c r="H90" s="9">
        <f>IF(AND(matrizOK,$A90&lt;=nVariables,'M6'!$C$9&gt;0),'M6'!H32,"")</f>
        <v/>
      </c>
    </row>
    <row r="91" ht="21" customHeight="1" s="62">
      <c r="A91" s="6" t="n">
        <v>24</v>
      </c>
      <c r="B91" s="81">
        <f>IF($A91&lt;=nVariables,M!B33,"")</f>
        <v/>
      </c>
      <c r="C91" s="9">
        <f>IF(AND(matrizOK,$A91&lt;=nVariables,'M1'!$C$9&gt;0),'M1'!H33,"")</f>
        <v/>
      </c>
      <c r="D91" s="9">
        <f>IF(AND(matrizOK,$A91&lt;=nVariables,'M2'!$C$9&gt;0),'M2'!H33,"")</f>
        <v/>
      </c>
      <c r="E91" s="9">
        <f>IF(AND(matrizOK,$A91&lt;=nVariables,'M3'!$C$9&gt;0),'M3'!H33,"")</f>
        <v/>
      </c>
      <c r="F91" s="9">
        <f>IF(AND(matrizOK,$A91&lt;=nVariables,'M4'!$C$9&gt;0),'M4'!H33,"")</f>
        <v/>
      </c>
      <c r="G91" s="9">
        <f>IF(AND(matrizOK,$A91&lt;=nVariables,'M5'!$C$9&gt;0),'M5'!H33,"")</f>
        <v/>
      </c>
      <c r="H91" s="9">
        <f>IF(AND(matrizOK,$A91&lt;=nVariables,'M6'!$C$9&gt;0),'M6'!H33,"")</f>
        <v/>
      </c>
    </row>
    <row r="92" ht="21" customHeight="1" s="62">
      <c r="A92" s="6" t="n">
        <v>25</v>
      </c>
      <c r="B92" s="81">
        <f>IF($A92&lt;=nVariables,M!B34,"")</f>
        <v/>
      </c>
      <c r="C92" s="9">
        <f>IF(AND(matrizOK,$A92&lt;=nVariables,'M1'!$C$9&gt;0),'M1'!H34,"")</f>
        <v/>
      </c>
      <c r="D92" s="9">
        <f>IF(AND(matrizOK,$A92&lt;=nVariables,'M2'!$C$9&gt;0),'M2'!H34,"")</f>
        <v/>
      </c>
      <c r="E92" s="9">
        <f>IF(AND(matrizOK,$A92&lt;=nVariables,'M3'!$C$9&gt;0),'M3'!H34,"")</f>
        <v/>
      </c>
      <c r="F92" s="9">
        <f>IF(AND(matrizOK,$A92&lt;=nVariables,'M4'!$C$9&gt;0),'M4'!H34,"")</f>
        <v/>
      </c>
      <c r="G92" s="9">
        <f>IF(AND(matrizOK,$A92&lt;=nVariables,'M5'!$C$9&gt;0),'M5'!H34,"")</f>
        <v/>
      </c>
      <c r="H92" s="9">
        <f>IF(AND(matrizOK,$A92&lt;=nVariables,'M6'!$C$9&gt;0),'M6'!H34,"")</f>
        <v/>
      </c>
    </row>
    <row r="93" ht="21" customHeight="1" s="62">
      <c r="A93" s="6" t="n">
        <v>26</v>
      </c>
      <c r="B93" s="81">
        <f>IF($A93&lt;=nVariables,M!B35,"")</f>
        <v/>
      </c>
      <c r="C93" s="9">
        <f>IF(AND(matrizOK,$A93&lt;=nVariables,'M1'!$C$9&gt;0),'M1'!H35,"")</f>
        <v/>
      </c>
      <c r="D93" s="9">
        <f>IF(AND(matrizOK,$A93&lt;=nVariables,'M2'!$C$9&gt;0),'M2'!H35,"")</f>
        <v/>
      </c>
      <c r="E93" s="9">
        <f>IF(AND(matrizOK,$A93&lt;=nVariables,'M3'!$C$9&gt;0),'M3'!H35,"")</f>
        <v/>
      </c>
      <c r="F93" s="9">
        <f>IF(AND(matrizOK,$A93&lt;=nVariables,'M4'!$C$9&gt;0),'M4'!H35,"")</f>
        <v/>
      </c>
      <c r="G93" s="9">
        <f>IF(AND(matrizOK,$A93&lt;=nVariables,'M5'!$C$9&gt;0),'M5'!H35,"")</f>
        <v/>
      </c>
      <c r="H93" s="9">
        <f>IF(AND(matrizOK,$A93&lt;=nVariables,'M6'!$C$9&gt;0),'M6'!H35,"")</f>
        <v/>
      </c>
    </row>
    <row r="94" ht="21" customHeight="1" s="62">
      <c r="A94" s="6" t="n">
        <v>27</v>
      </c>
      <c r="B94" s="81">
        <f>IF($A94&lt;=nVariables,M!B36,"")</f>
        <v/>
      </c>
      <c r="C94" s="9">
        <f>IF(AND(matrizOK,$A94&lt;=nVariables,'M1'!$C$9&gt;0),'M1'!H36,"")</f>
        <v/>
      </c>
      <c r="D94" s="9">
        <f>IF(AND(matrizOK,$A94&lt;=nVariables,'M2'!$C$9&gt;0),'M2'!H36,"")</f>
        <v/>
      </c>
      <c r="E94" s="9">
        <f>IF(AND(matrizOK,$A94&lt;=nVariables,'M3'!$C$9&gt;0),'M3'!H36,"")</f>
        <v/>
      </c>
      <c r="F94" s="9">
        <f>IF(AND(matrizOK,$A94&lt;=nVariables,'M4'!$C$9&gt;0),'M4'!H36,"")</f>
        <v/>
      </c>
      <c r="G94" s="9">
        <f>IF(AND(matrizOK,$A94&lt;=nVariables,'M5'!$C$9&gt;0),'M5'!H36,"")</f>
        <v/>
      </c>
      <c r="H94" s="9">
        <f>IF(AND(matrizOK,$A94&lt;=nVariables,'M6'!$C$9&gt;0),'M6'!H36,"")</f>
        <v/>
      </c>
    </row>
    <row r="95" ht="21" customHeight="1" s="62">
      <c r="A95" s="6" t="n">
        <v>28</v>
      </c>
      <c r="B95" s="81">
        <f>IF($A95&lt;=nVariables,M!B37,"")</f>
        <v/>
      </c>
      <c r="C95" s="9">
        <f>IF(AND(matrizOK,$A95&lt;=nVariables,'M1'!$C$9&gt;0),'M1'!H37,"")</f>
        <v/>
      </c>
      <c r="D95" s="9">
        <f>IF(AND(matrizOK,$A95&lt;=nVariables,'M2'!$C$9&gt;0),'M2'!H37,"")</f>
        <v/>
      </c>
      <c r="E95" s="9">
        <f>IF(AND(matrizOK,$A95&lt;=nVariables,'M3'!$C$9&gt;0),'M3'!H37,"")</f>
        <v/>
      </c>
      <c r="F95" s="9">
        <f>IF(AND(matrizOK,$A95&lt;=nVariables,'M4'!$C$9&gt;0),'M4'!H37,"")</f>
        <v/>
      </c>
      <c r="G95" s="9">
        <f>IF(AND(matrizOK,$A95&lt;=nVariables,'M5'!$C$9&gt;0),'M5'!H37,"")</f>
        <v/>
      </c>
      <c r="H95" s="9">
        <f>IF(AND(matrizOK,$A95&lt;=nVariables,'M6'!$C$9&gt;0),'M6'!H37,"")</f>
        <v/>
      </c>
    </row>
    <row r="96" ht="21" customHeight="1" s="62">
      <c r="A96" s="6" t="n">
        <v>29</v>
      </c>
      <c r="B96" s="81">
        <f>IF($A96&lt;=nVariables,M!B38,"")</f>
        <v/>
      </c>
      <c r="C96" s="9">
        <f>IF(AND(matrizOK,$A96&lt;=nVariables,'M1'!$C$9&gt;0),'M1'!H38,"")</f>
        <v/>
      </c>
      <c r="D96" s="9">
        <f>IF(AND(matrizOK,$A96&lt;=nVariables,'M2'!$C$9&gt;0),'M2'!H38,"")</f>
        <v/>
      </c>
      <c r="E96" s="9">
        <f>IF(AND(matrizOK,$A96&lt;=nVariables,'M3'!$C$9&gt;0),'M3'!H38,"")</f>
        <v/>
      </c>
      <c r="F96" s="9">
        <f>IF(AND(matrizOK,$A96&lt;=nVariables,'M4'!$C$9&gt;0),'M4'!H38,"")</f>
        <v/>
      </c>
      <c r="G96" s="9">
        <f>IF(AND(matrizOK,$A96&lt;=nVariables,'M5'!$C$9&gt;0),'M5'!H38,"")</f>
        <v/>
      </c>
      <c r="H96" s="9">
        <f>IF(AND(matrizOK,$A96&lt;=nVariables,'M6'!$C$9&gt;0),'M6'!H38,"")</f>
        <v/>
      </c>
    </row>
    <row r="97" ht="21" customHeight="1" s="62">
      <c r="A97" s="6" t="n">
        <v>30</v>
      </c>
      <c r="B97" s="81">
        <f>IF($A97&lt;=nVariables,M!B39,"")</f>
        <v/>
      </c>
      <c r="C97" s="9">
        <f>IF(AND(matrizOK,$A97&lt;=nVariables,'M1'!$C$9&gt;0),'M1'!H39,"")</f>
        <v/>
      </c>
      <c r="D97" s="9">
        <f>IF(AND(matrizOK,$A97&lt;=nVariables,'M2'!$C$9&gt;0),'M2'!H39,"")</f>
        <v/>
      </c>
      <c r="E97" s="9">
        <f>IF(AND(matrizOK,$A97&lt;=nVariables,'M3'!$C$9&gt;0),'M3'!H39,"")</f>
        <v/>
      </c>
      <c r="F97" s="9">
        <f>IF(AND(matrizOK,$A97&lt;=nVariables,'M4'!$C$9&gt;0),'M4'!H39,"")</f>
        <v/>
      </c>
      <c r="G97" s="9">
        <f>IF(AND(matrizOK,$A97&lt;=nVariables,'M5'!$C$9&gt;0),'M5'!H39,"")</f>
        <v/>
      </c>
      <c r="H97" s="9">
        <f>IF(AND(matrizOK,$A97&lt;=nVariables,'M6'!$C$9&gt;0),'M6'!H39,"")</f>
        <v/>
      </c>
    </row>
    <row r="98" ht="21" customHeight="1" s="62">
      <c r="A98" s="6" t="n">
        <v>31</v>
      </c>
      <c r="B98" s="81">
        <f>IF($A98&lt;=nVariables,M!B40,"")</f>
        <v/>
      </c>
      <c r="C98" s="9">
        <f>IF(AND(matrizOK,$A98&lt;=nVariables,'M1'!$C$9&gt;0),'M1'!H40,"")</f>
        <v/>
      </c>
      <c r="D98" s="9">
        <f>IF(AND(matrizOK,$A98&lt;=nVariables,'M2'!$C$9&gt;0),'M2'!H40,"")</f>
        <v/>
      </c>
      <c r="E98" s="9">
        <f>IF(AND(matrizOK,$A98&lt;=nVariables,'M3'!$C$9&gt;0),'M3'!H40,"")</f>
        <v/>
      </c>
      <c r="F98" s="9">
        <f>IF(AND(matrizOK,$A98&lt;=nVariables,'M4'!$C$9&gt;0),'M4'!H40,"")</f>
        <v/>
      </c>
      <c r="G98" s="9">
        <f>IF(AND(matrizOK,$A98&lt;=nVariables,'M5'!$C$9&gt;0),'M5'!H40,"")</f>
        <v/>
      </c>
      <c r="H98" s="9">
        <f>IF(AND(matrizOK,$A98&lt;=nVariables,'M6'!$C$9&gt;0),'M6'!H40,"")</f>
        <v/>
      </c>
    </row>
    <row r="99" ht="21" customHeight="1" s="62">
      <c r="A99" s="6" t="n">
        <v>32</v>
      </c>
      <c r="B99" s="81">
        <f>IF($A99&lt;=nVariables,M!B41,"")</f>
        <v/>
      </c>
      <c r="C99" s="9">
        <f>IF(AND(matrizOK,$A99&lt;=nVariables,'M1'!$C$9&gt;0),'M1'!H41,"")</f>
        <v/>
      </c>
      <c r="D99" s="9">
        <f>IF(AND(matrizOK,$A99&lt;=nVariables,'M2'!$C$9&gt;0),'M2'!H41,"")</f>
        <v/>
      </c>
      <c r="E99" s="9">
        <f>IF(AND(matrizOK,$A99&lt;=nVariables,'M3'!$C$9&gt;0),'M3'!H41,"")</f>
        <v/>
      </c>
      <c r="F99" s="9">
        <f>IF(AND(matrizOK,$A99&lt;=nVariables,'M4'!$C$9&gt;0),'M4'!H41,"")</f>
        <v/>
      </c>
      <c r="G99" s="9">
        <f>IF(AND(matrizOK,$A99&lt;=nVariables,'M5'!$C$9&gt;0),'M5'!H41,"")</f>
        <v/>
      </c>
      <c r="H99" s="9">
        <f>IF(AND(matrizOK,$A99&lt;=nVariables,'M6'!$C$9&gt;0),'M6'!H41,"")</f>
        <v/>
      </c>
    </row>
    <row r="100" ht="21" customHeight="1" s="62">
      <c r="A100" s="6" t="n">
        <v>33</v>
      </c>
      <c r="B100" s="81">
        <f>IF($A100&lt;=nVariables,M!B42,"")</f>
        <v/>
      </c>
      <c r="C100" s="9">
        <f>IF(AND(matrizOK,$A100&lt;=nVariables,'M1'!$C$9&gt;0),'M1'!H42,"")</f>
        <v/>
      </c>
      <c r="D100" s="9">
        <f>IF(AND(matrizOK,$A100&lt;=nVariables,'M2'!$C$9&gt;0),'M2'!H42,"")</f>
        <v/>
      </c>
      <c r="E100" s="9">
        <f>IF(AND(matrizOK,$A100&lt;=nVariables,'M3'!$C$9&gt;0),'M3'!H42,"")</f>
        <v/>
      </c>
      <c r="F100" s="9">
        <f>IF(AND(matrizOK,$A100&lt;=nVariables,'M4'!$C$9&gt;0),'M4'!H42,"")</f>
        <v/>
      </c>
      <c r="G100" s="9">
        <f>IF(AND(matrizOK,$A100&lt;=nVariables,'M5'!$C$9&gt;0),'M5'!H42,"")</f>
        <v/>
      </c>
      <c r="H100" s="9">
        <f>IF(AND(matrizOK,$A100&lt;=nVariables,'M6'!$C$9&gt;0),'M6'!H42,"")</f>
        <v/>
      </c>
    </row>
    <row r="101" ht="21" customHeight="1" s="62">
      <c r="A101" s="6" t="n">
        <v>34</v>
      </c>
      <c r="B101" s="81">
        <f>IF($A101&lt;=nVariables,M!B43,"")</f>
        <v/>
      </c>
      <c r="C101" s="9">
        <f>IF(AND(matrizOK,$A101&lt;=nVariables,'M1'!$C$9&gt;0),'M1'!H43,"")</f>
        <v/>
      </c>
      <c r="D101" s="9">
        <f>IF(AND(matrizOK,$A101&lt;=nVariables,'M2'!$C$9&gt;0),'M2'!H43,"")</f>
        <v/>
      </c>
      <c r="E101" s="9">
        <f>IF(AND(matrizOK,$A101&lt;=nVariables,'M3'!$C$9&gt;0),'M3'!H43,"")</f>
        <v/>
      </c>
      <c r="F101" s="9">
        <f>IF(AND(matrizOK,$A101&lt;=nVariables,'M4'!$C$9&gt;0),'M4'!H43,"")</f>
        <v/>
      </c>
      <c r="G101" s="9">
        <f>IF(AND(matrizOK,$A101&lt;=nVariables,'M5'!$C$9&gt;0),'M5'!H43,"")</f>
        <v/>
      </c>
      <c r="H101" s="9">
        <f>IF(AND(matrizOK,$A101&lt;=nVariables,'M6'!$C$9&gt;0),'M6'!H43,"")</f>
        <v/>
      </c>
    </row>
    <row r="102" ht="21" customHeight="1" s="62">
      <c r="A102" s="6" t="n">
        <v>35</v>
      </c>
      <c r="B102" s="81">
        <f>IF($A102&lt;=nVariables,M!B44,"")</f>
        <v/>
      </c>
      <c r="C102" s="9">
        <f>IF(AND(matrizOK,$A102&lt;=nVariables,'M1'!$C$9&gt;0),'M1'!H44,"")</f>
        <v/>
      </c>
      <c r="D102" s="9">
        <f>IF(AND(matrizOK,$A102&lt;=nVariables,'M2'!$C$9&gt;0),'M2'!H44,"")</f>
        <v/>
      </c>
      <c r="E102" s="9">
        <f>IF(AND(matrizOK,$A102&lt;=nVariables,'M3'!$C$9&gt;0),'M3'!H44,"")</f>
        <v/>
      </c>
      <c r="F102" s="9">
        <f>IF(AND(matrizOK,$A102&lt;=nVariables,'M4'!$C$9&gt;0),'M4'!H44,"")</f>
        <v/>
      </c>
      <c r="G102" s="9">
        <f>IF(AND(matrizOK,$A102&lt;=nVariables,'M5'!$C$9&gt;0),'M5'!H44,"")</f>
        <v/>
      </c>
      <c r="H102" s="9">
        <f>IF(AND(matrizOK,$A102&lt;=nVariables,'M6'!$C$9&gt;0),'M6'!H44,"")</f>
        <v/>
      </c>
    </row>
    <row r="103" ht="21" customHeight="1" s="62">
      <c r="A103" s="6" t="n">
        <v>36</v>
      </c>
      <c r="B103" s="81">
        <f>IF($A103&lt;=nVariables,M!B45,"")</f>
        <v/>
      </c>
      <c r="C103" s="9">
        <f>IF(AND(matrizOK,$A103&lt;=nVariables,'M1'!$C$9&gt;0),'M1'!H45,"")</f>
        <v/>
      </c>
      <c r="D103" s="9">
        <f>IF(AND(matrizOK,$A103&lt;=nVariables,'M2'!$C$9&gt;0),'M2'!H45,"")</f>
        <v/>
      </c>
      <c r="E103" s="9">
        <f>IF(AND(matrizOK,$A103&lt;=nVariables,'M3'!$C$9&gt;0),'M3'!H45,"")</f>
        <v/>
      </c>
      <c r="F103" s="9">
        <f>IF(AND(matrizOK,$A103&lt;=nVariables,'M4'!$C$9&gt;0),'M4'!H45,"")</f>
        <v/>
      </c>
      <c r="G103" s="9">
        <f>IF(AND(matrizOK,$A103&lt;=nVariables,'M5'!$C$9&gt;0),'M5'!H45,"")</f>
        <v/>
      </c>
      <c r="H103" s="9">
        <f>IF(AND(matrizOK,$A103&lt;=nVariables,'M6'!$C$9&gt;0),'M6'!H45,"")</f>
        <v/>
      </c>
    </row>
    <row r="104" ht="21" customHeight="1" s="62">
      <c r="A104" s="6" t="n">
        <v>37</v>
      </c>
      <c r="B104" s="81">
        <f>IF($A104&lt;=nVariables,M!B46,"")</f>
        <v/>
      </c>
      <c r="C104" s="9">
        <f>IF(AND(matrizOK,$A104&lt;=nVariables,'M1'!$C$9&gt;0),'M1'!H46,"")</f>
        <v/>
      </c>
      <c r="D104" s="9">
        <f>IF(AND(matrizOK,$A104&lt;=nVariables,'M2'!$C$9&gt;0),'M2'!H46,"")</f>
        <v/>
      </c>
      <c r="E104" s="9">
        <f>IF(AND(matrizOK,$A104&lt;=nVariables,'M3'!$C$9&gt;0),'M3'!H46,"")</f>
        <v/>
      </c>
      <c r="F104" s="9">
        <f>IF(AND(matrizOK,$A104&lt;=nVariables,'M4'!$C$9&gt;0),'M4'!H46,"")</f>
        <v/>
      </c>
      <c r="G104" s="9">
        <f>IF(AND(matrizOK,$A104&lt;=nVariables,'M5'!$C$9&gt;0),'M5'!H46,"")</f>
        <v/>
      </c>
      <c r="H104" s="9">
        <f>IF(AND(matrizOK,$A104&lt;=nVariables,'M6'!$C$9&gt;0),'M6'!H46,"")</f>
        <v/>
      </c>
    </row>
    <row r="105" ht="21" customHeight="1" s="62">
      <c r="A105" s="6" t="n">
        <v>38</v>
      </c>
      <c r="B105" s="81">
        <f>IF($A105&lt;=nVariables,M!B47,"")</f>
        <v/>
      </c>
      <c r="C105" s="9">
        <f>IF(AND(matrizOK,$A105&lt;=nVariables,'M1'!$C$9&gt;0),'M1'!H47,"")</f>
        <v/>
      </c>
      <c r="D105" s="9">
        <f>IF(AND(matrizOK,$A105&lt;=nVariables,'M2'!$C$9&gt;0),'M2'!H47,"")</f>
        <v/>
      </c>
      <c r="E105" s="9">
        <f>IF(AND(matrizOK,$A105&lt;=nVariables,'M3'!$C$9&gt;0),'M3'!H47,"")</f>
        <v/>
      </c>
      <c r="F105" s="9">
        <f>IF(AND(matrizOK,$A105&lt;=nVariables,'M4'!$C$9&gt;0),'M4'!H47,"")</f>
        <v/>
      </c>
      <c r="G105" s="9">
        <f>IF(AND(matrizOK,$A105&lt;=nVariables,'M5'!$C$9&gt;0),'M5'!H47,"")</f>
        <v/>
      </c>
      <c r="H105" s="9">
        <f>IF(AND(matrizOK,$A105&lt;=nVariables,'M6'!$C$9&gt;0),'M6'!H47,"")</f>
        <v/>
      </c>
    </row>
    <row r="106" ht="21" customHeight="1" s="62">
      <c r="A106" s="6" t="n">
        <v>39</v>
      </c>
      <c r="B106" s="81">
        <f>IF($A106&lt;=nVariables,M!B48,"")</f>
        <v/>
      </c>
      <c r="C106" s="9">
        <f>IF(AND(matrizOK,$A106&lt;=nVariables,'M1'!$C$9&gt;0),'M1'!H48,"")</f>
        <v/>
      </c>
      <c r="D106" s="9">
        <f>IF(AND(matrizOK,$A106&lt;=nVariables,'M2'!$C$9&gt;0),'M2'!H48,"")</f>
        <v/>
      </c>
      <c r="E106" s="9">
        <f>IF(AND(matrizOK,$A106&lt;=nVariables,'M3'!$C$9&gt;0),'M3'!H48,"")</f>
        <v/>
      </c>
      <c r="F106" s="9">
        <f>IF(AND(matrizOK,$A106&lt;=nVariables,'M4'!$C$9&gt;0),'M4'!H48,"")</f>
        <v/>
      </c>
      <c r="G106" s="9">
        <f>IF(AND(matrizOK,$A106&lt;=nVariables,'M5'!$C$9&gt;0),'M5'!H48,"")</f>
        <v/>
      </c>
      <c r="H106" s="9">
        <f>IF(AND(matrizOK,$A106&lt;=nVariables,'M6'!$C$9&gt;0),'M6'!H48,"")</f>
        <v/>
      </c>
    </row>
    <row r="107" ht="21" customHeight="1" s="62">
      <c r="A107" s="6" t="n">
        <v>40</v>
      </c>
      <c r="B107" s="81">
        <f>IF($A107&lt;=nVariables,M!B49,"")</f>
        <v/>
      </c>
      <c r="C107" s="9">
        <f>IF(AND(matrizOK,$A107&lt;=nVariables,'M1'!$C$9&gt;0),'M1'!H49,"")</f>
        <v/>
      </c>
      <c r="D107" s="9">
        <f>IF(AND(matrizOK,$A107&lt;=nVariables,'M2'!$C$9&gt;0),'M2'!H49,"")</f>
        <v/>
      </c>
      <c r="E107" s="9">
        <f>IF(AND(matrizOK,$A107&lt;=nVariables,'M3'!$C$9&gt;0),'M3'!H49,"")</f>
        <v/>
      </c>
      <c r="F107" s="9">
        <f>IF(AND(matrizOK,$A107&lt;=nVariables,'M4'!$C$9&gt;0),'M4'!H49,"")</f>
        <v/>
      </c>
      <c r="G107" s="9">
        <f>IF(AND(matrizOK,$A107&lt;=nVariables,'M5'!$C$9&gt;0),'M5'!H49,"")</f>
        <v/>
      </c>
      <c r="H107" s="9">
        <f>IF(AND(matrizOK,$A107&lt;=nVariables,'M6'!$C$9&gt;0),'M6'!H49,"")</f>
        <v/>
      </c>
    </row>
    <row r="109" ht="20" customHeight="1" s="62">
      <c r="A109" s="63" t="inlineStr">
        <is>
          <t>Las celdas resaltadas en azul marcan un cambio de rango respecto de la potencia anterior.</t>
        </is>
      </c>
    </row>
  </sheetData>
  <mergeCells count="12">
    <mergeCell ref="A12:H12"/>
    <mergeCell ref="A3:H3"/>
    <mergeCell ref="E6:F6"/>
    <mergeCell ref="A109:H109"/>
    <mergeCell ref="E7:F7"/>
    <mergeCell ref="E10:F10"/>
    <mergeCell ref="A2:H2"/>
    <mergeCell ref="E5:F5"/>
    <mergeCell ref="A11:H11"/>
    <mergeCell ref="A1:H1"/>
    <mergeCell ref="E9:F9"/>
    <mergeCell ref="E8:F8"/>
  </mergeCells>
  <conditionalFormatting sqref="A25:H64">
    <cfRule type="expression" priority="1" dxfId="4" stopIfTrue="1">
      <formula>$A25&gt;nVariables</formula>
    </cfRule>
    <cfRule type="expression" priority="3" dxfId="3">
      <formula>$A25&lt;=nVariables</formula>
    </cfRule>
  </conditionalFormatting>
  <conditionalFormatting sqref="A68:H107">
    <cfRule type="expression" priority="4" dxfId="4" stopIfTrue="1">
      <formula>$A68&gt;nVariables</formula>
    </cfRule>
    <cfRule type="expression" priority="6" dxfId="3">
      <formula>$A68&lt;=nVariables</formula>
    </cfRule>
  </conditionalFormatting>
  <conditionalFormatting sqref="D25:H64">
    <cfRule type="expression" priority="2" dxfId="22" stopIfTrue="1">
      <formula>AND(ISNUMBER(D25),ISNUMBER(C25),D25&lt;&gt;C25)</formula>
    </cfRule>
  </conditionalFormatting>
  <conditionalFormatting sqref="D68:H107">
    <cfRule type="expression" priority="5" dxfId="22" stopIfTrue="1">
      <formula>AND(ISNUMBER(D68),ISNUMBER(C68),D68&lt;&gt;C68)</formula>
    </cfRule>
  </conditionalFormatting>
  <pageMargins left="0.75" right="0.75" top="1" bottom="1" header="0.5" footer="0.5"/>
  <pageSetup orientation="landscape" fitToHeight="0"/>
</worksheet>
</file>

<file path=xl/worksheets/sheet10.xml><?xml version="1.0" encoding="utf-8"?>
<worksheet xmlns="http://schemas.openxmlformats.org/spreadsheetml/2006/main">
  <sheetPr>
    <tabColor rgb="FF6699CC"/>
    <outlinePr summaryBelow="1" summaryRight="1"/>
    <pageSetUpPr fitToPage="1"/>
  </sheetPr>
  <dimension ref="A1:H91"/>
  <sheetViews>
    <sheetView showGridLines="0" zoomScale="80" workbookViewId="0">
      <pane ySplit="4" topLeftCell="A6" activePane="bottomLeft" state="frozen"/>
      <selection pane="bottomLeft" activeCell="A1" sqref="A1:H1"/>
    </sheetView>
  </sheetViews>
  <sheetFormatPr baseColWidth="10" defaultColWidth="8.83203125" defaultRowHeight="15"/>
  <cols>
    <col width="7" customWidth="1" style="62" min="1" max="1"/>
    <col width="44" customWidth="1" style="62" min="2" max="2"/>
    <col width="16" customWidth="1" style="62" min="3" max="3"/>
    <col width="14" customWidth="1" style="62" min="4" max="4"/>
    <col width="16" customWidth="1" style="62" min="5" max="5"/>
    <col width="62" customWidth="1" style="62" min="6" max="6"/>
    <col width="52" customWidth="1" style="62" min="7" max="7"/>
    <col width="24" customWidth="1" style="62" min="8" max="8"/>
  </cols>
  <sheetData>
    <row r="1" ht="28" customHeight="1" s="62">
      <c r="A1" s="73">
        <f>"Árbol de Problemas · "&amp;IF(nombreEstudio&lt;&gt;"",nombreEstudio,"sistema analizado")</f>
        <v/>
      </c>
    </row>
    <row r="2" ht="30" customHeight="1" s="62">
      <c r="A2" s="63" t="inlineStr">
        <is>
          <t>Estructura derivada del análisis estructural (MICMAC). El cuadrante de cada variable en M6 determina su posición en el árbol: Motriz = causa raíz · Enlace = causa directa · Resultado = efecto · Autónoma = fuera del alcance.</t>
        </is>
      </c>
    </row>
    <row r="3" ht="30" customHeight="1" s="62">
      <c r="A3" s="63" t="inlineStr">
        <is>
          <t>Celdas azul claro (efecto final, problema central y enunciados): escriba aquí su redacción para el proyecto. El resto se calcula solo desde las hojas M y M6. El esquema gráfico se genera en SVG (hoja SVG).</t>
        </is>
      </c>
    </row>
    <row r="4" ht="24" customHeight="1" s="62">
      <c r="A4" s="61">
        <f>IF(matrizOK,"Matriz M validada. La clasificación proviene de M6 (relaciones indirectas).","Complete y corrija M: la clasificación no es válida.")</f>
        <v/>
      </c>
    </row>
    <row r="6" ht="22" customHeight="1" s="62">
      <c r="A6" s="70" t="inlineStr">
        <is>
          <t>②  REDACCIÓN DEL ÁRBOL · escriba en las celdas azul claro</t>
        </is>
      </c>
    </row>
    <row r="7" ht="46" customHeight="1" s="62">
      <c r="B7" s="38" t="inlineStr">
        <is>
          <t>Efecto final (arriba del árbol)</t>
        </is>
      </c>
      <c r="C7" s="78" t="n"/>
      <c r="D7" s="90" t="n"/>
      <c r="E7" s="90" t="n"/>
      <c r="F7" s="90" t="n"/>
      <c r="G7" s="91" t="n"/>
    </row>
    <row r="8" ht="46" customHeight="1" s="62">
      <c r="B8" s="38" t="inlineStr">
        <is>
          <t>Problema central</t>
        </is>
      </c>
      <c r="C8" s="78" t="n"/>
      <c r="D8" s="90" t="n"/>
      <c r="E8" s="90" t="n"/>
      <c r="F8" s="90" t="n"/>
      <c r="G8" s="91" t="n"/>
    </row>
    <row r="10" ht="22" customHeight="1" s="62">
      <c r="A10" s="70" t="inlineStr">
        <is>
          <t>RESUMEN POR NIVEL · se actualiza solo</t>
        </is>
      </c>
    </row>
    <row r="11" ht="34" customHeight="1" s="62">
      <c r="B11" s="39">
        <f>"① EFECTOS ("&amp;IF(matrizOK,COUNTIF('M6'!$I$10:$I$49,"Resultado"),0)&amp;")"</f>
        <v/>
      </c>
      <c r="C11" s="76">
        <f>IF(matrizOK,aux_Árbol!D109,"")</f>
        <v/>
      </c>
    </row>
    <row r="12" ht="34" customHeight="1" s="62">
      <c r="B12" s="40">
        <f>"③ CAUSAS DIRECTAS ("&amp;IF(matrizOK,COUNTIF('M6'!$I$10:$I$49,"Enlace"),0)&amp;")"</f>
        <v/>
      </c>
      <c r="C12" s="74">
        <f>IF(matrizOK,aux_Árbol!E109,"")</f>
        <v/>
      </c>
    </row>
    <row r="13" ht="34" customHeight="1" s="62">
      <c r="B13" s="41">
        <f>"④ CAUSAS RAÍZ ("&amp;IF(matrizOK,COUNTIF('M6'!$I$10:$I$49,"Motriz"),0)&amp;")"</f>
        <v/>
      </c>
      <c r="C13" s="79">
        <f>IF(matrizOK,aux_Árbol!F109,"")</f>
        <v/>
      </c>
    </row>
    <row r="14" ht="34" customHeight="1" s="62">
      <c r="B14" s="61">
        <f>"⑤ FUERA DEL ALCANCE ("&amp;IF(matrizOK,COUNTIF('M6'!$I$10:$I$49,"Autónoma"),0)&amp;")"</f>
        <v/>
      </c>
      <c r="C14" s="71">
        <f>IF(matrizOK,aux_Árbol!G109,"")</f>
        <v/>
      </c>
    </row>
    <row r="16" ht="22" customHeight="1" s="62">
      <c r="A16" s="70" t="inlineStr">
        <is>
          <t>CLASIFICACIÓN Y ENUNCIADOS · variable por variable</t>
        </is>
      </c>
    </row>
    <row r="17" ht="30" customHeight="1" s="62">
      <c r="A17" s="63" t="inlineStr">
        <is>
          <t>Escriba en la columna F (celdas azul claro) cómo quiere redactar cada variable dentro del árbol (por ejemplo, como problema o causa). Si la deja vacía, el esquema SVG muestra una descripción genérica del nivel.</t>
        </is>
      </c>
    </row>
    <row r="18" ht="36" customHeight="1" s="62">
      <c r="A18" s="69" t="inlineStr">
        <is>
          <t>N.º</t>
        </is>
      </c>
      <c r="B18" s="69" t="inlineStr">
        <is>
          <t>Variable</t>
        </is>
      </c>
      <c r="C18" s="69" t="inlineStr">
        <is>
          <t>Cuadrante M6</t>
        </is>
      </c>
      <c r="D18" s="69" t="inlineStr">
        <is>
          <t>Rango influencia</t>
        </is>
      </c>
      <c r="E18" s="69" t="inlineStr">
        <is>
          <t>Rango dependencia</t>
        </is>
      </c>
      <c r="F18" s="69" t="inlineStr">
        <is>
          <t>Enunciado para el documento  (escriba aquí)</t>
        </is>
      </c>
      <c r="G18" s="69" t="inlineStr">
        <is>
          <t>Rol en la formulación</t>
        </is>
      </c>
      <c r="H18" s="69" t="inlineStr">
        <is>
          <t>Nivel en el árbol</t>
        </is>
      </c>
    </row>
    <row r="19" ht="32" customHeight="1" s="62">
      <c r="A19" s="6" t="n">
        <v>1</v>
      </c>
      <c r="B19" s="81">
        <f>IF($A19&lt;=nVariables,M!B10,"")</f>
        <v/>
      </c>
      <c r="C19" s="10">
        <f>IF(AND(matrizOK,$A19&lt;=nVariables),'M6'!I10,"")</f>
        <v/>
      </c>
      <c r="D19" s="9">
        <f>IF(AND(matrizOK,$A19&lt;=nVariables,'M6'!$C$9&gt;0),'M6'!G10,"")</f>
        <v/>
      </c>
      <c r="E19" s="9">
        <f>IF(AND(matrizOK,$A19&lt;=nVariables,'M6'!$C$9&gt;0),'M6'!H10,"")</f>
        <v/>
      </c>
      <c r="F19" s="66" t="n"/>
      <c r="G19" s="63">
        <f>IF(C19="","",IF(C19="Resultado","Indicador de resultado — sirve para medir, no para intervenir",IF(C19="Enlace","Riesgo / supuesto — vigilar y monitorear",IF(C19="Motriz","COMPONENTE DEL PROYECTO — aquí se interviene",IF(C19="Autónoma","Fuera del alcance — se documenta, no se interviene",""))))&amp;IF(D19=1," · 1.ª en influencia del sistema","")&amp;IF(E19=1," · 1.ª en dependencia del sistema",""))</f>
        <v/>
      </c>
      <c r="H19" s="10">
        <f>IF(C19="Resultado","① Efecto",IF(C19="Enlace","③ Causa directa",IF(C19="Motriz","④ Causa raíz",IF(C19="Autónoma","⑤ Fuera del alcance",""))))</f>
        <v/>
      </c>
    </row>
    <row r="20" ht="32" customHeight="1" s="62">
      <c r="A20" s="6" t="n">
        <v>2</v>
      </c>
      <c r="B20" s="81">
        <f>IF($A20&lt;=nVariables,M!B11,"")</f>
        <v/>
      </c>
      <c r="C20" s="10">
        <f>IF(AND(matrizOK,$A20&lt;=nVariables),'M6'!I11,"")</f>
        <v/>
      </c>
      <c r="D20" s="9">
        <f>IF(AND(matrizOK,$A20&lt;=nVariables,'M6'!$C$9&gt;0),'M6'!G11,"")</f>
        <v/>
      </c>
      <c r="E20" s="9">
        <f>IF(AND(matrizOK,$A20&lt;=nVariables,'M6'!$C$9&gt;0),'M6'!H11,"")</f>
        <v/>
      </c>
      <c r="F20" s="66" t="n"/>
      <c r="G20" s="63">
        <f>IF(C20="","",IF(C20="Resultado","Indicador de resultado — sirve para medir, no para intervenir",IF(C20="Enlace","Riesgo / supuesto — vigilar y monitorear",IF(C20="Motriz","COMPONENTE DEL PROYECTO — aquí se interviene",IF(C20="Autónoma","Fuera del alcance — se documenta, no se interviene",""))))&amp;IF(D20=1," · 1.ª en influencia del sistema","")&amp;IF(E20=1," · 1.ª en dependencia del sistema",""))</f>
        <v/>
      </c>
      <c r="H20" s="10">
        <f>IF(C20="Resultado","① Efecto",IF(C20="Enlace","③ Causa directa",IF(C20="Motriz","④ Causa raíz",IF(C20="Autónoma","⑤ Fuera del alcance",""))))</f>
        <v/>
      </c>
    </row>
    <row r="21" ht="32" customHeight="1" s="62">
      <c r="A21" s="6" t="n">
        <v>3</v>
      </c>
      <c r="B21" s="81">
        <f>IF($A21&lt;=nVariables,M!B12,"")</f>
        <v/>
      </c>
      <c r="C21" s="10">
        <f>IF(AND(matrizOK,$A21&lt;=nVariables),'M6'!I12,"")</f>
        <v/>
      </c>
      <c r="D21" s="9">
        <f>IF(AND(matrizOK,$A21&lt;=nVariables,'M6'!$C$9&gt;0),'M6'!G12,"")</f>
        <v/>
      </c>
      <c r="E21" s="9">
        <f>IF(AND(matrizOK,$A21&lt;=nVariables,'M6'!$C$9&gt;0),'M6'!H12,"")</f>
        <v/>
      </c>
      <c r="F21" s="66" t="n"/>
      <c r="G21" s="63">
        <f>IF(C21="","",IF(C21="Resultado","Indicador de resultado — sirve para medir, no para intervenir",IF(C21="Enlace","Riesgo / supuesto — vigilar y monitorear",IF(C21="Motriz","COMPONENTE DEL PROYECTO — aquí se interviene",IF(C21="Autónoma","Fuera del alcance — se documenta, no se interviene",""))))&amp;IF(D21=1," · 1.ª en influencia del sistema","")&amp;IF(E21=1," · 1.ª en dependencia del sistema",""))</f>
        <v/>
      </c>
      <c r="H21" s="10">
        <f>IF(C21="Resultado","① Efecto",IF(C21="Enlace","③ Causa directa",IF(C21="Motriz","④ Causa raíz",IF(C21="Autónoma","⑤ Fuera del alcance",""))))</f>
        <v/>
      </c>
    </row>
    <row r="22" ht="32" customHeight="1" s="62">
      <c r="A22" s="6" t="n">
        <v>4</v>
      </c>
      <c r="B22" s="81">
        <f>IF($A22&lt;=nVariables,M!B13,"")</f>
        <v/>
      </c>
      <c r="C22" s="10">
        <f>IF(AND(matrizOK,$A22&lt;=nVariables),'M6'!I13,"")</f>
        <v/>
      </c>
      <c r="D22" s="9">
        <f>IF(AND(matrizOK,$A22&lt;=nVariables,'M6'!$C$9&gt;0),'M6'!G13,"")</f>
        <v/>
      </c>
      <c r="E22" s="9">
        <f>IF(AND(matrizOK,$A22&lt;=nVariables,'M6'!$C$9&gt;0),'M6'!H13,"")</f>
        <v/>
      </c>
      <c r="F22" s="66" t="n"/>
      <c r="G22" s="63">
        <f>IF(C22="","",IF(C22="Resultado","Indicador de resultado — sirve para medir, no para intervenir",IF(C22="Enlace","Riesgo / supuesto — vigilar y monitorear",IF(C22="Motriz","COMPONENTE DEL PROYECTO — aquí se interviene",IF(C22="Autónoma","Fuera del alcance — se documenta, no se interviene",""))))&amp;IF(D22=1," · 1.ª en influencia del sistema","")&amp;IF(E22=1," · 1.ª en dependencia del sistema",""))</f>
        <v/>
      </c>
      <c r="H22" s="10">
        <f>IF(C22="Resultado","① Efecto",IF(C22="Enlace","③ Causa directa",IF(C22="Motriz","④ Causa raíz",IF(C22="Autónoma","⑤ Fuera del alcance",""))))</f>
        <v/>
      </c>
    </row>
    <row r="23" ht="32" customHeight="1" s="62">
      <c r="A23" s="6" t="n">
        <v>5</v>
      </c>
      <c r="B23" s="81">
        <f>IF($A23&lt;=nVariables,M!B14,"")</f>
        <v/>
      </c>
      <c r="C23" s="10">
        <f>IF(AND(matrizOK,$A23&lt;=nVariables),'M6'!I14,"")</f>
        <v/>
      </c>
      <c r="D23" s="9">
        <f>IF(AND(matrizOK,$A23&lt;=nVariables,'M6'!$C$9&gt;0),'M6'!G14,"")</f>
        <v/>
      </c>
      <c r="E23" s="9">
        <f>IF(AND(matrizOK,$A23&lt;=nVariables,'M6'!$C$9&gt;0),'M6'!H14,"")</f>
        <v/>
      </c>
      <c r="F23" s="66" t="n"/>
      <c r="G23" s="63">
        <f>IF(C23="","",IF(C23="Resultado","Indicador de resultado — sirve para medir, no para intervenir",IF(C23="Enlace","Riesgo / supuesto — vigilar y monitorear",IF(C23="Motriz","COMPONENTE DEL PROYECTO — aquí se interviene",IF(C23="Autónoma","Fuera del alcance — se documenta, no se interviene",""))))&amp;IF(D23=1," · 1.ª en influencia del sistema","")&amp;IF(E23=1," · 1.ª en dependencia del sistema",""))</f>
        <v/>
      </c>
      <c r="H23" s="10">
        <f>IF(C23="Resultado","① Efecto",IF(C23="Enlace","③ Causa directa",IF(C23="Motriz","④ Causa raíz",IF(C23="Autónoma","⑤ Fuera del alcance",""))))</f>
        <v/>
      </c>
    </row>
    <row r="24" ht="32" customHeight="1" s="62">
      <c r="A24" s="6" t="n">
        <v>6</v>
      </c>
      <c r="B24" s="81">
        <f>IF($A24&lt;=nVariables,M!B15,"")</f>
        <v/>
      </c>
      <c r="C24" s="10">
        <f>IF(AND(matrizOK,$A24&lt;=nVariables),'M6'!I15,"")</f>
        <v/>
      </c>
      <c r="D24" s="9">
        <f>IF(AND(matrizOK,$A24&lt;=nVariables,'M6'!$C$9&gt;0),'M6'!G15,"")</f>
        <v/>
      </c>
      <c r="E24" s="9">
        <f>IF(AND(matrizOK,$A24&lt;=nVariables,'M6'!$C$9&gt;0),'M6'!H15,"")</f>
        <v/>
      </c>
      <c r="F24" s="66" t="n"/>
      <c r="G24" s="63">
        <f>IF(C24="","",IF(C24="Resultado","Indicador de resultado — sirve para medir, no para intervenir",IF(C24="Enlace","Riesgo / supuesto — vigilar y monitorear",IF(C24="Motriz","COMPONENTE DEL PROYECTO — aquí se interviene",IF(C24="Autónoma","Fuera del alcance — se documenta, no se interviene",""))))&amp;IF(D24=1," · 1.ª en influencia del sistema","")&amp;IF(E24=1," · 1.ª en dependencia del sistema",""))</f>
        <v/>
      </c>
      <c r="H24" s="10">
        <f>IF(C24="Resultado","① Efecto",IF(C24="Enlace","③ Causa directa",IF(C24="Motriz","④ Causa raíz",IF(C24="Autónoma","⑤ Fuera del alcance",""))))</f>
        <v/>
      </c>
    </row>
    <row r="25" ht="32" customHeight="1" s="62">
      <c r="A25" s="6" t="n">
        <v>7</v>
      </c>
      <c r="B25" s="81">
        <f>IF($A25&lt;=nVariables,M!B16,"")</f>
        <v/>
      </c>
      <c r="C25" s="10">
        <f>IF(AND(matrizOK,$A25&lt;=nVariables),'M6'!I16,"")</f>
        <v/>
      </c>
      <c r="D25" s="9">
        <f>IF(AND(matrizOK,$A25&lt;=nVariables,'M6'!$C$9&gt;0),'M6'!G16,"")</f>
        <v/>
      </c>
      <c r="E25" s="9">
        <f>IF(AND(matrizOK,$A25&lt;=nVariables,'M6'!$C$9&gt;0),'M6'!H16,"")</f>
        <v/>
      </c>
      <c r="F25" s="66" t="n"/>
      <c r="G25" s="63">
        <f>IF(C25="","",IF(C25="Resultado","Indicador de resultado — sirve para medir, no para intervenir",IF(C25="Enlace","Riesgo / supuesto — vigilar y monitorear",IF(C25="Motriz","COMPONENTE DEL PROYECTO — aquí se interviene",IF(C25="Autónoma","Fuera del alcance — se documenta, no se interviene",""))))&amp;IF(D25=1," · 1.ª en influencia del sistema","")&amp;IF(E25=1," · 1.ª en dependencia del sistema",""))</f>
        <v/>
      </c>
      <c r="H25" s="10">
        <f>IF(C25="Resultado","① Efecto",IF(C25="Enlace","③ Causa directa",IF(C25="Motriz","④ Causa raíz",IF(C25="Autónoma","⑤ Fuera del alcance",""))))</f>
        <v/>
      </c>
    </row>
    <row r="26" ht="32" customHeight="1" s="62">
      <c r="A26" s="6" t="n">
        <v>8</v>
      </c>
      <c r="B26" s="81">
        <f>IF($A26&lt;=nVariables,M!B17,"")</f>
        <v/>
      </c>
      <c r="C26" s="10">
        <f>IF(AND(matrizOK,$A26&lt;=nVariables),'M6'!I17,"")</f>
        <v/>
      </c>
      <c r="D26" s="9">
        <f>IF(AND(matrizOK,$A26&lt;=nVariables,'M6'!$C$9&gt;0),'M6'!G17,"")</f>
        <v/>
      </c>
      <c r="E26" s="9">
        <f>IF(AND(matrizOK,$A26&lt;=nVariables,'M6'!$C$9&gt;0),'M6'!H17,"")</f>
        <v/>
      </c>
      <c r="F26" s="66" t="n"/>
      <c r="G26" s="63">
        <f>IF(C26="","",IF(C26="Resultado","Indicador de resultado — sirve para medir, no para intervenir",IF(C26="Enlace","Riesgo / supuesto — vigilar y monitorear",IF(C26="Motriz","COMPONENTE DEL PROYECTO — aquí se interviene",IF(C26="Autónoma","Fuera del alcance — se documenta, no se interviene",""))))&amp;IF(D26=1," · 1.ª en influencia del sistema","")&amp;IF(E26=1," · 1.ª en dependencia del sistema",""))</f>
        <v/>
      </c>
      <c r="H26" s="10">
        <f>IF(C26="Resultado","① Efecto",IF(C26="Enlace","③ Causa directa",IF(C26="Motriz","④ Causa raíz",IF(C26="Autónoma","⑤ Fuera del alcance",""))))</f>
        <v/>
      </c>
    </row>
    <row r="27" ht="32" customHeight="1" s="62">
      <c r="A27" s="6" t="n">
        <v>9</v>
      </c>
      <c r="B27" s="81">
        <f>IF($A27&lt;=nVariables,M!B18,"")</f>
        <v/>
      </c>
      <c r="C27" s="10">
        <f>IF(AND(matrizOK,$A27&lt;=nVariables),'M6'!I18,"")</f>
        <v/>
      </c>
      <c r="D27" s="9">
        <f>IF(AND(matrizOK,$A27&lt;=nVariables,'M6'!$C$9&gt;0),'M6'!G18,"")</f>
        <v/>
      </c>
      <c r="E27" s="9">
        <f>IF(AND(matrizOK,$A27&lt;=nVariables,'M6'!$C$9&gt;0),'M6'!H18,"")</f>
        <v/>
      </c>
      <c r="F27" s="66" t="n"/>
      <c r="G27" s="63">
        <f>IF(C27="","",IF(C27="Resultado","Indicador de resultado — sirve para medir, no para intervenir",IF(C27="Enlace","Riesgo / supuesto — vigilar y monitorear",IF(C27="Motriz","COMPONENTE DEL PROYECTO — aquí se interviene",IF(C27="Autónoma","Fuera del alcance — se documenta, no se interviene",""))))&amp;IF(D27=1," · 1.ª en influencia del sistema","")&amp;IF(E27=1," · 1.ª en dependencia del sistema",""))</f>
        <v/>
      </c>
      <c r="H27" s="10">
        <f>IF(C27="Resultado","① Efecto",IF(C27="Enlace","③ Causa directa",IF(C27="Motriz","④ Causa raíz",IF(C27="Autónoma","⑤ Fuera del alcance",""))))</f>
        <v/>
      </c>
    </row>
    <row r="28" ht="32" customHeight="1" s="62">
      <c r="A28" s="6" t="n">
        <v>10</v>
      </c>
      <c r="B28" s="81">
        <f>IF($A28&lt;=nVariables,M!B19,"")</f>
        <v/>
      </c>
      <c r="C28" s="10">
        <f>IF(AND(matrizOK,$A28&lt;=nVariables),'M6'!I19,"")</f>
        <v/>
      </c>
      <c r="D28" s="9">
        <f>IF(AND(matrizOK,$A28&lt;=nVariables,'M6'!$C$9&gt;0),'M6'!G19,"")</f>
        <v/>
      </c>
      <c r="E28" s="9">
        <f>IF(AND(matrizOK,$A28&lt;=nVariables,'M6'!$C$9&gt;0),'M6'!H19,"")</f>
        <v/>
      </c>
      <c r="F28" s="66" t="n"/>
      <c r="G28" s="63">
        <f>IF(C28="","",IF(C28="Resultado","Indicador de resultado — sirve para medir, no para intervenir",IF(C28="Enlace","Riesgo / supuesto — vigilar y monitorear",IF(C28="Motriz","COMPONENTE DEL PROYECTO — aquí se interviene",IF(C28="Autónoma","Fuera del alcance — se documenta, no se interviene",""))))&amp;IF(D28=1," · 1.ª en influencia del sistema","")&amp;IF(E28=1," · 1.ª en dependencia del sistema",""))</f>
        <v/>
      </c>
      <c r="H28" s="10">
        <f>IF(C28="Resultado","① Efecto",IF(C28="Enlace","③ Causa directa",IF(C28="Motriz","④ Causa raíz",IF(C28="Autónoma","⑤ Fuera del alcance",""))))</f>
        <v/>
      </c>
    </row>
    <row r="29" ht="32" customHeight="1" s="62">
      <c r="A29" s="6" t="n">
        <v>11</v>
      </c>
      <c r="B29" s="81">
        <f>IF($A29&lt;=nVariables,M!B20,"")</f>
        <v/>
      </c>
      <c r="C29" s="10">
        <f>IF(AND(matrizOK,$A29&lt;=nVariables),'M6'!I20,"")</f>
        <v/>
      </c>
      <c r="D29" s="9">
        <f>IF(AND(matrizOK,$A29&lt;=nVariables,'M6'!$C$9&gt;0),'M6'!G20,"")</f>
        <v/>
      </c>
      <c r="E29" s="9">
        <f>IF(AND(matrizOK,$A29&lt;=nVariables,'M6'!$C$9&gt;0),'M6'!H20,"")</f>
        <v/>
      </c>
      <c r="F29" s="66" t="n"/>
      <c r="G29" s="63">
        <f>IF(C29="","",IF(C29="Resultado","Indicador de resultado — sirve para medir, no para intervenir",IF(C29="Enlace","Riesgo / supuesto — vigilar y monitorear",IF(C29="Motriz","COMPONENTE DEL PROYECTO — aquí se interviene",IF(C29="Autónoma","Fuera del alcance — se documenta, no se interviene",""))))&amp;IF(D29=1," · 1.ª en influencia del sistema","")&amp;IF(E29=1," · 1.ª en dependencia del sistema",""))</f>
        <v/>
      </c>
      <c r="H29" s="10">
        <f>IF(C29="Resultado","① Efecto",IF(C29="Enlace","③ Causa directa",IF(C29="Motriz","④ Causa raíz",IF(C29="Autónoma","⑤ Fuera del alcance",""))))</f>
        <v/>
      </c>
    </row>
    <row r="30" ht="32" customHeight="1" s="62">
      <c r="A30" s="6" t="n">
        <v>12</v>
      </c>
      <c r="B30" s="81">
        <f>IF($A30&lt;=nVariables,M!B21,"")</f>
        <v/>
      </c>
      <c r="C30" s="10">
        <f>IF(AND(matrizOK,$A30&lt;=nVariables),'M6'!I21,"")</f>
        <v/>
      </c>
      <c r="D30" s="9">
        <f>IF(AND(matrizOK,$A30&lt;=nVariables,'M6'!$C$9&gt;0),'M6'!G21,"")</f>
        <v/>
      </c>
      <c r="E30" s="9">
        <f>IF(AND(matrizOK,$A30&lt;=nVariables,'M6'!$C$9&gt;0),'M6'!H21,"")</f>
        <v/>
      </c>
      <c r="F30" s="66" t="n"/>
      <c r="G30" s="63">
        <f>IF(C30="","",IF(C30="Resultado","Indicador de resultado — sirve para medir, no para intervenir",IF(C30="Enlace","Riesgo / supuesto — vigilar y monitorear",IF(C30="Motriz","COMPONENTE DEL PROYECTO — aquí se interviene",IF(C30="Autónoma","Fuera del alcance — se documenta, no se interviene",""))))&amp;IF(D30=1," · 1.ª en influencia del sistema","")&amp;IF(E30=1," · 1.ª en dependencia del sistema",""))</f>
        <v/>
      </c>
      <c r="H30" s="10">
        <f>IF(C30="Resultado","① Efecto",IF(C30="Enlace","③ Causa directa",IF(C30="Motriz","④ Causa raíz",IF(C30="Autónoma","⑤ Fuera del alcance",""))))</f>
        <v/>
      </c>
    </row>
    <row r="31" ht="32" customHeight="1" s="62">
      <c r="A31" s="6" t="n">
        <v>13</v>
      </c>
      <c r="B31" s="81">
        <f>IF($A31&lt;=nVariables,M!B22,"")</f>
        <v/>
      </c>
      <c r="C31" s="10">
        <f>IF(AND(matrizOK,$A31&lt;=nVariables),'M6'!I22,"")</f>
        <v/>
      </c>
      <c r="D31" s="9">
        <f>IF(AND(matrizOK,$A31&lt;=nVariables,'M6'!$C$9&gt;0),'M6'!G22,"")</f>
        <v/>
      </c>
      <c r="E31" s="9">
        <f>IF(AND(matrizOK,$A31&lt;=nVariables,'M6'!$C$9&gt;0),'M6'!H22,"")</f>
        <v/>
      </c>
      <c r="F31" s="66" t="n"/>
      <c r="G31" s="63">
        <f>IF(C31="","",IF(C31="Resultado","Indicador de resultado — sirve para medir, no para intervenir",IF(C31="Enlace","Riesgo / supuesto — vigilar y monitorear",IF(C31="Motriz","COMPONENTE DEL PROYECTO — aquí se interviene",IF(C31="Autónoma","Fuera del alcance — se documenta, no se interviene",""))))&amp;IF(D31=1," · 1.ª en influencia del sistema","")&amp;IF(E31=1," · 1.ª en dependencia del sistema",""))</f>
        <v/>
      </c>
      <c r="H31" s="10">
        <f>IF(C31="Resultado","① Efecto",IF(C31="Enlace","③ Causa directa",IF(C31="Motriz","④ Causa raíz",IF(C31="Autónoma","⑤ Fuera del alcance",""))))</f>
        <v/>
      </c>
    </row>
    <row r="32" ht="32" customHeight="1" s="62">
      <c r="A32" s="6" t="n">
        <v>14</v>
      </c>
      <c r="B32" s="81">
        <f>IF($A32&lt;=nVariables,M!B23,"")</f>
        <v/>
      </c>
      <c r="C32" s="10">
        <f>IF(AND(matrizOK,$A32&lt;=nVariables),'M6'!I23,"")</f>
        <v/>
      </c>
      <c r="D32" s="9">
        <f>IF(AND(matrizOK,$A32&lt;=nVariables,'M6'!$C$9&gt;0),'M6'!G23,"")</f>
        <v/>
      </c>
      <c r="E32" s="9">
        <f>IF(AND(matrizOK,$A32&lt;=nVariables,'M6'!$C$9&gt;0),'M6'!H23,"")</f>
        <v/>
      </c>
      <c r="F32" s="66" t="n"/>
      <c r="G32" s="63">
        <f>IF(C32="","",IF(C32="Resultado","Indicador de resultado — sirve para medir, no para intervenir",IF(C32="Enlace","Riesgo / supuesto — vigilar y monitorear",IF(C32="Motriz","COMPONENTE DEL PROYECTO — aquí se interviene",IF(C32="Autónoma","Fuera del alcance — se documenta, no se interviene",""))))&amp;IF(D32=1," · 1.ª en influencia del sistema","")&amp;IF(E32=1," · 1.ª en dependencia del sistema",""))</f>
        <v/>
      </c>
      <c r="H32" s="10">
        <f>IF(C32="Resultado","① Efecto",IF(C32="Enlace","③ Causa directa",IF(C32="Motriz","④ Causa raíz",IF(C32="Autónoma","⑤ Fuera del alcance",""))))</f>
        <v/>
      </c>
    </row>
    <row r="33" ht="32" customHeight="1" s="62">
      <c r="A33" s="6" t="n">
        <v>15</v>
      </c>
      <c r="B33" s="81">
        <f>IF($A33&lt;=nVariables,M!B24,"")</f>
        <v/>
      </c>
      <c r="C33" s="10">
        <f>IF(AND(matrizOK,$A33&lt;=nVariables),'M6'!I24,"")</f>
        <v/>
      </c>
      <c r="D33" s="9">
        <f>IF(AND(matrizOK,$A33&lt;=nVariables,'M6'!$C$9&gt;0),'M6'!G24,"")</f>
        <v/>
      </c>
      <c r="E33" s="9">
        <f>IF(AND(matrizOK,$A33&lt;=nVariables,'M6'!$C$9&gt;0),'M6'!H24,"")</f>
        <v/>
      </c>
      <c r="F33" s="66" t="n"/>
      <c r="G33" s="63">
        <f>IF(C33="","",IF(C33="Resultado","Indicador de resultado — sirve para medir, no para intervenir",IF(C33="Enlace","Riesgo / supuesto — vigilar y monitorear",IF(C33="Motriz","COMPONENTE DEL PROYECTO — aquí se interviene",IF(C33="Autónoma","Fuera del alcance — se documenta, no se interviene",""))))&amp;IF(D33=1," · 1.ª en influencia del sistema","")&amp;IF(E33=1," · 1.ª en dependencia del sistema",""))</f>
        <v/>
      </c>
      <c r="H33" s="10">
        <f>IF(C33="Resultado","① Efecto",IF(C33="Enlace","③ Causa directa",IF(C33="Motriz","④ Causa raíz",IF(C33="Autónoma","⑤ Fuera del alcance",""))))</f>
        <v/>
      </c>
    </row>
    <row r="34" ht="32" customHeight="1" s="62">
      <c r="A34" s="6" t="n">
        <v>16</v>
      </c>
      <c r="B34" s="81">
        <f>IF($A34&lt;=nVariables,M!B25,"")</f>
        <v/>
      </c>
      <c r="C34" s="10">
        <f>IF(AND(matrizOK,$A34&lt;=nVariables),'M6'!I25,"")</f>
        <v/>
      </c>
      <c r="D34" s="9">
        <f>IF(AND(matrizOK,$A34&lt;=nVariables,'M6'!$C$9&gt;0),'M6'!G25,"")</f>
        <v/>
      </c>
      <c r="E34" s="9">
        <f>IF(AND(matrizOK,$A34&lt;=nVariables,'M6'!$C$9&gt;0),'M6'!H25,"")</f>
        <v/>
      </c>
      <c r="F34" s="66" t="n"/>
      <c r="G34" s="63">
        <f>IF(C34="","",IF(C34="Resultado","Indicador de resultado — sirve para medir, no para intervenir",IF(C34="Enlace","Riesgo / supuesto — vigilar y monitorear",IF(C34="Motriz","COMPONENTE DEL PROYECTO — aquí se interviene",IF(C34="Autónoma","Fuera del alcance — se documenta, no se interviene",""))))&amp;IF(D34=1," · 1.ª en influencia del sistema","")&amp;IF(E34=1," · 1.ª en dependencia del sistema",""))</f>
        <v/>
      </c>
      <c r="H34" s="10">
        <f>IF(C34="Resultado","① Efecto",IF(C34="Enlace","③ Causa directa",IF(C34="Motriz","④ Causa raíz",IF(C34="Autónoma","⑤ Fuera del alcance",""))))</f>
        <v/>
      </c>
    </row>
    <row r="35" ht="32" customHeight="1" s="62">
      <c r="A35" s="6" t="n">
        <v>17</v>
      </c>
      <c r="B35" s="81">
        <f>IF($A35&lt;=nVariables,M!B26,"")</f>
        <v/>
      </c>
      <c r="C35" s="10">
        <f>IF(AND(matrizOK,$A35&lt;=nVariables),'M6'!I26,"")</f>
        <v/>
      </c>
      <c r="D35" s="9">
        <f>IF(AND(matrizOK,$A35&lt;=nVariables,'M6'!$C$9&gt;0),'M6'!G26,"")</f>
        <v/>
      </c>
      <c r="E35" s="9">
        <f>IF(AND(matrizOK,$A35&lt;=nVariables,'M6'!$C$9&gt;0),'M6'!H26,"")</f>
        <v/>
      </c>
      <c r="F35" s="66" t="n"/>
      <c r="G35" s="63">
        <f>IF(C35="","",IF(C35="Resultado","Indicador de resultado — sirve para medir, no para intervenir",IF(C35="Enlace","Riesgo / supuesto — vigilar y monitorear",IF(C35="Motriz","COMPONENTE DEL PROYECTO — aquí se interviene",IF(C35="Autónoma","Fuera del alcance — se documenta, no se interviene",""))))&amp;IF(D35=1," · 1.ª en influencia del sistema","")&amp;IF(E35=1," · 1.ª en dependencia del sistema",""))</f>
        <v/>
      </c>
      <c r="H35" s="10">
        <f>IF(C35="Resultado","① Efecto",IF(C35="Enlace","③ Causa directa",IF(C35="Motriz","④ Causa raíz",IF(C35="Autónoma","⑤ Fuera del alcance",""))))</f>
        <v/>
      </c>
    </row>
    <row r="36" ht="32" customHeight="1" s="62">
      <c r="A36" s="6" t="n">
        <v>18</v>
      </c>
      <c r="B36" s="81">
        <f>IF($A36&lt;=nVariables,M!B27,"")</f>
        <v/>
      </c>
      <c r="C36" s="10">
        <f>IF(AND(matrizOK,$A36&lt;=nVariables),'M6'!I27,"")</f>
        <v/>
      </c>
      <c r="D36" s="9">
        <f>IF(AND(matrizOK,$A36&lt;=nVariables,'M6'!$C$9&gt;0),'M6'!G27,"")</f>
        <v/>
      </c>
      <c r="E36" s="9">
        <f>IF(AND(matrizOK,$A36&lt;=nVariables,'M6'!$C$9&gt;0),'M6'!H27,"")</f>
        <v/>
      </c>
      <c r="F36" s="66" t="n"/>
      <c r="G36" s="63">
        <f>IF(C36="","",IF(C36="Resultado","Indicador de resultado — sirve para medir, no para intervenir",IF(C36="Enlace","Riesgo / supuesto — vigilar y monitorear",IF(C36="Motriz","COMPONENTE DEL PROYECTO — aquí se interviene",IF(C36="Autónoma","Fuera del alcance — se documenta, no se interviene",""))))&amp;IF(D36=1," · 1.ª en influencia del sistema","")&amp;IF(E36=1," · 1.ª en dependencia del sistema",""))</f>
        <v/>
      </c>
      <c r="H36" s="10">
        <f>IF(C36="Resultado","① Efecto",IF(C36="Enlace","③ Causa directa",IF(C36="Motriz","④ Causa raíz",IF(C36="Autónoma","⑤ Fuera del alcance",""))))</f>
        <v/>
      </c>
    </row>
    <row r="37" ht="32" customHeight="1" s="62">
      <c r="A37" s="6" t="n">
        <v>19</v>
      </c>
      <c r="B37" s="81">
        <f>IF($A37&lt;=nVariables,M!B28,"")</f>
        <v/>
      </c>
      <c r="C37" s="10">
        <f>IF(AND(matrizOK,$A37&lt;=nVariables),'M6'!I28,"")</f>
        <v/>
      </c>
      <c r="D37" s="9">
        <f>IF(AND(matrizOK,$A37&lt;=nVariables,'M6'!$C$9&gt;0),'M6'!G28,"")</f>
        <v/>
      </c>
      <c r="E37" s="9">
        <f>IF(AND(matrizOK,$A37&lt;=nVariables,'M6'!$C$9&gt;0),'M6'!H28,"")</f>
        <v/>
      </c>
      <c r="F37" s="66" t="n"/>
      <c r="G37" s="63">
        <f>IF(C37="","",IF(C37="Resultado","Indicador de resultado — sirve para medir, no para intervenir",IF(C37="Enlace","Riesgo / supuesto — vigilar y monitorear",IF(C37="Motriz","COMPONENTE DEL PROYECTO — aquí se interviene",IF(C37="Autónoma","Fuera del alcance — se documenta, no se interviene",""))))&amp;IF(D37=1," · 1.ª en influencia del sistema","")&amp;IF(E37=1," · 1.ª en dependencia del sistema",""))</f>
        <v/>
      </c>
      <c r="H37" s="10">
        <f>IF(C37="Resultado","① Efecto",IF(C37="Enlace","③ Causa directa",IF(C37="Motriz","④ Causa raíz",IF(C37="Autónoma","⑤ Fuera del alcance",""))))</f>
        <v/>
      </c>
    </row>
    <row r="38" ht="32" customHeight="1" s="62">
      <c r="A38" s="6" t="n">
        <v>20</v>
      </c>
      <c r="B38" s="81">
        <f>IF($A38&lt;=nVariables,M!B29,"")</f>
        <v/>
      </c>
      <c r="C38" s="10">
        <f>IF(AND(matrizOK,$A38&lt;=nVariables),'M6'!I29,"")</f>
        <v/>
      </c>
      <c r="D38" s="9">
        <f>IF(AND(matrizOK,$A38&lt;=nVariables,'M6'!$C$9&gt;0),'M6'!G29,"")</f>
        <v/>
      </c>
      <c r="E38" s="9">
        <f>IF(AND(matrizOK,$A38&lt;=nVariables,'M6'!$C$9&gt;0),'M6'!H29,"")</f>
        <v/>
      </c>
      <c r="F38" s="66" t="n"/>
      <c r="G38" s="63">
        <f>IF(C38="","",IF(C38="Resultado","Indicador de resultado — sirve para medir, no para intervenir",IF(C38="Enlace","Riesgo / supuesto — vigilar y monitorear",IF(C38="Motriz","COMPONENTE DEL PROYECTO — aquí se interviene",IF(C38="Autónoma","Fuera del alcance — se documenta, no se interviene",""))))&amp;IF(D38=1," · 1.ª en influencia del sistema","")&amp;IF(E38=1," · 1.ª en dependencia del sistema",""))</f>
        <v/>
      </c>
      <c r="H38" s="10">
        <f>IF(C38="Resultado","① Efecto",IF(C38="Enlace","③ Causa directa",IF(C38="Motriz","④ Causa raíz",IF(C38="Autónoma","⑤ Fuera del alcance",""))))</f>
        <v/>
      </c>
    </row>
    <row r="39" ht="32" customHeight="1" s="62">
      <c r="A39" s="6" t="n">
        <v>21</v>
      </c>
      <c r="B39" s="81">
        <f>IF($A39&lt;=nVariables,M!B30,"")</f>
        <v/>
      </c>
      <c r="C39" s="10">
        <f>IF(AND(matrizOK,$A39&lt;=nVariables),'M6'!I30,"")</f>
        <v/>
      </c>
      <c r="D39" s="9">
        <f>IF(AND(matrizOK,$A39&lt;=nVariables,'M6'!$C$9&gt;0),'M6'!G30,"")</f>
        <v/>
      </c>
      <c r="E39" s="9">
        <f>IF(AND(matrizOK,$A39&lt;=nVariables,'M6'!$C$9&gt;0),'M6'!H30,"")</f>
        <v/>
      </c>
      <c r="F39" s="66" t="n"/>
      <c r="G39" s="63">
        <f>IF(C39="","",IF(C39="Resultado","Indicador de resultado — sirve para medir, no para intervenir",IF(C39="Enlace","Riesgo / supuesto — vigilar y monitorear",IF(C39="Motriz","COMPONENTE DEL PROYECTO — aquí se interviene",IF(C39="Autónoma","Fuera del alcance — se documenta, no se interviene",""))))&amp;IF(D39=1," · 1.ª en influencia del sistema","")&amp;IF(E39=1," · 1.ª en dependencia del sistema",""))</f>
        <v/>
      </c>
      <c r="H39" s="10">
        <f>IF(C39="Resultado","① Efecto",IF(C39="Enlace","③ Causa directa",IF(C39="Motriz","④ Causa raíz",IF(C39="Autónoma","⑤ Fuera del alcance",""))))</f>
        <v/>
      </c>
    </row>
    <row r="40" ht="32" customHeight="1" s="62">
      <c r="A40" s="6" t="n">
        <v>22</v>
      </c>
      <c r="B40" s="81">
        <f>IF($A40&lt;=nVariables,M!B31,"")</f>
        <v/>
      </c>
      <c r="C40" s="10">
        <f>IF(AND(matrizOK,$A40&lt;=nVariables),'M6'!I31,"")</f>
        <v/>
      </c>
      <c r="D40" s="9">
        <f>IF(AND(matrizOK,$A40&lt;=nVariables,'M6'!$C$9&gt;0),'M6'!G31,"")</f>
        <v/>
      </c>
      <c r="E40" s="9">
        <f>IF(AND(matrizOK,$A40&lt;=nVariables,'M6'!$C$9&gt;0),'M6'!H31,"")</f>
        <v/>
      </c>
      <c r="F40" s="66" t="n"/>
      <c r="G40" s="63">
        <f>IF(C40="","",IF(C40="Resultado","Indicador de resultado — sirve para medir, no para intervenir",IF(C40="Enlace","Riesgo / supuesto — vigilar y monitorear",IF(C40="Motriz","COMPONENTE DEL PROYECTO — aquí se interviene",IF(C40="Autónoma","Fuera del alcance — se documenta, no se interviene",""))))&amp;IF(D40=1," · 1.ª en influencia del sistema","")&amp;IF(E40=1," · 1.ª en dependencia del sistema",""))</f>
        <v/>
      </c>
      <c r="H40" s="10">
        <f>IF(C40="Resultado","① Efecto",IF(C40="Enlace","③ Causa directa",IF(C40="Motriz","④ Causa raíz",IF(C40="Autónoma","⑤ Fuera del alcance",""))))</f>
        <v/>
      </c>
    </row>
    <row r="41" ht="32" customHeight="1" s="62">
      <c r="A41" s="6" t="n">
        <v>23</v>
      </c>
      <c r="B41" s="81">
        <f>IF($A41&lt;=nVariables,M!B32,"")</f>
        <v/>
      </c>
      <c r="C41" s="10">
        <f>IF(AND(matrizOK,$A41&lt;=nVariables),'M6'!I32,"")</f>
        <v/>
      </c>
      <c r="D41" s="9">
        <f>IF(AND(matrizOK,$A41&lt;=nVariables,'M6'!$C$9&gt;0),'M6'!G32,"")</f>
        <v/>
      </c>
      <c r="E41" s="9">
        <f>IF(AND(matrizOK,$A41&lt;=nVariables,'M6'!$C$9&gt;0),'M6'!H32,"")</f>
        <v/>
      </c>
      <c r="F41" s="66" t="n"/>
      <c r="G41" s="63">
        <f>IF(C41="","",IF(C41="Resultado","Indicador de resultado — sirve para medir, no para intervenir",IF(C41="Enlace","Riesgo / supuesto — vigilar y monitorear",IF(C41="Motriz","COMPONENTE DEL PROYECTO — aquí se interviene",IF(C41="Autónoma","Fuera del alcance — se documenta, no se interviene",""))))&amp;IF(D41=1," · 1.ª en influencia del sistema","")&amp;IF(E41=1," · 1.ª en dependencia del sistema",""))</f>
        <v/>
      </c>
      <c r="H41" s="10">
        <f>IF(C41="Resultado","① Efecto",IF(C41="Enlace","③ Causa directa",IF(C41="Motriz","④ Causa raíz",IF(C41="Autónoma","⑤ Fuera del alcance",""))))</f>
        <v/>
      </c>
    </row>
    <row r="42" ht="32" customHeight="1" s="62">
      <c r="A42" s="6" t="n">
        <v>24</v>
      </c>
      <c r="B42" s="81">
        <f>IF($A42&lt;=nVariables,M!B33,"")</f>
        <v/>
      </c>
      <c r="C42" s="10">
        <f>IF(AND(matrizOK,$A42&lt;=nVariables),'M6'!I33,"")</f>
        <v/>
      </c>
      <c r="D42" s="9">
        <f>IF(AND(matrizOK,$A42&lt;=nVariables,'M6'!$C$9&gt;0),'M6'!G33,"")</f>
        <v/>
      </c>
      <c r="E42" s="9">
        <f>IF(AND(matrizOK,$A42&lt;=nVariables,'M6'!$C$9&gt;0),'M6'!H33,"")</f>
        <v/>
      </c>
      <c r="F42" s="66" t="n"/>
      <c r="G42" s="63">
        <f>IF(C42="","",IF(C42="Resultado","Indicador de resultado — sirve para medir, no para intervenir",IF(C42="Enlace","Riesgo / supuesto — vigilar y monitorear",IF(C42="Motriz","COMPONENTE DEL PROYECTO — aquí se interviene",IF(C42="Autónoma","Fuera del alcance — se documenta, no se interviene",""))))&amp;IF(D42=1," · 1.ª en influencia del sistema","")&amp;IF(E42=1," · 1.ª en dependencia del sistema",""))</f>
        <v/>
      </c>
      <c r="H42" s="10">
        <f>IF(C42="Resultado","① Efecto",IF(C42="Enlace","③ Causa directa",IF(C42="Motriz","④ Causa raíz",IF(C42="Autónoma","⑤ Fuera del alcance",""))))</f>
        <v/>
      </c>
    </row>
    <row r="43" ht="32" customHeight="1" s="62">
      <c r="A43" s="6" t="n">
        <v>25</v>
      </c>
      <c r="B43" s="81">
        <f>IF($A43&lt;=nVariables,M!B34,"")</f>
        <v/>
      </c>
      <c r="C43" s="10">
        <f>IF(AND(matrizOK,$A43&lt;=nVariables),'M6'!I34,"")</f>
        <v/>
      </c>
      <c r="D43" s="9">
        <f>IF(AND(matrizOK,$A43&lt;=nVariables,'M6'!$C$9&gt;0),'M6'!G34,"")</f>
        <v/>
      </c>
      <c r="E43" s="9">
        <f>IF(AND(matrizOK,$A43&lt;=nVariables,'M6'!$C$9&gt;0),'M6'!H34,"")</f>
        <v/>
      </c>
      <c r="F43" s="66" t="n"/>
      <c r="G43" s="63">
        <f>IF(C43="","",IF(C43="Resultado","Indicador de resultado — sirve para medir, no para intervenir",IF(C43="Enlace","Riesgo / supuesto — vigilar y monitorear",IF(C43="Motriz","COMPONENTE DEL PROYECTO — aquí se interviene",IF(C43="Autónoma","Fuera del alcance — se documenta, no se interviene",""))))&amp;IF(D43=1," · 1.ª en influencia del sistema","")&amp;IF(E43=1," · 1.ª en dependencia del sistema",""))</f>
        <v/>
      </c>
      <c r="H43" s="10">
        <f>IF(C43="Resultado","① Efecto",IF(C43="Enlace","③ Causa directa",IF(C43="Motriz","④ Causa raíz",IF(C43="Autónoma","⑤ Fuera del alcance",""))))</f>
        <v/>
      </c>
    </row>
    <row r="44" ht="32" customHeight="1" s="62">
      <c r="A44" s="6" t="n">
        <v>26</v>
      </c>
      <c r="B44" s="81">
        <f>IF($A44&lt;=nVariables,M!B35,"")</f>
        <v/>
      </c>
      <c r="C44" s="10">
        <f>IF(AND(matrizOK,$A44&lt;=nVariables),'M6'!I35,"")</f>
        <v/>
      </c>
      <c r="D44" s="9">
        <f>IF(AND(matrizOK,$A44&lt;=nVariables,'M6'!$C$9&gt;0),'M6'!G35,"")</f>
        <v/>
      </c>
      <c r="E44" s="9">
        <f>IF(AND(matrizOK,$A44&lt;=nVariables,'M6'!$C$9&gt;0),'M6'!H35,"")</f>
        <v/>
      </c>
      <c r="F44" s="66" t="n"/>
      <c r="G44" s="63">
        <f>IF(C44="","",IF(C44="Resultado","Indicador de resultado — sirve para medir, no para intervenir",IF(C44="Enlace","Riesgo / supuesto — vigilar y monitorear",IF(C44="Motriz","COMPONENTE DEL PROYECTO — aquí se interviene",IF(C44="Autónoma","Fuera del alcance — se documenta, no se interviene",""))))&amp;IF(D44=1," · 1.ª en influencia del sistema","")&amp;IF(E44=1," · 1.ª en dependencia del sistema",""))</f>
        <v/>
      </c>
      <c r="H44" s="10">
        <f>IF(C44="Resultado","① Efecto",IF(C44="Enlace","③ Causa directa",IF(C44="Motriz","④ Causa raíz",IF(C44="Autónoma","⑤ Fuera del alcance",""))))</f>
        <v/>
      </c>
    </row>
    <row r="45" ht="32" customHeight="1" s="62">
      <c r="A45" s="6" t="n">
        <v>27</v>
      </c>
      <c r="B45" s="81">
        <f>IF($A45&lt;=nVariables,M!B36,"")</f>
        <v/>
      </c>
      <c r="C45" s="10">
        <f>IF(AND(matrizOK,$A45&lt;=nVariables),'M6'!I36,"")</f>
        <v/>
      </c>
      <c r="D45" s="9">
        <f>IF(AND(matrizOK,$A45&lt;=nVariables,'M6'!$C$9&gt;0),'M6'!G36,"")</f>
        <v/>
      </c>
      <c r="E45" s="9">
        <f>IF(AND(matrizOK,$A45&lt;=nVariables,'M6'!$C$9&gt;0),'M6'!H36,"")</f>
        <v/>
      </c>
      <c r="F45" s="66" t="n"/>
      <c r="G45" s="63">
        <f>IF(C45="","",IF(C45="Resultado","Indicador de resultado — sirve para medir, no para intervenir",IF(C45="Enlace","Riesgo / supuesto — vigilar y monitorear",IF(C45="Motriz","COMPONENTE DEL PROYECTO — aquí se interviene",IF(C45="Autónoma","Fuera del alcance — se documenta, no se interviene",""))))&amp;IF(D45=1," · 1.ª en influencia del sistema","")&amp;IF(E45=1," · 1.ª en dependencia del sistema",""))</f>
        <v/>
      </c>
      <c r="H45" s="10">
        <f>IF(C45="Resultado","① Efecto",IF(C45="Enlace","③ Causa directa",IF(C45="Motriz","④ Causa raíz",IF(C45="Autónoma","⑤ Fuera del alcance",""))))</f>
        <v/>
      </c>
    </row>
    <row r="46" ht="32" customHeight="1" s="62">
      <c r="A46" s="6" t="n">
        <v>28</v>
      </c>
      <c r="B46" s="81">
        <f>IF($A46&lt;=nVariables,M!B37,"")</f>
        <v/>
      </c>
      <c r="C46" s="10">
        <f>IF(AND(matrizOK,$A46&lt;=nVariables),'M6'!I37,"")</f>
        <v/>
      </c>
      <c r="D46" s="9">
        <f>IF(AND(matrizOK,$A46&lt;=nVariables,'M6'!$C$9&gt;0),'M6'!G37,"")</f>
        <v/>
      </c>
      <c r="E46" s="9">
        <f>IF(AND(matrizOK,$A46&lt;=nVariables,'M6'!$C$9&gt;0),'M6'!H37,"")</f>
        <v/>
      </c>
      <c r="F46" s="66" t="n"/>
      <c r="G46" s="63">
        <f>IF(C46="","",IF(C46="Resultado","Indicador de resultado — sirve para medir, no para intervenir",IF(C46="Enlace","Riesgo / supuesto — vigilar y monitorear",IF(C46="Motriz","COMPONENTE DEL PROYECTO — aquí se interviene",IF(C46="Autónoma","Fuera del alcance — se documenta, no se interviene",""))))&amp;IF(D46=1," · 1.ª en influencia del sistema","")&amp;IF(E46=1," · 1.ª en dependencia del sistema",""))</f>
        <v/>
      </c>
      <c r="H46" s="10">
        <f>IF(C46="Resultado","① Efecto",IF(C46="Enlace","③ Causa directa",IF(C46="Motriz","④ Causa raíz",IF(C46="Autónoma","⑤ Fuera del alcance",""))))</f>
        <v/>
      </c>
    </row>
    <row r="47" ht="32" customHeight="1" s="62">
      <c r="A47" s="6" t="n">
        <v>29</v>
      </c>
      <c r="B47" s="81">
        <f>IF($A47&lt;=nVariables,M!B38,"")</f>
        <v/>
      </c>
      <c r="C47" s="10">
        <f>IF(AND(matrizOK,$A47&lt;=nVariables),'M6'!I38,"")</f>
        <v/>
      </c>
      <c r="D47" s="9">
        <f>IF(AND(matrizOK,$A47&lt;=nVariables,'M6'!$C$9&gt;0),'M6'!G38,"")</f>
        <v/>
      </c>
      <c r="E47" s="9">
        <f>IF(AND(matrizOK,$A47&lt;=nVariables,'M6'!$C$9&gt;0),'M6'!H38,"")</f>
        <v/>
      </c>
      <c r="F47" s="66" t="n"/>
      <c r="G47" s="63">
        <f>IF(C47="","",IF(C47="Resultado","Indicador de resultado — sirve para medir, no para intervenir",IF(C47="Enlace","Riesgo / supuesto — vigilar y monitorear",IF(C47="Motriz","COMPONENTE DEL PROYECTO — aquí se interviene",IF(C47="Autónoma","Fuera del alcance — se documenta, no se interviene",""))))&amp;IF(D47=1," · 1.ª en influencia del sistema","")&amp;IF(E47=1," · 1.ª en dependencia del sistema",""))</f>
        <v/>
      </c>
      <c r="H47" s="10">
        <f>IF(C47="Resultado","① Efecto",IF(C47="Enlace","③ Causa directa",IF(C47="Motriz","④ Causa raíz",IF(C47="Autónoma","⑤ Fuera del alcance",""))))</f>
        <v/>
      </c>
    </row>
    <row r="48" ht="32" customHeight="1" s="62">
      <c r="A48" s="6" t="n">
        <v>30</v>
      </c>
      <c r="B48" s="81">
        <f>IF($A48&lt;=nVariables,M!B39,"")</f>
        <v/>
      </c>
      <c r="C48" s="10">
        <f>IF(AND(matrizOK,$A48&lt;=nVariables),'M6'!I39,"")</f>
        <v/>
      </c>
      <c r="D48" s="9">
        <f>IF(AND(matrizOK,$A48&lt;=nVariables,'M6'!$C$9&gt;0),'M6'!G39,"")</f>
        <v/>
      </c>
      <c r="E48" s="9">
        <f>IF(AND(matrizOK,$A48&lt;=nVariables,'M6'!$C$9&gt;0),'M6'!H39,"")</f>
        <v/>
      </c>
      <c r="F48" s="66" t="n"/>
      <c r="G48" s="63">
        <f>IF(C48="","",IF(C48="Resultado","Indicador de resultado — sirve para medir, no para intervenir",IF(C48="Enlace","Riesgo / supuesto — vigilar y monitorear",IF(C48="Motriz","COMPONENTE DEL PROYECTO — aquí se interviene",IF(C48="Autónoma","Fuera del alcance — se documenta, no se interviene",""))))&amp;IF(D48=1," · 1.ª en influencia del sistema","")&amp;IF(E48=1," · 1.ª en dependencia del sistema",""))</f>
        <v/>
      </c>
      <c r="H48" s="10">
        <f>IF(C48="Resultado","① Efecto",IF(C48="Enlace","③ Causa directa",IF(C48="Motriz","④ Causa raíz",IF(C48="Autónoma","⑤ Fuera del alcance",""))))</f>
        <v/>
      </c>
    </row>
    <row r="49" ht="32" customHeight="1" s="62">
      <c r="A49" s="6" t="n">
        <v>31</v>
      </c>
      <c r="B49" s="81">
        <f>IF($A49&lt;=nVariables,M!B40,"")</f>
        <v/>
      </c>
      <c r="C49" s="10">
        <f>IF(AND(matrizOK,$A49&lt;=nVariables),'M6'!I40,"")</f>
        <v/>
      </c>
      <c r="D49" s="9">
        <f>IF(AND(matrizOK,$A49&lt;=nVariables,'M6'!$C$9&gt;0),'M6'!G40,"")</f>
        <v/>
      </c>
      <c r="E49" s="9">
        <f>IF(AND(matrizOK,$A49&lt;=nVariables,'M6'!$C$9&gt;0),'M6'!H40,"")</f>
        <v/>
      </c>
      <c r="F49" s="66" t="n"/>
      <c r="G49" s="63">
        <f>IF(C49="","",IF(C49="Resultado","Indicador de resultado — sirve para medir, no para intervenir",IF(C49="Enlace","Riesgo / supuesto — vigilar y monitorear",IF(C49="Motriz","COMPONENTE DEL PROYECTO — aquí se interviene",IF(C49="Autónoma","Fuera del alcance — se documenta, no se interviene",""))))&amp;IF(D49=1," · 1.ª en influencia del sistema","")&amp;IF(E49=1," · 1.ª en dependencia del sistema",""))</f>
        <v/>
      </c>
      <c r="H49" s="10">
        <f>IF(C49="Resultado","① Efecto",IF(C49="Enlace","③ Causa directa",IF(C49="Motriz","④ Causa raíz",IF(C49="Autónoma","⑤ Fuera del alcance",""))))</f>
        <v/>
      </c>
    </row>
    <row r="50" ht="32" customHeight="1" s="62">
      <c r="A50" s="6" t="n">
        <v>32</v>
      </c>
      <c r="B50" s="81">
        <f>IF($A50&lt;=nVariables,M!B41,"")</f>
        <v/>
      </c>
      <c r="C50" s="10">
        <f>IF(AND(matrizOK,$A50&lt;=nVariables),'M6'!I41,"")</f>
        <v/>
      </c>
      <c r="D50" s="9">
        <f>IF(AND(matrizOK,$A50&lt;=nVariables,'M6'!$C$9&gt;0),'M6'!G41,"")</f>
        <v/>
      </c>
      <c r="E50" s="9">
        <f>IF(AND(matrizOK,$A50&lt;=nVariables,'M6'!$C$9&gt;0),'M6'!H41,"")</f>
        <v/>
      </c>
      <c r="F50" s="66" t="n"/>
      <c r="G50" s="63">
        <f>IF(C50="","",IF(C50="Resultado","Indicador de resultado — sirve para medir, no para intervenir",IF(C50="Enlace","Riesgo / supuesto — vigilar y monitorear",IF(C50="Motriz","COMPONENTE DEL PROYECTO — aquí se interviene",IF(C50="Autónoma","Fuera del alcance — se documenta, no se interviene",""))))&amp;IF(D50=1," · 1.ª en influencia del sistema","")&amp;IF(E50=1," · 1.ª en dependencia del sistema",""))</f>
        <v/>
      </c>
      <c r="H50" s="10">
        <f>IF(C50="Resultado","① Efecto",IF(C50="Enlace","③ Causa directa",IF(C50="Motriz","④ Causa raíz",IF(C50="Autónoma","⑤ Fuera del alcance",""))))</f>
        <v/>
      </c>
    </row>
    <row r="51" ht="32" customHeight="1" s="62">
      <c r="A51" s="6" t="n">
        <v>33</v>
      </c>
      <c r="B51" s="81">
        <f>IF($A51&lt;=nVariables,M!B42,"")</f>
        <v/>
      </c>
      <c r="C51" s="10">
        <f>IF(AND(matrizOK,$A51&lt;=nVariables),'M6'!I42,"")</f>
        <v/>
      </c>
      <c r="D51" s="9">
        <f>IF(AND(matrizOK,$A51&lt;=nVariables,'M6'!$C$9&gt;0),'M6'!G42,"")</f>
        <v/>
      </c>
      <c r="E51" s="9">
        <f>IF(AND(matrizOK,$A51&lt;=nVariables,'M6'!$C$9&gt;0),'M6'!H42,"")</f>
        <v/>
      </c>
      <c r="F51" s="66" t="n"/>
      <c r="G51" s="63">
        <f>IF(C51="","",IF(C51="Resultado","Indicador de resultado — sirve para medir, no para intervenir",IF(C51="Enlace","Riesgo / supuesto — vigilar y monitorear",IF(C51="Motriz","COMPONENTE DEL PROYECTO — aquí se interviene",IF(C51="Autónoma","Fuera del alcance — se documenta, no se interviene",""))))&amp;IF(D51=1," · 1.ª en influencia del sistema","")&amp;IF(E51=1," · 1.ª en dependencia del sistema",""))</f>
        <v/>
      </c>
      <c r="H51" s="10">
        <f>IF(C51="Resultado","① Efecto",IF(C51="Enlace","③ Causa directa",IF(C51="Motriz","④ Causa raíz",IF(C51="Autónoma","⑤ Fuera del alcance",""))))</f>
        <v/>
      </c>
    </row>
    <row r="52" ht="32" customHeight="1" s="62">
      <c r="A52" s="6" t="n">
        <v>34</v>
      </c>
      <c r="B52" s="81">
        <f>IF($A52&lt;=nVariables,M!B43,"")</f>
        <v/>
      </c>
      <c r="C52" s="10">
        <f>IF(AND(matrizOK,$A52&lt;=nVariables),'M6'!I43,"")</f>
        <v/>
      </c>
      <c r="D52" s="9">
        <f>IF(AND(matrizOK,$A52&lt;=nVariables,'M6'!$C$9&gt;0),'M6'!G43,"")</f>
        <v/>
      </c>
      <c r="E52" s="9">
        <f>IF(AND(matrizOK,$A52&lt;=nVariables,'M6'!$C$9&gt;0),'M6'!H43,"")</f>
        <v/>
      </c>
      <c r="F52" s="66" t="n"/>
      <c r="G52" s="63">
        <f>IF(C52="","",IF(C52="Resultado","Indicador de resultado — sirve para medir, no para intervenir",IF(C52="Enlace","Riesgo / supuesto — vigilar y monitorear",IF(C52="Motriz","COMPONENTE DEL PROYECTO — aquí se interviene",IF(C52="Autónoma","Fuera del alcance — se documenta, no se interviene",""))))&amp;IF(D52=1," · 1.ª en influencia del sistema","")&amp;IF(E52=1," · 1.ª en dependencia del sistema",""))</f>
        <v/>
      </c>
      <c r="H52" s="10">
        <f>IF(C52="Resultado","① Efecto",IF(C52="Enlace","③ Causa directa",IF(C52="Motriz","④ Causa raíz",IF(C52="Autónoma","⑤ Fuera del alcance",""))))</f>
        <v/>
      </c>
    </row>
    <row r="53" ht="32" customHeight="1" s="62">
      <c r="A53" s="6" t="n">
        <v>35</v>
      </c>
      <c r="B53" s="81">
        <f>IF($A53&lt;=nVariables,M!B44,"")</f>
        <v/>
      </c>
      <c r="C53" s="10">
        <f>IF(AND(matrizOK,$A53&lt;=nVariables),'M6'!I44,"")</f>
        <v/>
      </c>
      <c r="D53" s="9">
        <f>IF(AND(matrizOK,$A53&lt;=nVariables,'M6'!$C$9&gt;0),'M6'!G44,"")</f>
        <v/>
      </c>
      <c r="E53" s="9">
        <f>IF(AND(matrizOK,$A53&lt;=nVariables,'M6'!$C$9&gt;0),'M6'!H44,"")</f>
        <v/>
      </c>
      <c r="F53" s="66" t="n"/>
      <c r="G53" s="63">
        <f>IF(C53="","",IF(C53="Resultado","Indicador de resultado — sirve para medir, no para intervenir",IF(C53="Enlace","Riesgo / supuesto — vigilar y monitorear",IF(C53="Motriz","COMPONENTE DEL PROYECTO — aquí se interviene",IF(C53="Autónoma","Fuera del alcance — se documenta, no se interviene",""))))&amp;IF(D53=1," · 1.ª en influencia del sistema","")&amp;IF(E53=1," · 1.ª en dependencia del sistema",""))</f>
        <v/>
      </c>
      <c r="H53" s="10">
        <f>IF(C53="Resultado","① Efecto",IF(C53="Enlace","③ Causa directa",IF(C53="Motriz","④ Causa raíz",IF(C53="Autónoma","⑤ Fuera del alcance",""))))</f>
        <v/>
      </c>
    </row>
    <row r="54" ht="32" customHeight="1" s="62">
      <c r="A54" s="6" t="n">
        <v>36</v>
      </c>
      <c r="B54" s="81">
        <f>IF($A54&lt;=nVariables,M!B45,"")</f>
        <v/>
      </c>
      <c r="C54" s="10">
        <f>IF(AND(matrizOK,$A54&lt;=nVariables),'M6'!I45,"")</f>
        <v/>
      </c>
      <c r="D54" s="9">
        <f>IF(AND(matrizOK,$A54&lt;=nVariables,'M6'!$C$9&gt;0),'M6'!G45,"")</f>
        <v/>
      </c>
      <c r="E54" s="9">
        <f>IF(AND(matrizOK,$A54&lt;=nVariables,'M6'!$C$9&gt;0),'M6'!H45,"")</f>
        <v/>
      </c>
      <c r="F54" s="66" t="n"/>
      <c r="G54" s="63">
        <f>IF(C54="","",IF(C54="Resultado","Indicador de resultado — sirve para medir, no para intervenir",IF(C54="Enlace","Riesgo / supuesto — vigilar y monitorear",IF(C54="Motriz","COMPONENTE DEL PROYECTO — aquí se interviene",IF(C54="Autónoma","Fuera del alcance — se documenta, no se interviene",""))))&amp;IF(D54=1," · 1.ª en influencia del sistema","")&amp;IF(E54=1," · 1.ª en dependencia del sistema",""))</f>
        <v/>
      </c>
      <c r="H54" s="10">
        <f>IF(C54="Resultado","① Efecto",IF(C54="Enlace","③ Causa directa",IF(C54="Motriz","④ Causa raíz",IF(C54="Autónoma","⑤ Fuera del alcance",""))))</f>
        <v/>
      </c>
    </row>
    <row r="55" ht="32" customHeight="1" s="62">
      <c r="A55" s="6" t="n">
        <v>37</v>
      </c>
      <c r="B55" s="81">
        <f>IF($A55&lt;=nVariables,M!B46,"")</f>
        <v/>
      </c>
      <c r="C55" s="10">
        <f>IF(AND(matrizOK,$A55&lt;=nVariables),'M6'!I46,"")</f>
        <v/>
      </c>
      <c r="D55" s="9">
        <f>IF(AND(matrizOK,$A55&lt;=nVariables,'M6'!$C$9&gt;0),'M6'!G46,"")</f>
        <v/>
      </c>
      <c r="E55" s="9">
        <f>IF(AND(matrizOK,$A55&lt;=nVariables,'M6'!$C$9&gt;0),'M6'!H46,"")</f>
        <v/>
      </c>
      <c r="F55" s="66" t="n"/>
      <c r="G55" s="63">
        <f>IF(C55="","",IF(C55="Resultado","Indicador de resultado — sirve para medir, no para intervenir",IF(C55="Enlace","Riesgo / supuesto — vigilar y monitorear",IF(C55="Motriz","COMPONENTE DEL PROYECTO — aquí se interviene",IF(C55="Autónoma","Fuera del alcance — se documenta, no se interviene",""))))&amp;IF(D55=1," · 1.ª en influencia del sistema","")&amp;IF(E55=1," · 1.ª en dependencia del sistema",""))</f>
        <v/>
      </c>
      <c r="H55" s="10">
        <f>IF(C55="Resultado","① Efecto",IF(C55="Enlace","③ Causa directa",IF(C55="Motriz","④ Causa raíz",IF(C55="Autónoma","⑤ Fuera del alcance",""))))</f>
        <v/>
      </c>
    </row>
    <row r="56" ht="32" customHeight="1" s="62">
      <c r="A56" s="6" t="n">
        <v>38</v>
      </c>
      <c r="B56" s="81">
        <f>IF($A56&lt;=nVariables,M!B47,"")</f>
        <v/>
      </c>
      <c r="C56" s="10">
        <f>IF(AND(matrizOK,$A56&lt;=nVariables),'M6'!I47,"")</f>
        <v/>
      </c>
      <c r="D56" s="9">
        <f>IF(AND(matrizOK,$A56&lt;=nVariables,'M6'!$C$9&gt;0),'M6'!G47,"")</f>
        <v/>
      </c>
      <c r="E56" s="9">
        <f>IF(AND(matrizOK,$A56&lt;=nVariables,'M6'!$C$9&gt;0),'M6'!H47,"")</f>
        <v/>
      </c>
      <c r="F56" s="66" t="n"/>
      <c r="G56" s="63">
        <f>IF(C56="","",IF(C56="Resultado","Indicador de resultado — sirve para medir, no para intervenir",IF(C56="Enlace","Riesgo / supuesto — vigilar y monitorear",IF(C56="Motriz","COMPONENTE DEL PROYECTO — aquí se interviene",IF(C56="Autónoma","Fuera del alcance — se documenta, no se interviene",""))))&amp;IF(D56=1," · 1.ª en influencia del sistema","")&amp;IF(E56=1," · 1.ª en dependencia del sistema",""))</f>
        <v/>
      </c>
      <c r="H56" s="10">
        <f>IF(C56="Resultado","① Efecto",IF(C56="Enlace","③ Causa directa",IF(C56="Motriz","④ Causa raíz",IF(C56="Autónoma","⑤ Fuera del alcance",""))))</f>
        <v/>
      </c>
    </row>
    <row r="57" ht="32" customHeight="1" s="62">
      <c r="A57" s="6" t="n">
        <v>39</v>
      </c>
      <c r="B57" s="81">
        <f>IF($A57&lt;=nVariables,M!B48,"")</f>
        <v/>
      </c>
      <c r="C57" s="10">
        <f>IF(AND(matrizOK,$A57&lt;=nVariables),'M6'!I48,"")</f>
        <v/>
      </c>
      <c r="D57" s="9">
        <f>IF(AND(matrizOK,$A57&lt;=nVariables,'M6'!$C$9&gt;0),'M6'!G48,"")</f>
        <v/>
      </c>
      <c r="E57" s="9">
        <f>IF(AND(matrizOK,$A57&lt;=nVariables,'M6'!$C$9&gt;0),'M6'!H48,"")</f>
        <v/>
      </c>
      <c r="F57" s="66" t="n"/>
      <c r="G57" s="63">
        <f>IF(C57="","",IF(C57="Resultado","Indicador de resultado — sirve para medir, no para intervenir",IF(C57="Enlace","Riesgo / supuesto — vigilar y monitorear",IF(C57="Motriz","COMPONENTE DEL PROYECTO — aquí se interviene",IF(C57="Autónoma","Fuera del alcance — se documenta, no se interviene",""))))&amp;IF(D57=1," · 1.ª en influencia del sistema","")&amp;IF(E57=1," · 1.ª en dependencia del sistema",""))</f>
        <v/>
      </c>
      <c r="H57" s="10">
        <f>IF(C57="Resultado","① Efecto",IF(C57="Enlace","③ Causa directa",IF(C57="Motriz","④ Causa raíz",IF(C57="Autónoma","⑤ Fuera del alcance",""))))</f>
        <v/>
      </c>
    </row>
    <row r="58" ht="32" customHeight="1" s="62">
      <c r="A58" s="6" t="n">
        <v>40</v>
      </c>
      <c r="B58" s="81">
        <f>IF($A58&lt;=nVariables,M!B49,"")</f>
        <v/>
      </c>
      <c r="C58" s="10">
        <f>IF(AND(matrizOK,$A58&lt;=nVariables),'M6'!I49,"")</f>
        <v/>
      </c>
      <c r="D58" s="9">
        <f>IF(AND(matrizOK,$A58&lt;=nVariables,'M6'!$C$9&gt;0),'M6'!G49,"")</f>
        <v/>
      </c>
      <c r="E58" s="9">
        <f>IF(AND(matrizOK,$A58&lt;=nVariables,'M6'!$C$9&gt;0),'M6'!H49,"")</f>
        <v/>
      </c>
      <c r="F58" s="66" t="n"/>
      <c r="G58" s="63">
        <f>IF(C58="","",IF(C58="Resultado","Indicador de resultado — sirve para medir, no para intervenir",IF(C58="Enlace","Riesgo / supuesto — vigilar y monitorear",IF(C58="Motriz","COMPONENTE DEL PROYECTO — aquí se interviene",IF(C58="Autónoma","Fuera del alcance — se documenta, no se interviene",""))))&amp;IF(D58=1," · 1.ª en influencia del sistema","")&amp;IF(E58=1," · 1.ª en dependencia del sistema",""))</f>
        <v/>
      </c>
      <c r="H58" s="10">
        <f>IF(C58="Resultado","① Efecto",IF(C58="Enlace","③ Causa directa",IF(C58="Motriz","④ Causa raíz",IF(C58="Autónoma","⑤ Fuera del alcance",""))))</f>
        <v/>
      </c>
    </row>
    <row r="60" ht="22" customHeight="1" s="62">
      <c r="A60" s="70" t="inlineStr">
        <is>
          <t>⑥  RAMAS CAUSALES · relaciones directas verificadas en la matriz M</t>
        </is>
      </c>
    </row>
    <row r="61" ht="30" customHeight="1" s="62">
      <c r="A61" s="63">
        <f>IF(matrizOK,"Se muestran "&amp;MIN(20,aux_Árbol!$H$46)&amp;" de "&amp;aux_Árbol!$H$46&amp;" relaciones directas (valor en M ≥ 1) desde las causas raíz (Motriz) hacia las causas directas (Enlace) y los efectos (Resultado), de mayor a menor valor.","Complete M para ver las ramas.")</f>
        <v/>
      </c>
    </row>
    <row r="62" ht="28" customHeight="1" s="62">
      <c r="A62" s="42" t="n"/>
      <c r="B62" s="69" t="inlineStr">
        <is>
          <t>Causa raíz</t>
        </is>
      </c>
      <c r="C62" s="69" t="inlineStr">
        <is>
          <t>Valor en M</t>
        </is>
      </c>
      <c r="D62" s="69" t="inlineStr">
        <is>
          <t>Rango I (raíz)</t>
        </is>
      </c>
      <c r="E62" s="42" t="n"/>
      <c r="F62" s="69" t="inlineStr">
        <is>
          <t>Empuja directamente a</t>
        </is>
      </c>
      <c r="G62" s="69" t="inlineStr">
        <is>
          <t>Lectura de la rama</t>
        </is>
      </c>
      <c r="H62" s="69" t="inlineStr">
        <is>
          <t>Nivel del destino</t>
        </is>
      </c>
    </row>
    <row r="63" ht="24" customHeight="1" s="62">
      <c r="A63" s="43" t="n">
        <v>1</v>
      </c>
      <c r="B63" s="38">
        <f>IF(aux_Árbol!$C$46=1,INDEX(M!$B$10:$B$49,aux_Árbol!$E$46),"")</f>
        <v/>
      </c>
      <c r="C63" s="9">
        <f>IF(aux_Árbol!$C$46=1,aux_Árbol!$D$46,"")</f>
        <v/>
      </c>
      <c r="D63" s="9">
        <f>IF(aux_Árbol!$C$46=1,INDEX('M6'!$G$10:$G$49,aux_Árbol!$E$46),"")</f>
        <v/>
      </c>
      <c r="F63" s="81">
        <f>IF(aux_Árbol!$C$46=1,INDEX(M!$B$10:$B$49,aux_Árbol!$F$46),"")</f>
        <v/>
      </c>
      <c r="G63" s="63">
        <f>IF(aux_Árbol!$C$46=1,IF(C63&gt;=3,"Relación fuerte (3): rama principal del árbol",IF(C63=2,"Relación moderada (2): refuerza la rama","Relación débil (1): afluente de la rama")),"")</f>
        <v/>
      </c>
      <c r="H63" s="10">
        <f>IF(aux_Árbol!$C$46=1,INDEX('M6'!$I$10:$I$49,aux_Árbol!$F$46),"")</f>
        <v/>
      </c>
    </row>
    <row r="64" ht="24" customHeight="1" s="62">
      <c r="A64" s="43" t="n">
        <v>2</v>
      </c>
      <c r="B64" s="38">
        <f>IF(aux_Árbol!$C$47=1,INDEX(M!$B$10:$B$49,aux_Árbol!$E$47),"")</f>
        <v/>
      </c>
      <c r="C64" s="9">
        <f>IF(aux_Árbol!$C$47=1,aux_Árbol!$D$47,"")</f>
        <v/>
      </c>
      <c r="D64" s="9">
        <f>IF(aux_Árbol!$C$47=1,INDEX('M6'!$G$10:$G$49,aux_Árbol!$E$47),"")</f>
        <v/>
      </c>
      <c r="F64" s="81">
        <f>IF(aux_Árbol!$C$47=1,INDEX(M!$B$10:$B$49,aux_Árbol!$F$47),"")</f>
        <v/>
      </c>
      <c r="G64" s="63">
        <f>IF(aux_Árbol!$C$47=1,IF(C64&gt;=3,"Relación fuerte (3): rama principal del árbol",IF(C64=2,"Relación moderada (2): refuerza la rama","Relación débil (1): afluente de la rama")),"")</f>
        <v/>
      </c>
      <c r="H64" s="10">
        <f>IF(aux_Árbol!$C$47=1,INDEX('M6'!$I$10:$I$49,aux_Árbol!$F$47),"")</f>
        <v/>
      </c>
    </row>
    <row r="65" ht="24" customHeight="1" s="62">
      <c r="A65" s="43" t="n">
        <v>3</v>
      </c>
      <c r="B65" s="38">
        <f>IF(aux_Árbol!$C$48=1,INDEX(M!$B$10:$B$49,aux_Árbol!$E$48),"")</f>
        <v/>
      </c>
      <c r="C65" s="9">
        <f>IF(aux_Árbol!$C$48=1,aux_Árbol!$D$48,"")</f>
        <v/>
      </c>
      <c r="D65" s="9">
        <f>IF(aux_Árbol!$C$48=1,INDEX('M6'!$G$10:$G$49,aux_Árbol!$E$48),"")</f>
        <v/>
      </c>
      <c r="F65" s="81">
        <f>IF(aux_Árbol!$C$48=1,INDEX(M!$B$10:$B$49,aux_Árbol!$F$48),"")</f>
        <v/>
      </c>
      <c r="G65" s="63">
        <f>IF(aux_Árbol!$C$48=1,IF(C65&gt;=3,"Relación fuerte (3): rama principal del árbol",IF(C65=2,"Relación moderada (2): refuerza la rama","Relación débil (1): afluente de la rama")),"")</f>
        <v/>
      </c>
      <c r="H65" s="10">
        <f>IF(aux_Árbol!$C$48=1,INDEX('M6'!$I$10:$I$49,aux_Árbol!$F$48),"")</f>
        <v/>
      </c>
    </row>
    <row r="66" ht="24" customHeight="1" s="62">
      <c r="A66" s="43" t="n">
        <v>4</v>
      </c>
      <c r="B66" s="38">
        <f>IF(aux_Árbol!$C$49=1,INDEX(M!$B$10:$B$49,aux_Árbol!$E$49),"")</f>
        <v/>
      </c>
      <c r="C66" s="9">
        <f>IF(aux_Árbol!$C$49=1,aux_Árbol!$D$49,"")</f>
        <v/>
      </c>
      <c r="D66" s="9">
        <f>IF(aux_Árbol!$C$49=1,INDEX('M6'!$G$10:$G$49,aux_Árbol!$E$49),"")</f>
        <v/>
      </c>
      <c r="F66" s="81">
        <f>IF(aux_Árbol!$C$49=1,INDEX(M!$B$10:$B$49,aux_Árbol!$F$49),"")</f>
        <v/>
      </c>
      <c r="G66" s="63">
        <f>IF(aux_Árbol!$C$49=1,IF(C66&gt;=3,"Relación fuerte (3): rama principal del árbol",IF(C66=2,"Relación moderada (2): refuerza la rama","Relación débil (1): afluente de la rama")),"")</f>
        <v/>
      </c>
      <c r="H66" s="10">
        <f>IF(aux_Árbol!$C$49=1,INDEX('M6'!$I$10:$I$49,aux_Árbol!$F$49),"")</f>
        <v/>
      </c>
    </row>
    <row r="67" ht="24" customHeight="1" s="62">
      <c r="A67" s="43" t="n">
        <v>5</v>
      </c>
      <c r="B67" s="38">
        <f>IF(aux_Árbol!$C$50=1,INDEX(M!$B$10:$B$49,aux_Árbol!$E$50),"")</f>
        <v/>
      </c>
      <c r="C67" s="9">
        <f>IF(aux_Árbol!$C$50=1,aux_Árbol!$D$50,"")</f>
        <v/>
      </c>
      <c r="D67" s="9">
        <f>IF(aux_Árbol!$C$50=1,INDEX('M6'!$G$10:$G$49,aux_Árbol!$E$50),"")</f>
        <v/>
      </c>
      <c r="F67" s="81">
        <f>IF(aux_Árbol!$C$50=1,INDEX(M!$B$10:$B$49,aux_Árbol!$F$50),"")</f>
        <v/>
      </c>
      <c r="G67" s="63">
        <f>IF(aux_Árbol!$C$50=1,IF(C67&gt;=3,"Relación fuerte (3): rama principal del árbol",IF(C67=2,"Relación moderada (2): refuerza la rama","Relación débil (1): afluente de la rama")),"")</f>
        <v/>
      </c>
      <c r="H67" s="10">
        <f>IF(aux_Árbol!$C$50=1,INDEX('M6'!$I$10:$I$49,aux_Árbol!$F$50),"")</f>
        <v/>
      </c>
    </row>
    <row r="68" ht="24" customHeight="1" s="62">
      <c r="A68" s="43" t="n">
        <v>6</v>
      </c>
      <c r="B68" s="38">
        <f>IF(aux_Árbol!$C$51=1,INDEX(M!$B$10:$B$49,aux_Árbol!$E$51),"")</f>
        <v/>
      </c>
      <c r="C68" s="9">
        <f>IF(aux_Árbol!$C$51=1,aux_Árbol!$D$51,"")</f>
        <v/>
      </c>
      <c r="D68" s="9">
        <f>IF(aux_Árbol!$C$51=1,INDEX('M6'!$G$10:$G$49,aux_Árbol!$E$51),"")</f>
        <v/>
      </c>
      <c r="F68" s="81">
        <f>IF(aux_Árbol!$C$51=1,INDEX(M!$B$10:$B$49,aux_Árbol!$F$51),"")</f>
        <v/>
      </c>
      <c r="G68" s="63">
        <f>IF(aux_Árbol!$C$51=1,IF(C68&gt;=3,"Relación fuerte (3): rama principal del árbol",IF(C68=2,"Relación moderada (2): refuerza la rama","Relación débil (1): afluente de la rama")),"")</f>
        <v/>
      </c>
      <c r="H68" s="10">
        <f>IF(aux_Árbol!$C$51=1,INDEX('M6'!$I$10:$I$49,aux_Árbol!$F$51),"")</f>
        <v/>
      </c>
    </row>
    <row r="69" ht="24" customHeight="1" s="62">
      <c r="A69" s="43" t="n">
        <v>7</v>
      </c>
      <c r="B69" s="38">
        <f>IF(aux_Árbol!$C$52=1,INDEX(M!$B$10:$B$49,aux_Árbol!$E$52),"")</f>
        <v/>
      </c>
      <c r="C69" s="9">
        <f>IF(aux_Árbol!$C$52=1,aux_Árbol!$D$52,"")</f>
        <v/>
      </c>
      <c r="D69" s="9">
        <f>IF(aux_Árbol!$C$52=1,INDEX('M6'!$G$10:$G$49,aux_Árbol!$E$52),"")</f>
        <v/>
      </c>
      <c r="F69" s="81">
        <f>IF(aux_Árbol!$C$52=1,INDEX(M!$B$10:$B$49,aux_Árbol!$F$52),"")</f>
        <v/>
      </c>
      <c r="G69" s="63">
        <f>IF(aux_Árbol!$C$52=1,IF(C69&gt;=3,"Relación fuerte (3): rama principal del árbol",IF(C69=2,"Relación moderada (2): refuerza la rama","Relación débil (1): afluente de la rama")),"")</f>
        <v/>
      </c>
      <c r="H69" s="10">
        <f>IF(aux_Árbol!$C$52=1,INDEX('M6'!$I$10:$I$49,aux_Árbol!$F$52),"")</f>
        <v/>
      </c>
    </row>
    <row r="70" ht="24" customHeight="1" s="62">
      <c r="A70" s="43" t="n">
        <v>8</v>
      </c>
      <c r="B70" s="38">
        <f>IF(aux_Árbol!$C$53=1,INDEX(M!$B$10:$B$49,aux_Árbol!$E$53),"")</f>
        <v/>
      </c>
      <c r="C70" s="9">
        <f>IF(aux_Árbol!$C$53=1,aux_Árbol!$D$53,"")</f>
        <v/>
      </c>
      <c r="D70" s="9">
        <f>IF(aux_Árbol!$C$53=1,INDEX('M6'!$G$10:$G$49,aux_Árbol!$E$53),"")</f>
        <v/>
      </c>
      <c r="F70" s="81">
        <f>IF(aux_Árbol!$C$53=1,INDEX(M!$B$10:$B$49,aux_Árbol!$F$53),"")</f>
        <v/>
      </c>
      <c r="G70" s="63">
        <f>IF(aux_Árbol!$C$53=1,IF(C70&gt;=3,"Relación fuerte (3): rama principal del árbol",IF(C70=2,"Relación moderada (2): refuerza la rama","Relación débil (1): afluente de la rama")),"")</f>
        <v/>
      </c>
      <c r="H70" s="10">
        <f>IF(aux_Árbol!$C$53=1,INDEX('M6'!$I$10:$I$49,aux_Árbol!$F$53),"")</f>
        <v/>
      </c>
    </row>
    <row r="71" ht="24" customHeight="1" s="62">
      <c r="A71" s="43" t="n">
        <v>9</v>
      </c>
      <c r="B71" s="38">
        <f>IF(aux_Árbol!$C$54=1,INDEX(M!$B$10:$B$49,aux_Árbol!$E$54),"")</f>
        <v/>
      </c>
      <c r="C71" s="9">
        <f>IF(aux_Árbol!$C$54=1,aux_Árbol!$D$54,"")</f>
        <v/>
      </c>
      <c r="D71" s="9">
        <f>IF(aux_Árbol!$C$54=1,INDEX('M6'!$G$10:$G$49,aux_Árbol!$E$54),"")</f>
        <v/>
      </c>
      <c r="F71" s="81">
        <f>IF(aux_Árbol!$C$54=1,INDEX(M!$B$10:$B$49,aux_Árbol!$F$54),"")</f>
        <v/>
      </c>
      <c r="G71" s="63">
        <f>IF(aux_Árbol!$C$54=1,IF(C71&gt;=3,"Relación fuerte (3): rama principal del árbol",IF(C71=2,"Relación moderada (2): refuerza la rama","Relación débil (1): afluente de la rama")),"")</f>
        <v/>
      </c>
      <c r="H71" s="10">
        <f>IF(aux_Árbol!$C$54=1,INDEX('M6'!$I$10:$I$49,aux_Árbol!$F$54),"")</f>
        <v/>
      </c>
    </row>
    <row r="72" ht="24" customHeight="1" s="62">
      <c r="A72" s="43" t="n">
        <v>10</v>
      </c>
      <c r="B72" s="38">
        <f>IF(aux_Árbol!$C$55=1,INDEX(M!$B$10:$B$49,aux_Árbol!$E$55),"")</f>
        <v/>
      </c>
      <c r="C72" s="9">
        <f>IF(aux_Árbol!$C$55=1,aux_Árbol!$D$55,"")</f>
        <v/>
      </c>
      <c r="D72" s="9">
        <f>IF(aux_Árbol!$C$55=1,INDEX('M6'!$G$10:$G$49,aux_Árbol!$E$55),"")</f>
        <v/>
      </c>
      <c r="F72" s="81">
        <f>IF(aux_Árbol!$C$55=1,INDEX(M!$B$10:$B$49,aux_Árbol!$F$55),"")</f>
        <v/>
      </c>
      <c r="G72" s="63">
        <f>IF(aux_Árbol!$C$55=1,IF(C72&gt;=3,"Relación fuerte (3): rama principal del árbol",IF(C72=2,"Relación moderada (2): refuerza la rama","Relación débil (1): afluente de la rama")),"")</f>
        <v/>
      </c>
      <c r="H72" s="10">
        <f>IF(aux_Árbol!$C$55=1,INDEX('M6'!$I$10:$I$49,aux_Árbol!$F$55),"")</f>
        <v/>
      </c>
    </row>
    <row r="73" ht="24" customHeight="1" s="62">
      <c r="A73" s="43" t="n">
        <v>11</v>
      </c>
      <c r="B73" s="38">
        <f>IF(aux_Árbol!$C$56=1,INDEX(M!$B$10:$B$49,aux_Árbol!$E$56),"")</f>
        <v/>
      </c>
      <c r="C73" s="9">
        <f>IF(aux_Árbol!$C$56=1,aux_Árbol!$D$56,"")</f>
        <v/>
      </c>
      <c r="D73" s="9">
        <f>IF(aux_Árbol!$C$56=1,INDEX('M6'!$G$10:$G$49,aux_Árbol!$E$56),"")</f>
        <v/>
      </c>
      <c r="F73" s="81">
        <f>IF(aux_Árbol!$C$56=1,INDEX(M!$B$10:$B$49,aux_Árbol!$F$56),"")</f>
        <v/>
      </c>
      <c r="G73" s="63">
        <f>IF(aux_Árbol!$C$56=1,IF(C73&gt;=3,"Relación fuerte (3): rama principal del árbol",IF(C73=2,"Relación moderada (2): refuerza la rama","Relación débil (1): afluente de la rama")),"")</f>
        <v/>
      </c>
      <c r="H73" s="10">
        <f>IF(aux_Árbol!$C$56=1,INDEX('M6'!$I$10:$I$49,aux_Árbol!$F$56),"")</f>
        <v/>
      </c>
    </row>
    <row r="74" ht="24" customHeight="1" s="62">
      <c r="A74" s="43" t="n">
        <v>12</v>
      </c>
      <c r="B74" s="38">
        <f>IF(aux_Árbol!$C$57=1,INDEX(M!$B$10:$B$49,aux_Árbol!$E$57),"")</f>
        <v/>
      </c>
      <c r="C74" s="9">
        <f>IF(aux_Árbol!$C$57=1,aux_Árbol!$D$57,"")</f>
        <v/>
      </c>
      <c r="D74" s="9">
        <f>IF(aux_Árbol!$C$57=1,INDEX('M6'!$G$10:$G$49,aux_Árbol!$E$57),"")</f>
        <v/>
      </c>
      <c r="F74" s="81">
        <f>IF(aux_Árbol!$C$57=1,INDEX(M!$B$10:$B$49,aux_Árbol!$F$57),"")</f>
        <v/>
      </c>
      <c r="G74" s="63">
        <f>IF(aux_Árbol!$C$57=1,IF(C74&gt;=3,"Relación fuerte (3): rama principal del árbol",IF(C74=2,"Relación moderada (2): refuerza la rama","Relación débil (1): afluente de la rama")),"")</f>
        <v/>
      </c>
      <c r="H74" s="10">
        <f>IF(aux_Árbol!$C$57=1,INDEX('M6'!$I$10:$I$49,aux_Árbol!$F$57),"")</f>
        <v/>
      </c>
    </row>
    <row r="75" ht="24" customHeight="1" s="62">
      <c r="A75" s="43" t="n">
        <v>13</v>
      </c>
      <c r="B75" s="38">
        <f>IF(aux_Árbol!$C$58=1,INDEX(M!$B$10:$B$49,aux_Árbol!$E$58),"")</f>
        <v/>
      </c>
      <c r="C75" s="9">
        <f>IF(aux_Árbol!$C$58=1,aux_Árbol!$D$58,"")</f>
        <v/>
      </c>
      <c r="D75" s="9">
        <f>IF(aux_Árbol!$C$58=1,INDEX('M6'!$G$10:$G$49,aux_Árbol!$E$58),"")</f>
        <v/>
      </c>
      <c r="F75" s="81">
        <f>IF(aux_Árbol!$C$58=1,INDEX(M!$B$10:$B$49,aux_Árbol!$F$58),"")</f>
        <v/>
      </c>
      <c r="G75" s="63">
        <f>IF(aux_Árbol!$C$58=1,IF(C75&gt;=3,"Relación fuerte (3): rama principal del árbol",IF(C75=2,"Relación moderada (2): refuerza la rama","Relación débil (1): afluente de la rama")),"")</f>
        <v/>
      </c>
      <c r="H75" s="10">
        <f>IF(aux_Árbol!$C$58=1,INDEX('M6'!$I$10:$I$49,aux_Árbol!$F$58),"")</f>
        <v/>
      </c>
    </row>
    <row r="76" ht="24" customHeight="1" s="62">
      <c r="A76" s="43" t="n">
        <v>14</v>
      </c>
      <c r="B76" s="38">
        <f>IF(aux_Árbol!$C$59=1,INDEX(M!$B$10:$B$49,aux_Árbol!$E$59),"")</f>
        <v/>
      </c>
      <c r="C76" s="9">
        <f>IF(aux_Árbol!$C$59=1,aux_Árbol!$D$59,"")</f>
        <v/>
      </c>
      <c r="D76" s="9">
        <f>IF(aux_Árbol!$C$59=1,INDEX('M6'!$G$10:$G$49,aux_Árbol!$E$59),"")</f>
        <v/>
      </c>
      <c r="F76" s="81">
        <f>IF(aux_Árbol!$C$59=1,INDEX(M!$B$10:$B$49,aux_Árbol!$F$59),"")</f>
        <v/>
      </c>
      <c r="G76" s="63">
        <f>IF(aux_Árbol!$C$59=1,IF(C76&gt;=3,"Relación fuerte (3): rama principal del árbol",IF(C76=2,"Relación moderada (2): refuerza la rama","Relación débil (1): afluente de la rama")),"")</f>
        <v/>
      </c>
      <c r="H76" s="10">
        <f>IF(aux_Árbol!$C$59=1,INDEX('M6'!$I$10:$I$49,aux_Árbol!$F$59),"")</f>
        <v/>
      </c>
    </row>
    <row r="77" ht="24" customHeight="1" s="62">
      <c r="A77" s="43" t="n">
        <v>15</v>
      </c>
      <c r="B77" s="38">
        <f>IF(aux_Árbol!$C$60=1,INDEX(M!$B$10:$B$49,aux_Árbol!$E$60),"")</f>
        <v/>
      </c>
      <c r="C77" s="9">
        <f>IF(aux_Árbol!$C$60=1,aux_Árbol!$D$60,"")</f>
        <v/>
      </c>
      <c r="D77" s="9">
        <f>IF(aux_Árbol!$C$60=1,INDEX('M6'!$G$10:$G$49,aux_Árbol!$E$60),"")</f>
        <v/>
      </c>
      <c r="F77" s="81">
        <f>IF(aux_Árbol!$C$60=1,INDEX(M!$B$10:$B$49,aux_Árbol!$F$60),"")</f>
        <v/>
      </c>
      <c r="G77" s="63">
        <f>IF(aux_Árbol!$C$60=1,IF(C77&gt;=3,"Relación fuerte (3): rama principal del árbol",IF(C77=2,"Relación moderada (2): refuerza la rama","Relación débil (1): afluente de la rama")),"")</f>
        <v/>
      </c>
      <c r="H77" s="10">
        <f>IF(aux_Árbol!$C$60=1,INDEX('M6'!$I$10:$I$49,aux_Árbol!$F$60),"")</f>
        <v/>
      </c>
    </row>
    <row r="78" ht="24" customHeight="1" s="62">
      <c r="A78" s="43" t="n">
        <v>16</v>
      </c>
      <c r="B78" s="38">
        <f>IF(aux_Árbol!$C$61=1,INDEX(M!$B$10:$B$49,aux_Árbol!$E$61),"")</f>
        <v/>
      </c>
      <c r="C78" s="9">
        <f>IF(aux_Árbol!$C$61=1,aux_Árbol!$D$61,"")</f>
        <v/>
      </c>
      <c r="D78" s="9">
        <f>IF(aux_Árbol!$C$61=1,INDEX('M6'!$G$10:$G$49,aux_Árbol!$E$61),"")</f>
        <v/>
      </c>
      <c r="F78" s="81">
        <f>IF(aux_Árbol!$C$61=1,INDEX(M!$B$10:$B$49,aux_Árbol!$F$61),"")</f>
        <v/>
      </c>
      <c r="G78" s="63">
        <f>IF(aux_Árbol!$C$61=1,IF(C78&gt;=3,"Relación fuerte (3): rama principal del árbol",IF(C78=2,"Relación moderada (2): refuerza la rama","Relación débil (1): afluente de la rama")),"")</f>
        <v/>
      </c>
      <c r="H78" s="10">
        <f>IF(aux_Árbol!$C$61=1,INDEX('M6'!$I$10:$I$49,aux_Árbol!$F$61),"")</f>
        <v/>
      </c>
    </row>
    <row r="79" ht="24" customHeight="1" s="62">
      <c r="A79" s="43" t="n">
        <v>17</v>
      </c>
      <c r="B79" s="38">
        <f>IF(aux_Árbol!$C$62=1,INDEX(M!$B$10:$B$49,aux_Árbol!$E$62),"")</f>
        <v/>
      </c>
      <c r="C79" s="9">
        <f>IF(aux_Árbol!$C$62=1,aux_Árbol!$D$62,"")</f>
        <v/>
      </c>
      <c r="D79" s="9">
        <f>IF(aux_Árbol!$C$62=1,INDEX('M6'!$G$10:$G$49,aux_Árbol!$E$62),"")</f>
        <v/>
      </c>
      <c r="F79" s="81">
        <f>IF(aux_Árbol!$C$62=1,INDEX(M!$B$10:$B$49,aux_Árbol!$F$62),"")</f>
        <v/>
      </c>
      <c r="G79" s="63">
        <f>IF(aux_Árbol!$C$62=1,IF(C79&gt;=3,"Relación fuerte (3): rama principal del árbol",IF(C79=2,"Relación moderada (2): refuerza la rama","Relación débil (1): afluente de la rama")),"")</f>
        <v/>
      </c>
      <c r="H79" s="10">
        <f>IF(aux_Árbol!$C$62=1,INDEX('M6'!$I$10:$I$49,aux_Árbol!$F$62),"")</f>
        <v/>
      </c>
    </row>
    <row r="80" ht="24" customHeight="1" s="62">
      <c r="A80" s="43" t="n">
        <v>18</v>
      </c>
      <c r="B80" s="38">
        <f>IF(aux_Árbol!$C$63=1,INDEX(M!$B$10:$B$49,aux_Árbol!$E$63),"")</f>
        <v/>
      </c>
      <c r="C80" s="9">
        <f>IF(aux_Árbol!$C$63=1,aux_Árbol!$D$63,"")</f>
        <v/>
      </c>
      <c r="D80" s="9">
        <f>IF(aux_Árbol!$C$63=1,INDEX('M6'!$G$10:$G$49,aux_Árbol!$E$63),"")</f>
        <v/>
      </c>
      <c r="F80" s="81">
        <f>IF(aux_Árbol!$C$63=1,INDEX(M!$B$10:$B$49,aux_Árbol!$F$63),"")</f>
        <v/>
      </c>
      <c r="G80" s="63">
        <f>IF(aux_Árbol!$C$63=1,IF(C80&gt;=3,"Relación fuerte (3): rama principal del árbol",IF(C80=2,"Relación moderada (2): refuerza la rama","Relación débil (1): afluente de la rama")),"")</f>
        <v/>
      </c>
      <c r="H80" s="10">
        <f>IF(aux_Árbol!$C$63=1,INDEX('M6'!$I$10:$I$49,aux_Árbol!$F$63),"")</f>
        <v/>
      </c>
    </row>
    <row r="81" ht="24" customHeight="1" s="62">
      <c r="A81" s="43" t="n">
        <v>19</v>
      </c>
      <c r="B81" s="38">
        <f>IF(aux_Árbol!$C$64=1,INDEX(M!$B$10:$B$49,aux_Árbol!$E$64),"")</f>
        <v/>
      </c>
      <c r="C81" s="9">
        <f>IF(aux_Árbol!$C$64=1,aux_Árbol!$D$64,"")</f>
        <v/>
      </c>
      <c r="D81" s="9">
        <f>IF(aux_Árbol!$C$64=1,INDEX('M6'!$G$10:$G$49,aux_Árbol!$E$64),"")</f>
        <v/>
      </c>
      <c r="F81" s="81">
        <f>IF(aux_Árbol!$C$64=1,INDEX(M!$B$10:$B$49,aux_Árbol!$F$64),"")</f>
        <v/>
      </c>
      <c r="G81" s="63">
        <f>IF(aux_Árbol!$C$64=1,IF(C81&gt;=3,"Relación fuerte (3): rama principal del árbol",IF(C81=2,"Relación moderada (2): refuerza la rama","Relación débil (1): afluente de la rama")),"")</f>
        <v/>
      </c>
      <c r="H81" s="10">
        <f>IF(aux_Árbol!$C$64=1,INDEX('M6'!$I$10:$I$49,aux_Árbol!$F$64),"")</f>
        <v/>
      </c>
    </row>
    <row r="82" ht="24" customHeight="1" s="62">
      <c r="A82" s="43" t="n">
        <v>20</v>
      </c>
      <c r="B82" s="38">
        <f>IF(aux_Árbol!$C$65=1,INDEX(M!$B$10:$B$49,aux_Árbol!$E$65),"")</f>
        <v/>
      </c>
      <c r="C82" s="9">
        <f>IF(aux_Árbol!$C$65=1,aux_Árbol!$D$65,"")</f>
        <v/>
      </c>
      <c r="D82" s="9">
        <f>IF(aux_Árbol!$C$65=1,INDEX('M6'!$G$10:$G$49,aux_Árbol!$E$65),"")</f>
        <v/>
      </c>
      <c r="F82" s="81">
        <f>IF(aux_Árbol!$C$65=1,INDEX(M!$B$10:$B$49,aux_Árbol!$F$65),"")</f>
        <v/>
      </c>
      <c r="G82" s="63">
        <f>IF(aux_Árbol!$C$65=1,IF(C82&gt;=3,"Relación fuerte (3): rama principal del árbol",IF(C82=2,"Relación moderada (2): refuerza la rama","Relación débil (1): afluente de la rama")),"")</f>
        <v/>
      </c>
      <c r="H82" s="10">
        <f>IF(aux_Árbol!$C$65=1,INDEX('M6'!$I$10:$I$49,aux_Árbol!$F$65),"")</f>
        <v/>
      </c>
    </row>
    <row r="84" ht="22" customHeight="1" s="62">
      <c r="A84" s="70" t="inlineStr">
        <is>
          <t>Nota metodológica · se recalcula con su matriz</t>
        </is>
      </c>
    </row>
    <row r="85" ht="34" customHeight="1" s="62">
      <c r="A85" s="63">
        <f>IF(matrizOK,"La clasificación por cuadrantes se toma de M6 (relaciones indirectas). "&amp;IF(AND(ISNUMBER(Evolución!$J$6),ISNUMBER(Evolución!$J$7)),"Los rangos de influencia se estabilizan desde M"&amp;Evolución!$J$6&amp;" y los de dependencia desde M"&amp;Evolución!$J$7&amp;" hasta M6 (ver hoja Evolución)"&amp;IF(AND(Evolución!$J$6&lt;=2,Evolución!$J$7&lt;=2),", por lo que el árbol no depende de la potencia elegida.","; con estas estabilidades conviene revisar si otra potencia cambiaría la clasificación."),""),"")</f>
        <v/>
      </c>
    </row>
    <row r="86" ht="34" customHeight="1" s="62">
      <c r="A86" s="63">
        <f>IF(matrizOK,"La densidad de la matriz M ("&amp;SUMPRODUCT(--('M1'!$M$10:$AZ$49&gt;0))&amp;" de "&amp;(nVariables*(nVariables-1))&amp;" relaciones valoradas con valor mayor que 0, "&amp;ROUND(SUMPRODUCT(--('M1'!$M$10:$AZ$49&gt;0))/(nVariables*(nVariables-1))*100,0)&amp;" %) "&amp;IF(SUMPRODUCT(--('M1'!$M$10:$AZ$49&gt;0))/(nVariables*(nVariables-1))&gt;=0.6,"explica esa convergencia: al estar la mayoría de las variables conectadas de forma directa, los recorridos indirectos refuerzan la estructura en lugar de revelar influencias ocultas.","es moderada o baja: los recorridos indirectos pueden revelar influencias que no se ven en las relaciones directas."),"")</f>
        <v/>
      </c>
    </row>
    <row r="87" ht="34" customHeight="1" s="62">
      <c r="A87" s="63">
        <f>IF(AND(matrizOK,COUNTIF('M1'!$M$10:$AZ$49,1)+COUNTIF('M1'!$M$10:$AZ$49,2)+COUNTIF('M1'!$M$10:$AZ$49,3)&gt;0),"Límite declarado: valores 1 / 2 / 3 usados = "&amp;COUNTIF('M1'!$M$10:$AZ$49,1)&amp;" / "&amp;COUNTIF('M1'!$M$10:$AZ$49,2)&amp;" / "&amp;COUNTIF('M1'!$M$10:$AZ$49,3)&amp;". "&amp;IF((COUNTIF('M1'!$M$10:$AZ$49,2)+COUNTIF('M1'!$M$10:$AZ$49,3))/(COUNTIF('M1'!$M$10:$AZ$49,1)+COUNTIF('M1'!$M$10:$AZ$49,2)+COUNTIF('M1'!$M$10:$AZ$49,3))&lt;0.15,"La escala 0–3 se usó casi siempre como 0 o 1 (solo "&amp;COUNTIF('M1'!$M$10:$AZ$49,2)&amp;" celdas con valor 2 y "&amp;COUNTIF('M1'!$M$10:$AZ$49,3)&amp;" con valor 3), lo que reduce la capacidad de discriminación del método. Una valoración futura debería aprovechar el rango completo de la escala.","La escala 0–3 se aprovechó con diversidad de valores."),"")</f>
        <v/>
      </c>
    </row>
    <row r="88" ht="34" customHeight="1" s="62">
      <c r="A88" s="63" t="inlineStr">
        <is>
          <t>Los enunciados escritos en las celdas azul claro son propuestas de redacción; deben validarse con el equipo del proyecto antes de incorporarlos al documento.</t>
        </is>
      </c>
    </row>
    <row r="90" ht="22" customHeight="1" s="62">
      <c r="A90" s="70" t="inlineStr">
        <is>
          <t>⑦  ESQUEMA DEL ÁRBOL · efectos arriba, problema central al medio, causas abajo</t>
        </is>
      </c>
    </row>
    <row r="91" ht="34" customHeight="1" s="62">
      <c r="A91" s="63" t="inlineStr">
        <is>
          <t>El esquema gráfico se genera solo, como SVG editable, en la hoja SVG (fila «Árbol de Problemas (esquema)»): si cambia M o las celdas azul claro, el código SVG se actualiza. Cópielo a un archivo .svg para abrirlo en Illustrator, Inkscape, Figma o PowerPoint.</t>
        </is>
      </c>
    </row>
  </sheetData>
  <mergeCells count="23">
    <mergeCell ref="A60:H60"/>
    <mergeCell ref="C14:G14"/>
    <mergeCell ref="A1:H1"/>
    <mergeCell ref="A61:H61"/>
    <mergeCell ref="A6:H6"/>
    <mergeCell ref="A88:H88"/>
    <mergeCell ref="A87:H87"/>
    <mergeCell ref="A16:H16"/>
    <mergeCell ref="A90:H90"/>
    <mergeCell ref="A84:H84"/>
    <mergeCell ref="A3:H3"/>
    <mergeCell ref="A86:H86"/>
    <mergeCell ref="C12:G12"/>
    <mergeCell ref="A2:H2"/>
    <mergeCell ref="A85:H85"/>
    <mergeCell ref="C11:G11"/>
    <mergeCell ref="C8:G8"/>
    <mergeCell ref="A17:H17"/>
    <mergeCell ref="A4:H4"/>
    <mergeCell ref="C7:G7"/>
    <mergeCell ref="A91:H91"/>
    <mergeCell ref="A10:H10"/>
    <mergeCell ref="C13:G13"/>
  </mergeCells>
  <conditionalFormatting sqref="A19:E58">
    <cfRule type="expression" priority="2" dxfId="4" stopIfTrue="1">
      <formula>$A19&gt;nVariables</formula>
    </cfRule>
  </conditionalFormatting>
  <conditionalFormatting sqref="A63:H82">
    <cfRule type="expression" priority="11" dxfId="4" stopIfTrue="1">
      <formula>$B63=""</formula>
    </cfRule>
  </conditionalFormatting>
  <conditionalFormatting sqref="C19:C58">
    <cfRule type="expression" priority="3" dxfId="10" stopIfTrue="1">
      <formula>$C19="Motriz"</formula>
    </cfRule>
    <cfRule type="expression" priority="5" dxfId="9" stopIfTrue="1">
      <formula>$C19="Enlace"</formula>
    </cfRule>
    <cfRule type="expression" priority="7" dxfId="1" stopIfTrue="1">
      <formula>$C19="Resultado"</formula>
    </cfRule>
    <cfRule type="expression" priority="9" dxfId="7" stopIfTrue="1">
      <formula>$C19="Autónoma"</formula>
    </cfRule>
  </conditionalFormatting>
  <conditionalFormatting sqref="G19:H58">
    <cfRule type="expression" priority="1" dxfId="4" stopIfTrue="1">
      <formula>$A19&gt;nVariables</formula>
    </cfRule>
  </conditionalFormatting>
  <conditionalFormatting sqref="H19:H58">
    <cfRule type="expression" priority="4" dxfId="10" stopIfTrue="1">
      <formula>$C19="Motriz"</formula>
    </cfRule>
    <cfRule type="expression" priority="6" dxfId="9" stopIfTrue="1">
      <formula>$C19="Enlace"</formula>
    </cfRule>
    <cfRule type="expression" priority="8" dxfId="1" stopIfTrue="1">
      <formula>$C19="Resultado"</formula>
    </cfRule>
    <cfRule type="expression" priority="10" dxfId="7" stopIfTrue="1">
      <formula>$C19="Autónoma"</formula>
    </cfRule>
  </conditionalFormatting>
  <conditionalFormatting sqref="H63:H82">
    <cfRule type="expression" priority="12" dxfId="10" stopIfTrue="1">
      <formula>$H63="Motriz"</formula>
    </cfRule>
    <cfRule type="expression" priority="13" dxfId="9" stopIfTrue="1">
      <formula>$H63="Enlace"</formula>
    </cfRule>
    <cfRule type="expression" priority="14" dxfId="1" stopIfTrue="1">
      <formula>$H63="Resultado"</formula>
    </cfRule>
    <cfRule type="expression" priority="15" dxfId="7" stopIfTrue="1">
      <formula>$H63="Autónoma"</formula>
    </cfRule>
  </conditionalFormatting>
  <pageMargins left="0.75" right="0.75" top="1" bottom="1" header="0.5" footer="0.5"/>
  <pageSetup orientation="landscape" fitToHeight="0"/>
</worksheet>
</file>

<file path=xl/worksheets/sheet11.xml><?xml version="1.0" encoding="utf-8"?>
<worksheet xmlns="http://schemas.openxmlformats.org/spreadsheetml/2006/main">
  <sheetPr>
    <tabColor rgb="FF6699CC"/>
    <outlinePr summaryBelow="1" summaryRight="1"/>
    <pageSetUpPr fitToPage="1"/>
  </sheetPr>
  <dimension ref="A1:E15"/>
  <sheetViews>
    <sheetView showGridLines="0" zoomScale="85" workbookViewId="0">
      <selection activeCell="A1" sqref="A1:E1"/>
    </sheetView>
  </sheetViews>
  <sheetFormatPr baseColWidth="10" defaultColWidth="8.83203125" defaultRowHeight="15"/>
  <cols>
    <col width="34" customWidth="1" style="62" min="1" max="1"/>
    <col width="80" customWidth="1" style="62" min="2" max="2"/>
    <col width="70" customWidth="1" style="62" min="3" max="3"/>
    <col width="14" customWidth="1" style="62" min="4" max="4"/>
    <col width="26" customWidth="1" style="62" min="5" max="5"/>
  </cols>
  <sheetData>
    <row r="1" ht="30" customHeight="1" s="62">
      <c r="A1" s="65" t="inlineStr">
        <is>
          <t>SVG  |  Gráficos vectoriales que se generan solos a partir de M</t>
        </is>
      </c>
    </row>
    <row r="2" ht="60" customHeight="1" s="62">
      <c r="A2" s="63" t="inlineStr">
        <is>
          <t>Cada fila contiene el código completo de un gráfico SVG, construido por fórmulas: cambia solo cuando usted cambia M (número de variables, valores, nombres) y siempre corresponde a la matriz actual. Para obtener el archivo: (1) haga clic en la celda de la columna C del gráfico que quiere; (2) copie (⌘C o Ctrl+C); (3) pegue en un editor de texto plano (TextEdit en modo «Convertir en texto plano», Bloc de notas, VS Code) y guarde con extensión .svg; (4) ábralo en Illustrator, Inkscape, Figma, PowerPoint o el navegador. Los elementos vienen agrupados con nombre (cuadrantes, ejes, puntos, leyenda…) para editarlos por separado.</t>
        </is>
      </c>
    </row>
    <row r="3" ht="24" customHeight="1" s="62">
      <c r="A3" s="61">
        <f>IF(matrizOK,"Gráficos listos para "&amp;nVariables&amp;" variables.","Complete y corrija M: mientras tanto cada celda contiene un SVG de aviso.")</f>
        <v/>
      </c>
    </row>
    <row r="5" ht="26" customHeight="1" s="62">
      <c r="A5" s="69" t="inlineStr">
        <is>
          <t>Gráfico</t>
        </is>
      </c>
      <c r="B5" s="69" t="inlineStr">
        <is>
          <t>Qué muestra</t>
        </is>
      </c>
      <c r="C5" s="69" t="inlineStr">
        <is>
          <t>Código SVG  (copie la celda completa)</t>
        </is>
      </c>
      <c r="D5" s="69" t="inlineStr">
        <is>
          <t>Caracteres</t>
        </is>
      </c>
      <c r="E5" s="69" t="inlineStr">
        <is>
          <t>Estado</t>
        </is>
      </c>
    </row>
    <row r="6" ht="36" customHeight="1" s="62">
      <c r="A6" s="44" t="inlineStr">
        <is>
          <t>Plano influencia–dependencia · M1</t>
        </is>
      </c>
      <c r="B6" s="34" t="inlineStr">
        <is>
          <t>Plano con cuadrantes Motriz, Enlace, Resultado y Autónoma para relaciones directas (M1), medianas como cortes y leyenda de variables.</t>
        </is>
      </c>
      <c r="C6" s="45">
        <f>aux_SVG!$I$36</f>
        <v/>
      </c>
      <c r="D6" s="36">
        <f>LEN(C6)</f>
        <v/>
      </c>
      <c r="E6" s="46">
        <f>IF(aux_SVG!$I$4=1,IF(D6&gt;32000,"Demasiado largo","Listo"),IF(matrizOK,"Sin recorridos","Pendiente: complete M"))</f>
        <v/>
      </c>
    </row>
    <row r="7" ht="36" customHeight="1" s="62">
      <c r="A7" s="44" t="inlineStr">
        <is>
          <t>Plano influencia–dependencia · M2</t>
        </is>
      </c>
      <c r="B7" s="34" t="inlineStr">
        <is>
          <t>Plano con cuadrantes Motriz, Enlace, Resultado y Autónoma para recorridos de 2 vínculos (M2), medianas como cortes y leyenda de variables.</t>
        </is>
      </c>
      <c r="C7" s="45">
        <f>aux_SVG!$AA$36</f>
        <v/>
      </c>
      <c r="D7" s="36">
        <f>LEN(C7)</f>
        <v/>
      </c>
      <c r="E7" s="46">
        <f>IF(aux_SVG!$AA$4=1,IF(D7&gt;32000,"Demasiado largo","Listo"),IF(matrizOK,"Sin recorridos","Pendiente: complete M"))</f>
        <v/>
      </c>
    </row>
    <row r="8" ht="36" customHeight="1" s="62">
      <c r="A8" s="44" t="inlineStr">
        <is>
          <t>Plano influencia–dependencia · M3</t>
        </is>
      </c>
      <c r="B8" s="34" t="inlineStr">
        <is>
          <t>Plano con cuadrantes Motriz, Enlace, Resultado y Autónoma para recorridos de 3 vínculos (M3), medianas como cortes y leyenda de variables.</t>
        </is>
      </c>
      <c r="C8" s="45">
        <f>aux_SVG!$AS$36</f>
        <v/>
      </c>
      <c r="D8" s="36">
        <f>LEN(C8)</f>
        <v/>
      </c>
      <c r="E8" s="46">
        <f>IF(aux_SVG!$AS$4=1,IF(D8&gt;32000,"Demasiado largo","Listo"),IF(matrizOK,"Sin recorridos","Pendiente: complete M"))</f>
        <v/>
      </c>
    </row>
    <row r="9" ht="36" customHeight="1" s="62">
      <c r="A9" s="44" t="inlineStr">
        <is>
          <t>Plano influencia–dependencia · M4</t>
        </is>
      </c>
      <c r="B9" s="34" t="inlineStr">
        <is>
          <t>Plano con cuadrantes Motriz, Enlace, Resultado y Autónoma para recorridos de 4 vínculos (M4), medianas como cortes y leyenda de variables.</t>
        </is>
      </c>
      <c r="C9" s="45">
        <f>aux_SVG!$BK$36</f>
        <v/>
      </c>
      <c r="D9" s="36">
        <f>LEN(C9)</f>
        <v/>
      </c>
      <c r="E9" s="46">
        <f>IF(aux_SVG!$BK$4=1,IF(D9&gt;32000,"Demasiado largo","Listo"),IF(matrizOK,"Sin recorridos","Pendiente: complete M"))</f>
        <v/>
      </c>
    </row>
    <row r="10" ht="36" customHeight="1" s="62">
      <c r="A10" s="44" t="inlineStr">
        <is>
          <t>Plano influencia–dependencia · M5</t>
        </is>
      </c>
      <c r="B10" s="34" t="inlineStr">
        <is>
          <t>Plano con cuadrantes Motriz, Enlace, Resultado y Autónoma para recorridos de 5 vínculos (M5), medianas como cortes y leyenda de variables.</t>
        </is>
      </c>
      <c r="C10" s="45">
        <f>aux_SVG!$CC$36</f>
        <v/>
      </c>
      <c r="D10" s="36">
        <f>LEN(C10)</f>
        <v/>
      </c>
      <c r="E10" s="46">
        <f>IF(aux_SVG!$CC$4=1,IF(D10&gt;32000,"Demasiado largo","Listo"),IF(matrizOK,"Sin recorridos","Pendiente: complete M"))</f>
        <v/>
      </c>
    </row>
    <row r="11" ht="36" customHeight="1" s="62">
      <c r="A11" s="44" t="inlineStr">
        <is>
          <t>Plano influencia–dependencia · M6</t>
        </is>
      </c>
      <c r="B11" s="34" t="inlineStr">
        <is>
          <t>Plano con cuadrantes Motriz, Enlace, Resultado y Autónoma para recorridos de 6 vínculos (M6), medianas como cortes y leyenda de variables.</t>
        </is>
      </c>
      <c r="C11" s="45">
        <f>aux_SVG!$CU$36</f>
        <v/>
      </c>
      <c r="D11" s="36">
        <f>LEN(C11)</f>
        <v/>
      </c>
      <c r="E11" s="46">
        <f>IF(aux_SVG!$CU$4=1,IF(D11&gt;32000,"Demasiado largo","Listo"),IF(matrizOK,"Sin recorridos","Pendiente: complete M"))</f>
        <v/>
      </c>
    </row>
    <row r="12" ht="36" customHeight="1" s="62">
      <c r="A12" s="44" t="inlineStr">
        <is>
          <t>Árbol de Problemas (esquema)</t>
        </is>
      </c>
      <c r="B12" s="34" t="inlineStr">
        <is>
          <t>Efectos arriba, problema central al medio, causas directas y raíz abajo, y variables fuera del alcance; cada variable se ubica según su cuadrante en M6.</t>
        </is>
      </c>
      <c r="C12" s="45">
        <f>aux_SVG!$DM$44</f>
        <v/>
      </c>
      <c r="D12" s="36">
        <f>LEN(C12)</f>
        <v/>
      </c>
      <c r="E12" s="46">
        <f>IF(aux_SVG!$DM$4=1,IF(D12&gt;32000,"Demasiado largo","Listo"),IF(matrizOK,"Sin recorridos","Pendiente: complete M"))</f>
        <v/>
      </c>
    </row>
    <row r="14" ht="30" customHeight="1" s="62">
      <c r="A14" s="63" t="inlineStr">
        <is>
          <t>Límite técnico: una celda de Excel admite 32 767 caracteres. Con 40 variables cada gráfico ocupa alrededor de la mitad; si algún día se acercara al límite, la columna Estado lo avisa.</t>
        </is>
      </c>
    </row>
    <row r="15" ht="30" customHeight="1" s="62">
      <c r="A15" s="63" t="inlineStr">
        <is>
          <t>Los textos de los gráficos se escapan automáticamente (&amp;, &lt;, &gt;, comillas), de modo que cualquier nombre de variable produce un SVG válido. Las coordenadas usan punto decimal sin importar la configuración regional de Excel.</t>
        </is>
      </c>
    </row>
  </sheetData>
  <mergeCells count="5">
    <mergeCell ref="A2:E2"/>
    <mergeCell ref="A15:E15"/>
    <mergeCell ref="A1:E1"/>
    <mergeCell ref="A14:E14"/>
    <mergeCell ref="A3:E3"/>
  </mergeCells>
  <conditionalFormatting sqref="E6:E12">
    <cfRule type="expression" priority="1" dxfId="1">
      <formula>E6="Listo"</formula>
    </cfRule>
    <cfRule type="expression" priority="2" dxfId="0">
      <formula>E6&lt;&gt;"Listo"</formula>
    </cfRule>
  </conditionalFormatting>
  <pageMargins left="0.75" right="0.75" top="1" bottom="1" header="0.5" footer="0.5"/>
  <pageSetup orientation="landscape" fitToHeight="0"/>
</worksheet>
</file>

<file path=xl/worksheets/sheet12.xml><?xml version="1.0" encoding="utf-8"?>
<worksheet xmlns="http://schemas.openxmlformats.org/spreadsheetml/2006/main">
  <sheetPr>
    <tabColor rgb="FF6699CC"/>
    <outlinePr summaryBelow="1" summaryRight="1"/>
    <pageSetUpPr fitToPage="1"/>
  </sheetPr>
  <dimension ref="A1:H66"/>
  <sheetViews>
    <sheetView showGridLines="0" zoomScale="85" workbookViewId="0">
      <selection activeCell="A1" sqref="A1:H1"/>
    </sheetView>
  </sheetViews>
  <sheetFormatPr baseColWidth="10" defaultColWidth="8.83203125" defaultRowHeight="15"/>
  <cols>
    <col width="6" customWidth="1" style="62" min="1" max="1"/>
    <col width="46" customWidth="1" style="62" min="2" max="2"/>
    <col width="19" customWidth="1" style="62" min="3" max="4"/>
    <col width="17" customWidth="1" style="62" min="5" max="5"/>
    <col width="19" customWidth="1" style="62" min="6" max="7"/>
    <col width="17" customWidth="1" style="62" min="8" max="8"/>
  </cols>
  <sheetData>
    <row r="1" ht="30" customHeight="1" s="62">
      <c r="A1" s="65" t="inlineStr">
        <is>
          <t>Cómo se calcula una celda de M2 y de M3</t>
        </is>
      </c>
    </row>
    <row r="2" ht="32" customHeight="1" s="62">
      <c r="A2" s="63" t="inlineStr">
        <is>
          <t>Ejemplo que cambia con M: elija un origen y un destino (número de variable). Lea un intermediario por fila y multiplique los dos tramos. Cambie los números de las celdas azul claro para recorrer cualquier par de variables.</t>
        </is>
      </c>
    </row>
    <row r="3" ht="26" customHeight="1" s="62">
      <c r="A3" s="61">
        <f>IF(NOT(matrizOK),"Complete y corrija M para ver el ejemplo.",IF($C$7,"Origen: "&amp;$D$5&amp;"  →  destino: "&amp;$D$6&amp;".","Elija en las celdas azul claro números de variable entre 1 y "&amp;nVariables&amp;"."))</f>
        <v/>
      </c>
    </row>
    <row r="5" ht="22" customHeight="1" s="62">
      <c r="B5" s="61" t="inlineStr">
        <is>
          <t>Origen (N.º de variable)</t>
        </is>
      </c>
      <c r="C5" s="47" t="n">
        <v>1</v>
      </c>
      <c r="D5" s="81">
        <f>IF(AND(matrizOK,ISNUMBER(C5),C5&gt;=1,C5&lt;=nVariables),INDEX(M!$B$10:$B$49,C5),"")</f>
        <v/>
      </c>
    </row>
    <row r="6" ht="22" customHeight="1" s="62">
      <c r="B6" s="61" t="inlineStr">
        <is>
          <t>Destino (N.º de variable)</t>
        </is>
      </c>
      <c r="C6" s="47" t="n">
        <v>2</v>
      </c>
      <c r="D6" s="81">
        <f>IF(AND(matrizOK,ISNUMBER(C6),C6&gt;=1,C6&lt;=nVariables),INDEX(M!$B$10:$B$49,C6),"")</f>
        <v/>
      </c>
    </row>
    <row r="7" ht="22" customHeight="1" s="62">
      <c r="B7" s="61" t="inlineStr">
        <is>
          <t>¿Selección válida?</t>
        </is>
      </c>
      <c r="C7" s="13">
        <f>AND(matrizOK,ISNUMBER($C$5),ISNUMBER($C$6),$C$5&gt;=1,$C$5&lt;=nVariables,$C$6&gt;=1,$C$6&lt;=nVariables,$C$5=INT($C$5),$C$6=INT($C$6))</f>
        <v/>
      </c>
    </row>
    <row r="9" ht="44" customHeight="1" s="62">
      <c r="A9" s="17" t="inlineStr">
        <is>
          <t>N.º</t>
        </is>
      </c>
      <c r="B9" s="17" t="inlineStr">
        <is>
          <t>Intermediario</t>
        </is>
      </c>
      <c r="C9" s="17" t="inlineStr">
        <is>
          <t>Origen hacia intermed. en M1</t>
        </is>
      </c>
      <c r="D9" s="17" t="inlineStr">
        <is>
          <t>Intermed. hacia destino en M</t>
        </is>
      </c>
      <c r="E9" s="17" t="inlineStr">
        <is>
          <t>Producto para M2</t>
        </is>
      </c>
      <c r="F9" s="17" t="inlineStr">
        <is>
          <t>Origen hacia intermed. en M2</t>
        </is>
      </c>
      <c r="G9" s="17" t="inlineStr">
        <is>
          <t>Intermed. hacia destino en M</t>
        </is>
      </c>
      <c r="H9" s="17" t="inlineStr">
        <is>
          <t>Producto para M3</t>
        </is>
      </c>
    </row>
    <row r="10" ht="21" customHeight="1" s="62">
      <c r="A10" s="6" t="n">
        <v>1</v>
      </c>
      <c r="B10" s="81">
        <f>IF($A10&lt;=nVariables,M!B10,"")</f>
        <v/>
      </c>
      <c r="C10" s="48">
        <f>IF(AND(matrizOK,$A10&lt;=nVariables,$C$7),INDEX('M1'!$M$10:$AZ$49,$C$5,$A10),"")</f>
        <v/>
      </c>
      <c r="D10" s="48">
        <f>IF(AND(matrizOK,$A10&lt;=nVariables,$C$7),INDEX('M1'!$M$10:$AZ$49,$A10,$C$6),"")</f>
        <v/>
      </c>
      <c r="E10" s="49">
        <f>IF(AND(matrizOK,$A10&lt;=nVariables,$C$7),C10*D10,"")</f>
        <v/>
      </c>
      <c r="F10" s="48">
        <f>IF(AND(matrizOK,$A10&lt;=nVariables,$C$7),INDEX('M2'!$M$10:$AZ$49,$C$5,$A10),"")</f>
        <v/>
      </c>
      <c r="G10" s="48">
        <f>IF(AND(matrizOK,$A10&lt;=nVariables,$C$7),INDEX('M1'!$M$10:$AZ$49,$A10,$C$6),"")</f>
        <v/>
      </c>
      <c r="H10" s="49">
        <f>IF(AND(matrizOK,$A10&lt;=nVariables,$C$7),F10*G10,"")</f>
        <v/>
      </c>
    </row>
    <row r="11" ht="21" customHeight="1" s="62">
      <c r="A11" s="6" t="n">
        <v>2</v>
      </c>
      <c r="B11" s="81">
        <f>IF($A11&lt;=nVariables,M!B11,"")</f>
        <v/>
      </c>
      <c r="C11" s="48">
        <f>IF(AND(matrizOK,$A11&lt;=nVariables,$C$7),INDEX('M1'!$M$10:$AZ$49,$C$5,$A11),"")</f>
        <v/>
      </c>
      <c r="D11" s="48">
        <f>IF(AND(matrizOK,$A11&lt;=nVariables,$C$7),INDEX('M1'!$M$10:$AZ$49,$A11,$C$6),"")</f>
        <v/>
      </c>
      <c r="E11" s="49">
        <f>IF(AND(matrizOK,$A11&lt;=nVariables,$C$7),C11*D11,"")</f>
        <v/>
      </c>
      <c r="F11" s="48">
        <f>IF(AND(matrizOK,$A11&lt;=nVariables,$C$7),INDEX('M2'!$M$10:$AZ$49,$C$5,$A11),"")</f>
        <v/>
      </c>
      <c r="G11" s="48">
        <f>IF(AND(matrizOK,$A11&lt;=nVariables,$C$7),INDEX('M1'!$M$10:$AZ$49,$A11,$C$6),"")</f>
        <v/>
      </c>
      <c r="H11" s="49">
        <f>IF(AND(matrizOK,$A11&lt;=nVariables,$C$7),F11*G11,"")</f>
        <v/>
      </c>
    </row>
    <row r="12" ht="21" customHeight="1" s="62">
      <c r="A12" s="6" t="n">
        <v>3</v>
      </c>
      <c r="B12" s="81">
        <f>IF($A12&lt;=nVariables,M!B12,"")</f>
        <v/>
      </c>
      <c r="C12" s="48">
        <f>IF(AND(matrizOK,$A12&lt;=nVariables,$C$7),INDEX('M1'!$M$10:$AZ$49,$C$5,$A12),"")</f>
        <v/>
      </c>
      <c r="D12" s="48">
        <f>IF(AND(matrizOK,$A12&lt;=nVariables,$C$7),INDEX('M1'!$M$10:$AZ$49,$A12,$C$6),"")</f>
        <v/>
      </c>
      <c r="E12" s="49">
        <f>IF(AND(matrizOK,$A12&lt;=nVariables,$C$7),C12*D12,"")</f>
        <v/>
      </c>
      <c r="F12" s="48">
        <f>IF(AND(matrizOK,$A12&lt;=nVariables,$C$7),INDEX('M2'!$M$10:$AZ$49,$C$5,$A12),"")</f>
        <v/>
      </c>
      <c r="G12" s="48">
        <f>IF(AND(matrizOK,$A12&lt;=nVariables,$C$7),INDEX('M1'!$M$10:$AZ$49,$A12,$C$6),"")</f>
        <v/>
      </c>
      <c r="H12" s="49">
        <f>IF(AND(matrizOK,$A12&lt;=nVariables,$C$7),F12*G12,"")</f>
        <v/>
      </c>
    </row>
    <row r="13" ht="21" customHeight="1" s="62">
      <c r="A13" s="6" t="n">
        <v>4</v>
      </c>
      <c r="B13" s="81">
        <f>IF($A13&lt;=nVariables,M!B13,"")</f>
        <v/>
      </c>
      <c r="C13" s="48">
        <f>IF(AND(matrizOK,$A13&lt;=nVariables,$C$7),INDEX('M1'!$M$10:$AZ$49,$C$5,$A13),"")</f>
        <v/>
      </c>
      <c r="D13" s="48">
        <f>IF(AND(matrizOK,$A13&lt;=nVariables,$C$7),INDEX('M1'!$M$10:$AZ$49,$A13,$C$6),"")</f>
        <v/>
      </c>
      <c r="E13" s="49">
        <f>IF(AND(matrizOK,$A13&lt;=nVariables,$C$7),C13*D13,"")</f>
        <v/>
      </c>
      <c r="F13" s="48">
        <f>IF(AND(matrizOK,$A13&lt;=nVariables,$C$7),INDEX('M2'!$M$10:$AZ$49,$C$5,$A13),"")</f>
        <v/>
      </c>
      <c r="G13" s="48">
        <f>IF(AND(matrizOK,$A13&lt;=nVariables,$C$7),INDEX('M1'!$M$10:$AZ$49,$A13,$C$6),"")</f>
        <v/>
      </c>
      <c r="H13" s="49">
        <f>IF(AND(matrizOK,$A13&lt;=nVariables,$C$7),F13*G13,"")</f>
        <v/>
      </c>
    </row>
    <row r="14" ht="21" customHeight="1" s="62">
      <c r="A14" s="6" t="n">
        <v>5</v>
      </c>
      <c r="B14" s="81">
        <f>IF($A14&lt;=nVariables,M!B14,"")</f>
        <v/>
      </c>
      <c r="C14" s="48">
        <f>IF(AND(matrizOK,$A14&lt;=nVariables,$C$7),INDEX('M1'!$M$10:$AZ$49,$C$5,$A14),"")</f>
        <v/>
      </c>
      <c r="D14" s="48">
        <f>IF(AND(matrizOK,$A14&lt;=nVariables,$C$7),INDEX('M1'!$M$10:$AZ$49,$A14,$C$6),"")</f>
        <v/>
      </c>
      <c r="E14" s="49">
        <f>IF(AND(matrizOK,$A14&lt;=nVariables,$C$7),C14*D14,"")</f>
        <v/>
      </c>
      <c r="F14" s="48">
        <f>IF(AND(matrizOK,$A14&lt;=nVariables,$C$7),INDEX('M2'!$M$10:$AZ$49,$C$5,$A14),"")</f>
        <v/>
      </c>
      <c r="G14" s="48">
        <f>IF(AND(matrizOK,$A14&lt;=nVariables,$C$7),INDEX('M1'!$M$10:$AZ$49,$A14,$C$6),"")</f>
        <v/>
      </c>
      <c r="H14" s="49">
        <f>IF(AND(matrizOK,$A14&lt;=nVariables,$C$7),F14*G14,"")</f>
        <v/>
      </c>
    </row>
    <row r="15" ht="21" customHeight="1" s="62">
      <c r="A15" s="6" t="n">
        <v>6</v>
      </c>
      <c r="B15" s="81">
        <f>IF($A15&lt;=nVariables,M!B15,"")</f>
        <v/>
      </c>
      <c r="C15" s="48">
        <f>IF(AND(matrizOK,$A15&lt;=nVariables,$C$7),INDEX('M1'!$M$10:$AZ$49,$C$5,$A15),"")</f>
        <v/>
      </c>
      <c r="D15" s="48">
        <f>IF(AND(matrizOK,$A15&lt;=nVariables,$C$7),INDEX('M1'!$M$10:$AZ$49,$A15,$C$6),"")</f>
        <v/>
      </c>
      <c r="E15" s="49">
        <f>IF(AND(matrizOK,$A15&lt;=nVariables,$C$7),C15*D15,"")</f>
        <v/>
      </c>
      <c r="F15" s="48">
        <f>IF(AND(matrizOK,$A15&lt;=nVariables,$C$7),INDEX('M2'!$M$10:$AZ$49,$C$5,$A15),"")</f>
        <v/>
      </c>
      <c r="G15" s="48">
        <f>IF(AND(matrizOK,$A15&lt;=nVariables,$C$7),INDEX('M1'!$M$10:$AZ$49,$A15,$C$6),"")</f>
        <v/>
      </c>
      <c r="H15" s="49">
        <f>IF(AND(matrizOK,$A15&lt;=nVariables,$C$7),F15*G15,"")</f>
        <v/>
      </c>
    </row>
    <row r="16" ht="21" customHeight="1" s="62">
      <c r="A16" s="6" t="n">
        <v>7</v>
      </c>
      <c r="B16" s="81">
        <f>IF($A16&lt;=nVariables,M!B16,"")</f>
        <v/>
      </c>
      <c r="C16" s="48">
        <f>IF(AND(matrizOK,$A16&lt;=nVariables,$C$7),INDEX('M1'!$M$10:$AZ$49,$C$5,$A16),"")</f>
        <v/>
      </c>
      <c r="D16" s="48">
        <f>IF(AND(matrizOK,$A16&lt;=nVariables,$C$7),INDEX('M1'!$M$10:$AZ$49,$A16,$C$6),"")</f>
        <v/>
      </c>
      <c r="E16" s="49">
        <f>IF(AND(matrizOK,$A16&lt;=nVariables,$C$7),C16*D16,"")</f>
        <v/>
      </c>
      <c r="F16" s="48">
        <f>IF(AND(matrizOK,$A16&lt;=nVariables,$C$7),INDEX('M2'!$M$10:$AZ$49,$C$5,$A16),"")</f>
        <v/>
      </c>
      <c r="G16" s="48">
        <f>IF(AND(matrizOK,$A16&lt;=nVariables,$C$7),INDEX('M1'!$M$10:$AZ$49,$A16,$C$6),"")</f>
        <v/>
      </c>
      <c r="H16" s="49">
        <f>IF(AND(matrizOK,$A16&lt;=nVariables,$C$7),F16*G16,"")</f>
        <v/>
      </c>
    </row>
    <row r="17" ht="21" customHeight="1" s="62">
      <c r="A17" s="6" t="n">
        <v>8</v>
      </c>
      <c r="B17" s="81">
        <f>IF($A17&lt;=nVariables,M!B17,"")</f>
        <v/>
      </c>
      <c r="C17" s="48">
        <f>IF(AND(matrizOK,$A17&lt;=nVariables,$C$7),INDEX('M1'!$M$10:$AZ$49,$C$5,$A17),"")</f>
        <v/>
      </c>
      <c r="D17" s="48">
        <f>IF(AND(matrizOK,$A17&lt;=nVariables,$C$7),INDEX('M1'!$M$10:$AZ$49,$A17,$C$6),"")</f>
        <v/>
      </c>
      <c r="E17" s="49">
        <f>IF(AND(matrizOK,$A17&lt;=nVariables,$C$7),C17*D17,"")</f>
        <v/>
      </c>
      <c r="F17" s="48">
        <f>IF(AND(matrizOK,$A17&lt;=nVariables,$C$7),INDEX('M2'!$M$10:$AZ$49,$C$5,$A17),"")</f>
        <v/>
      </c>
      <c r="G17" s="48">
        <f>IF(AND(matrizOK,$A17&lt;=nVariables,$C$7),INDEX('M1'!$M$10:$AZ$49,$A17,$C$6),"")</f>
        <v/>
      </c>
      <c r="H17" s="49">
        <f>IF(AND(matrizOK,$A17&lt;=nVariables,$C$7),F17*G17,"")</f>
        <v/>
      </c>
    </row>
    <row r="18" ht="21" customHeight="1" s="62">
      <c r="A18" s="6" t="n">
        <v>9</v>
      </c>
      <c r="B18" s="81">
        <f>IF($A18&lt;=nVariables,M!B18,"")</f>
        <v/>
      </c>
      <c r="C18" s="48">
        <f>IF(AND(matrizOK,$A18&lt;=nVariables,$C$7),INDEX('M1'!$M$10:$AZ$49,$C$5,$A18),"")</f>
        <v/>
      </c>
      <c r="D18" s="48">
        <f>IF(AND(matrizOK,$A18&lt;=nVariables,$C$7),INDEX('M1'!$M$10:$AZ$49,$A18,$C$6),"")</f>
        <v/>
      </c>
      <c r="E18" s="49">
        <f>IF(AND(matrizOK,$A18&lt;=nVariables,$C$7),C18*D18,"")</f>
        <v/>
      </c>
      <c r="F18" s="48">
        <f>IF(AND(matrizOK,$A18&lt;=nVariables,$C$7),INDEX('M2'!$M$10:$AZ$49,$C$5,$A18),"")</f>
        <v/>
      </c>
      <c r="G18" s="48">
        <f>IF(AND(matrizOK,$A18&lt;=nVariables,$C$7),INDEX('M1'!$M$10:$AZ$49,$A18,$C$6),"")</f>
        <v/>
      </c>
      <c r="H18" s="49">
        <f>IF(AND(matrizOK,$A18&lt;=nVariables,$C$7),F18*G18,"")</f>
        <v/>
      </c>
    </row>
    <row r="19" ht="21" customHeight="1" s="62">
      <c r="A19" s="6" t="n">
        <v>10</v>
      </c>
      <c r="B19" s="81">
        <f>IF($A19&lt;=nVariables,M!B19,"")</f>
        <v/>
      </c>
      <c r="C19" s="48">
        <f>IF(AND(matrizOK,$A19&lt;=nVariables,$C$7),INDEX('M1'!$M$10:$AZ$49,$C$5,$A19),"")</f>
        <v/>
      </c>
      <c r="D19" s="48">
        <f>IF(AND(matrizOK,$A19&lt;=nVariables,$C$7),INDEX('M1'!$M$10:$AZ$49,$A19,$C$6),"")</f>
        <v/>
      </c>
      <c r="E19" s="49">
        <f>IF(AND(matrizOK,$A19&lt;=nVariables,$C$7),C19*D19,"")</f>
        <v/>
      </c>
      <c r="F19" s="48">
        <f>IF(AND(matrizOK,$A19&lt;=nVariables,$C$7),INDEX('M2'!$M$10:$AZ$49,$C$5,$A19),"")</f>
        <v/>
      </c>
      <c r="G19" s="48">
        <f>IF(AND(matrizOK,$A19&lt;=nVariables,$C$7),INDEX('M1'!$M$10:$AZ$49,$A19,$C$6),"")</f>
        <v/>
      </c>
      <c r="H19" s="49">
        <f>IF(AND(matrizOK,$A19&lt;=nVariables,$C$7),F19*G19,"")</f>
        <v/>
      </c>
    </row>
    <row r="20" ht="21" customHeight="1" s="62">
      <c r="A20" s="6" t="n">
        <v>11</v>
      </c>
      <c r="B20" s="81">
        <f>IF($A20&lt;=nVariables,M!B20,"")</f>
        <v/>
      </c>
      <c r="C20" s="48">
        <f>IF(AND(matrizOK,$A20&lt;=nVariables,$C$7),INDEX('M1'!$M$10:$AZ$49,$C$5,$A20),"")</f>
        <v/>
      </c>
      <c r="D20" s="48">
        <f>IF(AND(matrizOK,$A20&lt;=nVariables,$C$7),INDEX('M1'!$M$10:$AZ$49,$A20,$C$6),"")</f>
        <v/>
      </c>
      <c r="E20" s="49">
        <f>IF(AND(matrizOK,$A20&lt;=nVariables,$C$7),C20*D20,"")</f>
        <v/>
      </c>
      <c r="F20" s="48">
        <f>IF(AND(matrizOK,$A20&lt;=nVariables,$C$7),INDEX('M2'!$M$10:$AZ$49,$C$5,$A20),"")</f>
        <v/>
      </c>
      <c r="G20" s="48">
        <f>IF(AND(matrizOK,$A20&lt;=nVariables,$C$7),INDEX('M1'!$M$10:$AZ$49,$A20,$C$6),"")</f>
        <v/>
      </c>
      <c r="H20" s="49">
        <f>IF(AND(matrizOK,$A20&lt;=nVariables,$C$7),F20*G20,"")</f>
        <v/>
      </c>
    </row>
    <row r="21" ht="21" customHeight="1" s="62">
      <c r="A21" s="6" t="n">
        <v>12</v>
      </c>
      <c r="B21" s="81">
        <f>IF($A21&lt;=nVariables,M!B21,"")</f>
        <v/>
      </c>
      <c r="C21" s="48">
        <f>IF(AND(matrizOK,$A21&lt;=nVariables,$C$7),INDEX('M1'!$M$10:$AZ$49,$C$5,$A21),"")</f>
        <v/>
      </c>
      <c r="D21" s="48">
        <f>IF(AND(matrizOK,$A21&lt;=nVariables,$C$7),INDEX('M1'!$M$10:$AZ$49,$A21,$C$6),"")</f>
        <v/>
      </c>
      <c r="E21" s="49">
        <f>IF(AND(matrizOK,$A21&lt;=nVariables,$C$7),C21*D21,"")</f>
        <v/>
      </c>
      <c r="F21" s="48">
        <f>IF(AND(matrizOK,$A21&lt;=nVariables,$C$7),INDEX('M2'!$M$10:$AZ$49,$C$5,$A21),"")</f>
        <v/>
      </c>
      <c r="G21" s="48">
        <f>IF(AND(matrizOK,$A21&lt;=nVariables,$C$7),INDEX('M1'!$M$10:$AZ$49,$A21,$C$6),"")</f>
        <v/>
      </c>
      <c r="H21" s="49">
        <f>IF(AND(matrizOK,$A21&lt;=nVariables,$C$7),F21*G21,"")</f>
        <v/>
      </c>
    </row>
    <row r="22" ht="21" customHeight="1" s="62">
      <c r="A22" s="6" t="n">
        <v>13</v>
      </c>
      <c r="B22" s="81">
        <f>IF($A22&lt;=nVariables,M!B22,"")</f>
        <v/>
      </c>
      <c r="C22" s="48">
        <f>IF(AND(matrizOK,$A22&lt;=nVariables,$C$7),INDEX('M1'!$M$10:$AZ$49,$C$5,$A22),"")</f>
        <v/>
      </c>
      <c r="D22" s="48">
        <f>IF(AND(matrizOK,$A22&lt;=nVariables,$C$7),INDEX('M1'!$M$10:$AZ$49,$A22,$C$6),"")</f>
        <v/>
      </c>
      <c r="E22" s="49">
        <f>IF(AND(matrizOK,$A22&lt;=nVariables,$C$7),C22*D22,"")</f>
        <v/>
      </c>
      <c r="F22" s="48">
        <f>IF(AND(matrizOK,$A22&lt;=nVariables,$C$7),INDEX('M2'!$M$10:$AZ$49,$C$5,$A22),"")</f>
        <v/>
      </c>
      <c r="G22" s="48">
        <f>IF(AND(matrizOK,$A22&lt;=nVariables,$C$7),INDEX('M1'!$M$10:$AZ$49,$A22,$C$6),"")</f>
        <v/>
      </c>
      <c r="H22" s="49">
        <f>IF(AND(matrizOK,$A22&lt;=nVariables,$C$7),F22*G22,"")</f>
        <v/>
      </c>
    </row>
    <row r="23" ht="21" customHeight="1" s="62">
      <c r="A23" s="6" t="n">
        <v>14</v>
      </c>
      <c r="B23" s="81">
        <f>IF($A23&lt;=nVariables,M!B23,"")</f>
        <v/>
      </c>
      <c r="C23" s="48">
        <f>IF(AND(matrizOK,$A23&lt;=nVariables,$C$7),INDEX('M1'!$M$10:$AZ$49,$C$5,$A23),"")</f>
        <v/>
      </c>
      <c r="D23" s="48">
        <f>IF(AND(matrizOK,$A23&lt;=nVariables,$C$7),INDEX('M1'!$M$10:$AZ$49,$A23,$C$6),"")</f>
        <v/>
      </c>
      <c r="E23" s="49">
        <f>IF(AND(matrizOK,$A23&lt;=nVariables,$C$7),C23*D23,"")</f>
        <v/>
      </c>
      <c r="F23" s="48">
        <f>IF(AND(matrizOK,$A23&lt;=nVariables,$C$7),INDEX('M2'!$M$10:$AZ$49,$C$5,$A23),"")</f>
        <v/>
      </c>
      <c r="G23" s="48">
        <f>IF(AND(matrizOK,$A23&lt;=nVariables,$C$7),INDEX('M1'!$M$10:$AZ$49,$A23,$C$6),"")</f>
        <v/>
      </c>
      <c r="H23" s="49">
        <f>IF(AND(matrizOK,$A23&lt;=nVariables,$C$7),F23*G23,"")</f>
        <v/>
      </c>
    </row>
    <row r="24" ht="21" customHeight="1" s="62">
      <c r="A24" s="6" t="n">
        <v>15</v>
      </c>
      <c r="B24" s="81">
        <f>IF($A24&lt;=nVariables,M!B24,"")</f>
        <v/>
      </c>
      <c r="C24" s="48">
        <f>IF(AND(matrizOK,$A24&lt;=nVariables,$C$7),INDEX('M1'!$M$10:$AZ$49,$C$5,$A24),"")</f>
        <v/>
      </c>
      <c r="D24" s="48">
        <f>IF(AND(matrizOK,$A24&lt;=nVariables,$C$7),INDEX('M1'!$M$10:$AZ$49,$A24,$C$6),"")</f>
        <v/>
      </c>
      <c r="E24" s="49">
        <f>IF(AND(matrizOK,$A24&lt;=nVariables,$C$7),C24*D24,"")</f>
        <v/>
      </c>
      <c r="F24" s="48">
        <f>IF(AND(matrizOK,$A24&lt;=nVariables,$C$7),INDEX('M2'!$M$10:$AZ$49,$C$5,$A24),"")</f>
        <v/>
      </c>
      <c r="G24" s="48">
        <f>IF(AND(matrizOK,$A24&lt;=nVariables,$C$7),INDEX('M1'!$M$10:$AZ$49,$A24,$C$6),"")</f>
        <v/>
      </c>
      <c r="H24" s="49">
        <f>IF(AND(matrizOK,$A24&lt;=nVariables,$C$7),F24*G24,"")</f>
        <v/>
      </c>
    </row>
    <row r="25" ht="21" customHeight="1" s="62">
      <c r="A25" s="6" t="n">
        <v>16</v>
      </c>
      <c r="B25" s="81">
        <f>IF($A25&lt;=nVariables,M!B25,"")</f>
        <v/>
      </c>
      <c r="C25" s="48">
        <f>IF(AND(matrizOK,$A25&lt;=nVariables,$C$7),INDEX('M1'!$M$10:$AZ$49,$C$5,$A25),"")</f>
        <v/>
      </c>
      <c r="D25" s="48">
        <f>IF(AND(matrizOK,$A25&lt;=nVariables,$C$7),INDEX('M1'!$M$10:$AZ$49,$A25,$C$6),"")</f>
        <v/>
      </c>
      <c r="E25" s="49">
        <f>IF(AND(matrizOK,$A25&lt;=nVariables,$C$7),C25*D25,"")</f>
        <v/>
      </c>
      <c r="F25" s="48">
        <f>IF(AND(matrizOK,$A25&lt;=nVariables,$C$7),INDEX('M2'!$M$10:$AZ$49,$C$5,$A25),"")</f>
        <v/>
      </c>
      <c r="G25" s="48">
        <f>IF(AND(matrizOK,$A25&lt;=nVariables,$C$7),INDEX('M1'!$M$10:$AZ$49,$A25,$C$6),"")</f>
        <v/>
      </c>
      <c r="H25" s="49">
        <f>IF(AND(matrizOK,$A25&lt;=nVariables,$C$7),F25*G25,"")</f>
        <v/>
      </c>
    </row>
    <row r="26" ht="21" customHeight="1" s="62">
      <c r="A26" s="6" t="n">
        <v>17</v>
      </c>
      <c r="B26" s="81">
        <f>IF($A26&lt;=nVariables,M!B26,"")</f>
        <v/>
      </c>
      <c r="C26" s="48">
        <f>IF(AND(matrizOK,$A26&lt;=nVariables,$C$7),INDEX('M1'!$M$10:$AZ$49,$C$5,$A26),"")</f>
        <v/>
      </c>
      <c r="D26" s="48">
        <f>IF(AND(matrizOK,$A26&lt;=nVariables,$C$7),INDEX('M1'!$M$10:$AZ$49,$A26,$C$6),"")</f>
        <v/>
      </c>
      <c r="E26" s="49">
        <f>IF(AND(matrizOK,$A26&lt;=nVariables,$C$7),C26*D26,"")</f>
        <v/>
      </c>
      <c r="F26" s="48">
        <f>IF(AND(matrizOK,$A26&lt;=nVariables,$C$7),INDEX('M2'!$M$10:$AZ$49,$C$5,$A26),"")</f>
        <v/>
      </c>
      <c r="G26" s="48">
        <f>IF(AND(matrizOK,$A26&lt;=nVariables,$C$7),INDEX('M1'!$M$10:$AZ$49,$A26,$C$6),"")</f>
        <v/>
      </c>
      <c r="H26" s="49">
        <f>IF(AND(matrizOK,$A26&lt;=nVariables,$C$7),F26*G26,"")</f>
        <v/>
      </c>
    </row>
    <row r="27" ht="21" customHeight="1" s="62">
      <c r="A27" s="6" t="n">
        <v>18</v>
      </c>
      <c r="B27" s="81">
        <f>IF($A27&lt;=nVariables,M!B27,"")</f>
        <v/>
      </c>
      <c r="C27" s="48">
        <f>IF(AND(matrizOK,$A27&lt;=nVariables,$C$7),INDEX('M1'!$M$10:$AZ$49,$C$5,$A27),"")</f>
        <v/>
      </c>
      <c r="D27" s="48">
        <f>IF(AND(matrizOK,$A27&lt;=nVariables,$C$7),INDEX('M1'!$M$10:$AZ$49,$A27,$C$6),"")</f>
        <v/>
      </c>
      <c r="E27" s="49">
        <f>IF(AND(matrizOK,$A27&lt;=nVariables,$C$7),C27*D27,"")</f>
        <v/>
      </c>
      <c r="F27" s="48">
        <f>IF(AND(matrizOK,$A27&lt;=nVariables,$C$7),INDEX('M2'!$M$10:$AZ$49,$C$5,$A27),"")</f>
        <v/>
      </c>
      <c r="G27" s="48">
        <f>IF(AND(matrizOK,$A27&lt;=nVariables,$C$7),INDEX('M1'!$M$10:$AZ$49,$A27,$C$6),"")</f>
        <v/>
      </c>
      <c r="H27" s="49">
        <f>IF(AND(matrizOK,$A27&lt;=nVariables,$C$7),F27*G27,"")</f>
        <v/>
      </c>
    </row>
    <row r="28" ht="21" customHeight="1" s="62">
      <c r="A28" s="6" t="n">
        <v>19</v>
      </c>
      <c r="B28" s="81">
        <f>IF($A28&lt;=nVariables,M!B28,"")</f>
        <v/>
      </c>
      <c r="C28" s="48">
        <f>IF(AND(matrizOK,$A28&lt;=nVariables,$C$7),INDEX('M1'!$M$10:$AZ$49,$C$5,$A28),"")</f>
        <v/>
      </c>
      <c r="D28" s="48">
        <f>IF(AND(matrizOK,$A28&lt;=nVariables,$C$7),INDEX('M1'!$M$10:$AZ$49,$A28,$C$6),"")</f>
        <v/>
      </c>
      <c r="E28" s="49">
        <f>IF(AND(matrizOK,$A28&lt;=nVariables,$C$7),C28*D28,"")</f>
        <v/>
      </c>
      <c r="F28" s="48">
        <f>IF(AND(matrizOK,$A28&lt;=nVariables,$C$7),INDEX('M2'!$M$10:$AZ$49,$C$5,$A28),"")</f>
        <v/>
      </c>
      <c r="G28" s="48">
        <f>IF(AND(matrizOK,$A28&lt;=nVariables,$C$7),INDEX('M1'!$M$10:$AZ$49,$A28,$C$6),"")</f>
        <v/>
      </c>
      <c r="H28" s="49">
        <f>IF(AND(matrizOK,$A28&lt;=nVariables,$C$7),F28*G28,"")</f>
        <v/>
      </c>
    </row>
    <row r="29" ht="21" customHeight="1" s="62">
      <c r="A29" s="6" t="n">
        <v>20</v>
      </c>
      <c r="B29" s="81">
        <f>IF($A29&lt;=nVariables,M!B29,"")</f>
        <v/>
      </c>
      <c r="C29" s="48">
        <f>IF(AND(matrizOK,$A29&lt;=nVariables,$C$7),INDEX('M1'!$M$10:$AZ$49,$C$5,$A29),"")</f>
        <v/>
      </c>
      <c r="D29" s="48">
        <f>IF(AND(matrizOK,$A29&lt;=nVariables,$C$7),INDEX('M1'!$M$10:$AZ$49,$A29,$C$6),"")</f>
        <v/>
      </c>
      <c r="E29" s="49">
        <f>IF(AND(matrizOK,$A29&lt;=nVariables,$C$7),C29*D29,"")</f>
        <v/>
      </c>
      <c r="F29" s="48">
        <f>IF(AND(matrizOK,$A29&lt;=nVariables,$C$7),INDEX('M2'!$M$10:$AZ$49,$C$5,$A29),"")</f>
        <v/>
      </c>
      <c r="G29" s="48">
        <f>IF(AND(matrizOK,$A29&lt;=nVariables,$C$7),INDEX('M1'!$M$10:$AZ$49,$A29,$C$6),"")</f>
        <v/>
      </c>
      <c r="H29" s="49">
        <f>IF(AND(matrizOK,$A29&lt;=nVariables,$C$7),F29*G29,"")</f>
        <v/>
      </c>
    </row>
    <row r="30" ht="21" customHeight="1" s="62">
      <c r="A30" s="6" t="n">
        <v>21</v>
      </c>
      <c r="B30" s="81">
        <f>IF($A30&lt;=nVariables,M!B30,"")</f>
        <v/>
      </c>
      <c r="C30" s="48">
        <f>IF(AND(matrizOK,$A30&lt;=nVariables,$C$7),INDEX('M1'!$M$10:$AZ$49,$C$5,$A30),"")</f>
        <v/>
      </c>
      <c r="D30" s="48">
        <f>IF(AND(matrizOK,$A30&lt;=nVariables,$C$7),INDEX('M1'!$M$10:$AZ$49,$A30,$C$6),"")</f>
        <v/>
      </c>
      <c r="E30" s="49">
        <f>IF(AND(matrizOK,$A30&lt;=nVariables,$C$7),C30*D30,"")</f>
        <v/>
      </c>
      <c r="F30" s="48">
        <f>IF(AND(matrizOK,$A30&lt;=nVariables,$C$7),INDEX('M2'!$M$10:$AZ$49,$C$5,$A30),"")</f>
        <v/>
      </c>
      <c r="G30" s="48">
        <f>IF(AND(matrizOK,$A30&lt;=nVariables,$C$7),INDEX('M1'!$M$10:$AZ$49,$A30,$C$6),"")</f>
        <v/>
      </c>
      <c r="H30" s="49">
        <f>IF(AND(matrizOK,$A30&lt;=nVariables,$C$7),F30*G30,"")</f>
        <v/>
      </c>
    </row>
    <row r="31" ht="21" customHeight="1" s="62">
      <c r="A31" s="6" t="n">
        <v>22</v>
      </c>
      <c r="B31" s="81">
        <f>IF($A31&lt;=nVariables,M!B31,"")</f>
        <v/>
      </c>
      <c r="C31" s="48">
        <f>IF(AND(matrizOK,$A31&lt;=nVariables,$C$7),INDEX('M1'!$M$10:$AZ$49,$C$5,$A31),"")</f>
        <v/>
      </c>
      <c r="D31" s="48">
        <f>IF(AND(matrizOK,$A31&lt;=nVariables,$C$7),INDEX('M1'!$M$10:$AZ$49,$A31,$C$6),"")</f>
        <v/>
      </c>
      <c r="E31" s="49">
        <f>IF(AND(matrizOK,$A31&lt;=nVariables,$C$7),C31*D31,"")</f>
        <v/>
      </c>
      <c r="F31" s="48">
        <f>IF(AND(matrizOK,$A31&lt;=nVariables,$C$7),INDEX('M2'!$M$10:$AZ$49,$C$5,$A31),"")</f>
        <v/>
      </c>
      <c r="G31" s="48">
        <f>IF(AND(matrizOK,$A31&lt;=nVariables,$C$7),INDEX('M1'!$M$10:$AZ$49,$A31,$C$6),"")</f>
        <v/>
      </c>
      <c r="H31" s="49">
        <f>IF(AND(matrizOK,$A31&lt;=nVariables,$C$7),F31*G31,"")</f>
        <v/>
      </c>
    </row>
    <row r="32" ht="21" customHeight="1" s="62">
      <c r="A32" s="6" t="n">
        <v>23</v>
      </c>
      <c r="B32" s="81">
        <f>IF($A32&lt;=nVariables,M!B32,"")</f>
        <v/>
      </c>
      <c r="C32" s="48">
        <f>IF(AND(matrizOK,$A32&lt;=nVariables,$C$7),INDEX('M1'!$M$10:$AZ$49,$C$5,$A32),"")</f>
        <v/>
      </c>
      <c r="D32" s="48">
        <f>IF(AND(matrizOK,$A32&lt;=nVariables,$C$7),INDEX('M1'!$M$10:$AZ$49,$A32,$C$6),"")</f>
        <v/>
      </c>
      <c r="E32" s="49">
        <f>IF(AND(matrizOK,$A32&lt;=nVariables,$C$7),C32*D32,"")</f>
        <v/>
      </c>
      <c r="F32" s="48">
        <f>IF(AND(matrizOK,$A32&lt;=nVariables,$C$7),INDEX('M2'!$M$10:$AZ$49,$C$5,$A32),"")</f>
        <v/>
      </c>
      <c r="G32" s="48">
        <f>IF(AND(matrizOK,$A32&lt;=nVariables,$C$7),INDEX('M1'!$M$10:$AZ$49,$A32,$C$6),"")</f>
        <v/>
      </c>
      <c r="H32" s="49">
        <f>IF(AND(matrizOK,$A32&lt;=nVariables,$C$7),F32*G32,"")</f>
        <v/>
      </c>
    </row>
    <row r="33" ht="21" customHeight="1" s="62">
      <c r="A33" s="6" t="n">
        <v>24</v>
      </c>
      <c r="B33" s="81">
        <f>IF($A33&lt;=nVariables,M!B33,"")</f>
        <v/>
      </c>
      <c r="C33" s="48">
        <f>IF(AND(matrizOK,$A33&lt;=nVariables,$C$7),INDEX('M1'!$M$10:$AZ$49,$C$5,$A33),"")</f>
        <v/>
      </c>
      <c r="D33" s="48">
        <f>IF(AND(matrizOK,$A33&lt;=nVariables,$C$7),INDEX('M1'!$M$10:$AZ$49,$A33,$C$6),"")</f>
        <v/>
      </c>
      <c r="E33" s="49">
        <f>IF(AND(matrizOK,$A33&lt;=nVariables,$C$7),C33*D33,"")</f>
        <v/>
      </c>
      <c r="F33" s="48">
        <f>IF(AND(matrizOK,$A33&lt;=nVariables,$C$7),INDEX('M2'!$M$10:$AZ$49,$C$5,$A33),"")</f>
        <v/>
      </c>
      <c r="G33" s="48">
        <f>IF(AND(matrizOK,$A33&lt;=nVariables,$C$7),INDEX('M1'!$M$10:$AZ$49,$A33,$C$6),"")</f>
        <v/>
      </c>
      <c r="H33" s="49">
        <f>IF(AND(matrizOK,$A33&lt;=nVariables,$C$7),F33*G33,"")</f>
        <v/>
      </c>
    </row>
    <row r="34" ht="21" customHeight="1" s="62">
      <c r="A34" s="6" t="n">
        <v>25</v>
      </c>
      <c r="B34" s="81">
        <f>IF($A34&lt;=nVariables,M!B34,"")</f>
        <v/>
      </c>
      <c r="C34" s="48">
        <f>IF(AND(matrizOK,$A34&lt;=nVariables,$C$7),INDEX('M1'!$M$10:$AZ$49,$C$5,$A34),"")</f>
        <v/>
      </c>
      <c r="D34" s="48">
        <f>IF(AND(matrizOK,$A34&lt;=nVariables,$C$7),INDEX('M1'!$M$10:$AZ$49,$A34,$C$6),"")</f>
        <v/>
      </c>
      <c r="E34" s="49">
        <f>IF(AND(matrizOK,$A34&lt;=nVariables,$C$7),C34*D34,"")</f>
        <v/>
      </c>
      <c r="F34" s="48">
        <f>IF(AND(matrizOK,$A34&lt;=nVariables,$C$7),INDEX('M2'!$M$10:$AZ$49,$C$5,$A34),"")</f>
        <v/>
      </c>
      <c r="G34" s="48">
        <f>IF(AND(matrizOK,$A34&lt;=nVariables,$C$7),INDEX('M1'!$M$10:$AZ$49,$A34,$C$6),"")</f>
        <v/>
      </c>
      <c r="H34" s="49">
        <f>IF(AND(matrizOK,$A34&lt;=nVariables,$C$7),F34*G34,"")</f>
        <v/>
      </c>
    </row>
    <row r="35" ht="21" customHeight="1" s="62">
      <c r="A35" s="6" t="n">
        <v>26</v>
      </c>
      <c r="B35" s="81">
        <f>IF($A35&lt;=nVariables,M!B35,"")</f>
        <v/>
      </c>
      <c r="C35" s="48">
        <f>IF(AND(matrizOK,$A35&lt;=nVariables,$C$7),INDEX('M1'!$M$10:$AZ$49,$C$5,$A35),"")</f>
        <v/>
      </c>
      <c r="D35" s="48">
        <f>IF(AND(matrizOK,$A35&lt;=nVariables,$C$7),INDEX('M1'!$M$10:$AZ$49,$A35,$C$6),"")</f>
        <v/>
      </c>
      <c r="E35" s="49">
        <f>IF(AND(matrizOK,$A35&lt;=nVariables,$C$7),C35*D35,"")</f>
        <v/>
      </c>
      <c r="F35" s="48">
        <f>IF(AND(matrizOK,$A35&lt;=nVariables,$C$7),INDEX('M2'!$M$10:$AZ$49,$C$5,$A35),"")</f>
        <v/>
      </c>
      <c r="G35" s="48">
        <f>IF(AND(matrizOK,$A35&lt;=nVariables,$C$7),INDEX('M1'!$M$10:$AZ$49,$A35,$C$6),"")</f>
        <v/>
      </c>
      <c r="H35" s="49">
        <f>IF(AND(matrizOK,$A35&lt;=nVariables,$C$7),F35*G35,"")</f>
        <v/>
      </c>
    </row>
    <row r="36" ht="21" customHeight="1" s="62">
      <c r="A36" s="6" t="n">
        <v>27</v>
      </c>
      <c r="B36" s="81">
        <f>IF($A36&lt;=nVariables,M!B36,"")</f>
        <v/>
      </c>
      <c r="C36" s="48">
        <f>IF(AND(matrizOK,$A36&lt;=nVariables,$C$7),INDEX('M1'!$M$10:$AZ$49,$C$5,$A36),"")</f>
        <v/>
      </c>
      <c r="D36" s="48">
        <f>IF(AND(matrizOK,$A36&lt;=nVariables,$C$7),INDEX('M1'!$M$10:$AZ$49,$A36,$C$6),"")</f>
        <v/>
      </c>
      <c r="E36" s="49">
        <f>IF(AND(matrizOK,$A36&lt;=nVariables,$C$7),C36*D36,"")</f>
        <v/>
      </c>
      <c r="F36" s="48">
        <f>IF(AND(matrizOK,$A36&lt;=nVariables,$C$7),INDEX('M2'!$M$10:$AZ$49,$C$5,$A36),"")</f>
        <v/>
      </c>
      <c r="G36" s="48">
        <f>IF(AND(matrizOK,$A36&lt;=nVariables,$C$7),INDEX('M1'!$M$10:$AZ$49,$A36,$C$6),"")</f>
        <v/>
      </c>
      <c r="H36" s="49">
        <f>IF(AND(matrizOK,$A36&lt;=nVariables,$C$7),F36*G36,"")</f>
        <v/>
      </c>
    </row>
    <row r="37" ht="21" customHeight="1" s="62">
      <c r="A37" s="6" t="n">
        <v>28</v>
      </c>
      <c r="B37" s="81">
        <f>IF($A37&lt;=nVariables,M!B37,"")</f>
        <v/>
      </c>
      <c r="C37" s="48">
        <f>IF(AND(matrizOK,$A37&lt;=nVariables,$C$7),INDEX('M1'!$M$10:$AZ$49,$C$5,$A37),"")</f>
        <v/>
      </c>
      <c r="D37" s="48">
        <f>IF(AND(matrizOK,$A37&lt;=nVariables,$C$7),INDEX('M1'!$M$10:$AZ$49,$A37,$C$6),"")</f>
        <v/>
      </c>
      <c r="E37" s="49">
        <f>IF(AND(matrizOK,$A37&lt;=nVariables,$C$7),C37*D37,"")</f>
        <v/>
      </c>
      <c r="F37" s="48">
        <f>IF(AND(matrizOK,$A37&lt;=nVariables,$C$7),INDEX('M2'!$M$10:$AZ$49,$C$5,$A37),"")</f>
        <v/>
      </c>
      <c r="G37" s="48">
        <f>IF(AND(matrizOK,$A37&lt;=nVariables,$C$7),INDEX('M1'!$M$10:$AZ$49,$A37,$C$6),"")</f>
        <v/>
      </c>
      <c r="H37" s="49">
        <f>IF(AND(matrizOK,$A37&lt;=nVariables,$C$7),F37*G37,"")</f>
        <v/>
      </c>
    </row>
    <row r="38" ht="21" customHeight="1" s="62">
      <c r="A38" s="6" t="n">
        <v>29</v>
      </c>
      <c r="B38" s="81">
        <f>IF($A38&lt;=nVariables,M!B38,"")</f>
        <v/>
      </c>
      <c r="C38" s="48">
        <f>IF(AND(matrizOK,$A38&lt;=nVariables,$C$7),INDEX('M1'!$M$10:$AZ$49,$C$5,$A38),"")</f>
        <v/>
      </c>
      <c r="D38" s="48">
        <f>IF(AND(matrizOK,$A38&lt;=nVariables,$C$7),INDEX('M1'!$M$10:$AZ$49,$A38,$C$6),"")</f>
        <v/>
      </c>
      <c r="E38" s="49">
        <f>IF(AND(matrizOK,$A38&lt;=nVariables,$C$7),C38*D38,"")</f>
        <v/>
      </c>
      <c r="F38" s="48">
        <f>IF(AND(matrizOK,$A38&lt;=nVariables,$C$7),INDEX('M2'!$M$10:$AZ$49,$C$5,$A38),"")</f>
        <v/>
      </c>
      <c r="G38" s="48">
        <f>IF(AND(matrizOK,$A38&lt;=nVariables,$C$7),INDEX('M1'!$M$10:$AZ$49,$A38,$C$6),"")</f>
        <v/>
      </c>
      <c r="H38" s="49">
        <f>IF(AND(matrizOK,$A38&lt;=nVariables,$C$7),F38*G38,"")</f>
        <v/>
      </c>
    </row>
    <row r="39" ht="21" customHeight="1" s="62">
      <c r="A39" s="6" t="n">
        <v>30</v>
      </c>
      <c r="B39" s="81">
        <f>IF($A39&lt;=nVariables,M!B39,"")</f>
        <v/>
      </c>
      <c r="C39" s="48">
        <f>IF(AND(matrizOK,$A39&lt;=nVariables,$C$7),INDEX('M1'!$M$10:$AZ$49,$C$5,$A39),"")</f>
        <v/>
      </c>
      <c r="D39" s="48">
        <f>IF(AND(matrizOK,$A39&lt;=nVariables,$C$7),INDEX('M1'!$M$10:$AZ$49,$A39,$C$6),"")</f>
        <v/>
      </c>
      <c r="E39" s="49">
        <f>IF(AND(matrizOK,$A39&lt;=nVariables,$C$7),C39*D39,"")</f>
        <v/>
      </c>
      <c r="F39" s="48">
        <f>IF(AND(matrizOK,$A39&lt;=nVariables,$C$7),INDEX('M2'!$M$10:$AZ$49,$C$5,$A39),"")</f>
        <v/>
      </c>
      <c r="G39" s="48">
        <f>IF(AND(matrizOK,$A39&lt;=nVariables,$C$7),INDEX('M1'!$M$10:$AZ$49,$A39,$C$6),"")</f>
        <v/>
      </c>
      <c r="H39" s="49">
        <f>IF(AND(matrizOK,$A39&lt;=nVariables,$C$7),F39*G39,"")</f>
        <v/>
      </c>
    </row>
    <row r="40" ht="21" customHeight="1" s="62">
      <c r="A40" s="6" t="n">
        <v>31</v>
      </c>
      <c r="B40" s="81">
        <f>IF($A40&lt;=nVariables,M!B40,"")</f>
        <v/>
      </c>
      <c r="C40" s="48">
        <f>IF(AND(matrizOK,$A40&lt;=nVariables,$C$7),INDEX('M1'!$M$10:$AZ$49,$C$5,$A40),"")</f>
        <v/>
      </c>
      <c r="D40" s="48">
        <f>IF(AND(matrizOK,$A40&lt;=nVariables,$C$7),INDEX('M1'!$M$10:$AZ$49,$A40,$C$6),"")</f>
        <v/>
      </c>
      <c r="E40" s="49">
        <f>IF(AND(matrizOK,$A40&lt;=nVariables,$C$7),C40*D40,"")</f>
        <v/>
      </c>
      <c r="F40" s="48">
        <f>IF(AND(matrizOK,$A40&lt;=nVariables,$C$7),INDEX('M2'!$M$10:$AZ$49,$C$5,$A40),"")</f>
        <v/>
      </c>
      <c r="G40" s="48">
        <f>IF(AND(matrizOK,$A40&lt;=nVariables,$C$7),INDEX('M1'!$M$10:$AZ$49,$A40,$C$6),"")</f>
        <v/>
      </c>
      <c r="H40" s="49">
        <f>IF(AND(matrizOK,$A40&lt;=nVariables,$C$7),F40*G40,"")</f>
        <v/>
      </c>
    </row>
    <row r="41" ht="21" customHeight="1" s="62">
      <c r="A41" s="6" t="n">
        <v>32</v>
      </c>
      <c r="B41" s="81">
        <f>IF($A41&lt;=nVariables,M!B41,"")</f>
        <v/>
      </c>
      <c r="C41" s="48">
        <f>IF(AND(matrizOK,$A41&lt;=nVariables,$C$7),INDEX('M1'!$M$10:$AZ$49,$C$5,$A41),"")</f>
        <v/>
      </c>
      <c r="D41" s="48">
        <f>IF(AND(matrizOK,$A41&lt;=nVariables,$C$7),INDEX('M1'!$M$10:$AZ$49,$A41,$C$6),"")</f>
        <v/>
      </c>
      <c r="E41" s="49">
        <f>IF(AND(matrizOK,$A41&lt;=nVariables,$C$7),C41*D41,"")</f>
        <v/>
      </c>
      <c r="F41" s="48">
        <f>IF(AND(matrizOK,$A41&lt;=nVariables,$C$7),INDEX('M2'!$M$10:$AZ$49,$C$5,$A41),"")</f>
        <v/>
      </c>
      <c r="G41" s="48">
        <f>IF(AND(matrizOK,$A41&lt;=nVariables,$C$7),INDEX('M1'!$M$10:$AZ$49,$A41,$C$6),"")</f>
        <v/>
      </c>
      <c r="H41" s="49">
        <f>IF(AND(matrizOK,$A41&lt;=nVariables,$C$7),F41*G41,"")</f>
        <v/>
      </c>
    </row>
    <row r="42" ht="21" customHeight="1" s="62">
      <c r="A42" s="6" t="n">
        <v>33</v>
      </c>
      <c r="B42" s="81">
        <f>IF($A42&lt;=nVariables,M!B42,"")</f>
        <v/>
      </c>
      <c r="C42" s="48">
        <f>IF(AND(matrizOK,$A42&lt;=nVariables,$C$7),INDEX('M1'!$M$10:$AZ$49,$C$5,$A42),"")</f>
        <v/>
      </c>
      <c r="D42" s="48">
        <f>IF(AND(matrizOK,$A42&lt;=nVariables,$C$7),INDEX('M1'!$M$10:$AZ$49,$A42,$C$6),"")</f>
        <v/>
      </c>
      <c r="E42" s="49">
        <f>IF(AND(matrizOK,$A42&lt;=nVariables,$C$7),C42*D42,"")</f>
        <v/>
      </c>
      <c r="F42" s="48">
        <f>IF(AND(matrizOK,$A42&lt;=nVariables,$C$7),INDEX('M2'!$M$10:$AZ$49,$C$5,$A42),"")</f>
        <v/>
      </c>
      <c r="G42" s="48">
        <f>IF(AND(matrizOK,$A42&lt;=nVariables,$C$7),INDEX('M1'!$M$10:$AZ$49,$A42,$C$6),"")</f>
        <v/>
      </c>
      <c r="H42" s="49">
        <f>IF(AND(matrizOK,$A42&lt;=nVariables,$C$7),F42*G42,"")</f>
        <v/>
      </c>
    </row>
    <row r="43" ht="21" customHeight="1" s="62">
      <c r="A43" s="6" t="n">
        <v>34</v>
      </c>
      <c r="B43" s="81">
        <f>IF($A43&lt;=nVariables,M!B43,"")</f>
        <v/>
      </c>
      <c r="C43" s="48">
        <f>IF(AND(matrizOK,$A43&lt;=nVariables,$C$7),INDEX('M1'!$M$10:$AZ$49,$C$5,$A43),"")</f>
        <v/>
      </c>
      <c r="D43" s="48">
        <f>IF(AND(matrizOK,$A43&lt;=nVariables,$C$7),INDEX('M1'!$M$10:$AZ$49,$A43,$C$6),"")</f>
        <v/>
      </c>
      <c r="E43" s="49">
        <f>IF(AND(matrizOK,$A43&lt;=nVariables,$C$7),C43*D43,"")</f>
        <v/>
      </c>
      <c r="F43" s="48">
        <f>IF(AND(matrizOK,$A43&lt;=nVariables,$C$7),INDEX('M2'!$M$10:$AZ$49,$C$5,$A43),"")</f>
        <v/>
      </c>
      <c r="G43" s="48">
        <f>IF(AND(matrizOK,$A43&lt;=nVariables,$C$7),INDEX('M1'!$M$10:$AZ$49,$A43,$C$6),"")</f>
        <v/>
      </c>
      <c r="H43" s="49">
        <f>IF(AND(matrizOK,$A43&lt;=nVariables,$C$7),F43*G43,"")</f>
        <v/>
      </c>
    </row>
    <row r="44" ht="21" customHeight="1" s="62">
      <c r="A44" s="6" t="n">
        <v>35</v>
      </c>
      <c r="B44" s="81">
        <f>IF($A44&lt;=nVariables,M!B44,"")</f>
        <v/>
      </c>
      <c r="C44" s="48">
        <f>IF(AND(matrizOK,$A44&lt;=nVariables,$C$7),INDEX('M1'!$M$10:$AZ$49,$C$5,$A44),"")</f>
        <v/>
      </c>
      <c r="D44" s="48">
        <f>IF(AND(matrizOK,$A44&lt;=nVariables,$C$7),INDEX('M1'!$M$10:$AZ$49,$A44,$C$6),"")</f>
        <v/>
      </c>
      <c r="E44" s="49">
        <f>IF(AND(matrizOK,$A44&lt;=nVariables,$C$7),C44*D44,"")</f>
        <v/>
      </c>
      <c r="F44" s="48">
        <f>IF(AND(matrizOK,$A44&lt;=nVariables,$C$7),INDEX('M2'!$M$10:$AZ$49,$C$5,$A44),"")</f>
        <v/>
      </c>
      <c r="G44" s="48">
        <f>IF(AND(matrizOK,$A44&lt;=nVariables,$C$7),INDEX('M1'!$M$10:$AZ$49,$A44,$C$6),"")</f>
        <v/>
      </c>
      <c r="H44" s="49">
        <f>IF(AND(matrizOK,$A44&lt;=nVariables,$C$7),F44*G44,"")</f>
        <v/>
      </c>
    </row>
    <row r="45" ht="21" customHeight="1" s="62">
      <c r="A45" s="6" t="n">
        <v>36</v>
      </c>
      <c r="B45" s="81">
        <f>IF($A45&lt;=nVariables,M!B45,"")</f>
        <v/>
      </c>
      <c r="C45" s="48">
        <f>IF(AND(matrizOK,$A45&lt;=nVariables,$C$7),INDEX('M1'!$M$10:$AZ$49,$C$5,$A45),"")</f>
        <v/>
      </c>
      <c r="D45" s="48">
        <f>IF(AND(matrizOK,$A45&lt;=nVariables,$C$7),INDEX('M1'!$M$10:$AZ$49,$A45,$C$6),"")</f>
        <v/>
      </c>
      <c r="E45" s="49">
        <f>IF(AND(matrizOK,$A45&lt;=nVariables,$C$7),C45*D45,"")</f>
        <v/>
      </c>
      <c r="F45" s="48">
        <f>IF(AND(matrizOK,$A45&lt;=nVariables,$C$7),INDEX('M2'!$M$10:$AZ$49,$C$5,$A45),"")</f>
        <v/>
      </c>
      <c r="G45" s="48">
        <f>IF(AND(matrizOK,$A45&lt;=nVariables,$C$7),INDEX('M1'!$M$10:$AZ$49,$A45,$C$6),"")</f>
        <v/>
      </c>
      <c r="H45" s="49">
        <f>IF(AND(matrizOK,$A45&lt;=nVariables,$C$7),F45*G45,"")</f>
        <v/>
      </c>
    </row>
    <row r="46" ht="21" customHeight="1" s="62">
      <c r="A46" s="6" t="n">
        <v>37</v>
      </c>
      <c r="B46" s="81">
        <f>IF($A46&lt;=nVariables,M!B46,"")</f>
        <v/>
      </c>
      <c r="C46" s="48">
        <f>IF(AND(matrizOK,$A46&lt;=nVariables,$C$7),INDEX('M1'!$M$10:$AZ$49,$C$5,$A46),"")</f>
        <v/>
      </c>
      <c r="D46" s="48">
        <f>IF(AND(matrizOK,$A46&lt;=nVariables,$C$7),INDEX('M1'!$M$10:$AZ$49,$A46,$C$6),"")</f>
        <v/>
      </c>
      <c r="E46" s="49">
        <f>IF(AND(matrizOK,$A46&lt;=nVariables,$C$7),C46*D46,"")</f>
        <v/>
      </c>
      <c r="F46" s="48">
        <f>IF(AND(matrizOK,$A46&lt;=nVariables,$C$7),INDEX('M2'!$M$10:$AZ$49,$C$5,$A46),"")</f>
        <v/>
      </c>
      <c r="G46" s="48">
        <f>IF(AND(matrizOK,$A46&lt;=nVariables,$C$7),INDEX('M1'!$M$10:$AZ$49,$A46,$C$6),"")</f>
        <v/>
      </c>
      <c r="H46" s="49">
        <f>IF(AND(matrizOK,$A46&lt;=nVariables,$C$7),F46*G46,"")</f>
        <v/>
      </c>
    </row>
    <row r="47" ht="21" customHeight="1" s="62">
      <c r="A47" s="6" t="n">
        <v>38</v>
      </c>
      <c r="B47" s="81">
        <f>IF($A47&lt;=nVariables,M!B47,"")</f>
        <v/>
      </c>
      <c r="C47" s="48">
        <f>IF(AND(matrizOK,$A47&lt;=nVariables,$C$7),INDEX('M1'!$M$10:$AZ$49,$C$5,$A47),"")</f>
        <v/>
      </c>
      <c r="D47" s="48">
        <f>IF(AND(matrizOK,$A47&lt;=nVariables,$C$7),INDEX('M1'!$M$10:$AZ$49,$A47,$C$6),"")</f>
        <v/>
      </c>
      <c r="E47" s="49">
        <f>IF(AND(matrizOK,$A47&lt;=nVariables,$C$7),C47*D47,"")</f>
        <v/>
      </c>
      <c r="F47" s="48">
        <f>IF(AND(matrizOK,$A47&lt;=nVariables,$C$7),INDEX('M2'!$M$10:$AZ$49,$C$5,$A47),"")</f>
        <v/>
      </c>
      <c r="G47" s="48">
        <f>IF(AND(matrizOK,$A47&lt;=nVariables,$C$7),INDEX('M1'!$M$10:$AZ$49,$A47,$C$6),"")</f>
        <v/>
      </c>
      <c r="H47" s="49">
        <f>IF(AND(matrizOK,$A47&lt;=nVariables,$C$7),F47*G47,"")</f>
        <v/>
      </c>
    </row>
    <row r="48" ht="21" customHeight="1" s="62">
      <c r="A48" s="6" t="n">
        <v>39</v>
      </c>
      <c r="B48" s="81">
        <f>IF($A48&lt;=nVariables,M!B48,"")</f>
        <v/>
      </c>
      <c r="C48" s="48">
        <f>IF(AND(matrizOK,$A48&lt;=nVariables,$C$7),INDEX('M1'!$M$10:$AZ$49,$C$5,$A48),"")</f>
        <v/>
      </c>
      <c r="D48" s="48">
        <f>IF(AND(matrizOK,$A48&lt;=nVariables,$C$7),INDEX('M1'!$M$10:$AZ$49,$A48,$C$6),"")</f>
        <v/>
      </c>
      <c r="E48" s="49">
        <f>IF(AND(matrizOK,$A48&lt;=nVariables,$C$7),C48*D48,"")</f>
        <v/>
      </c>
      <c r="F48" s="48">
        <f>IF(AND(matrizOK,$A48&lt;=nVariables,$C$7),INDEX('M2'!$M$10:$AZ$49,$C$5,$A48),"")</f>
        <v/>
      </c>
      <c r="G48" s="48">
        <f>IF(AND(matrizOK,$A48&lt;=nVariables,$C$7),INDEX('M1'!$M$10:$AZ$49,$A48,$C$6),"")</f>
        <v/>
      </c>
      <c r="H48" s="49">
        <f>IF(AND(matrizOK,$A48&lt;=nVariables,$C$7),F48*G48,"")</f>
        <v/>
      </c>
    </row>
    <row r="49" ht="21" customHeight="1" s="62">
      <c r="A49" s="6" t="n">
        <v>40</v>
      </c>
      <c r="B49" s="81">
        <f>IF($A49&lt;=nVariables,M!B49,"")</f>
        <v/>
      </c>
      <c r="C49" s="48">
        <f>IF(AND(matrizOK,$A49&lt;=nVariables,$C$7),INDEX('M1'!$M$10:$AZ$49,$C$5,$A49),"")</f>
        <v/>
      </c>
      <c r="D49" s="48">
        <f>IF(AND(matrizOK,$A49&lt;=nVariables,$C$7),INDEX('M1'!$M$10:$AZ$49,$A49,$C$6),"")</f>
        <v/>
      </c>
      <c r="E49" s="49">
        <f>IF(AND(matrizOK,$A49&lt;=nVariables,$C$7),C49*D49,"")</f>
        <v/>
      </c>
      <c r="F49" s="48">
        <f>IF(AND(matrizOK,$A49&lt;=nVariables,$C$7),INDEX('M2'!$M$10:$AZ$49,$C$5,$A49),"")</f>
        <v/>
      </c>
      <c r="G49" s="48">
        <f>IF(AND(matrizOK,$A49&lt;=nVariables,$C$7),INDEX('M1'!$M$10:$AZ$49,$A49,$C$6),"")</f>
        <v/>
      </c>
      <c r="H49" s="49">
        <f>IF(AND(matrizOK,$A49&lt;=nVariables,$C$7),F49*G49,"")</f>
        <v/>
      </c>
    </row>
    <row r="51">
      <c r="A51" s="72" t="n"/>
      <c r="B51" s="61">
        <f>"Suma de los "&amp;nVariables&amp;" productos"</f>
        <v/>
      </c>
      <c r="C51" s="72" t="n"/>
      <c r="D51" s="72" t="n"/>
      <c r="E51" s="50">
        <f>IF(AND(matrizOK,$C$7),SUM(E10:E49),"")</f>
        <v/>
      </c>
      <c r="F51" s="72" t="n"/>
      <c r="G51" s="72" t="n"/>
      <c r="H51" s="50">
        <f>IF(AND(matrizOK,$C$7),SUM(H10:H49),"")</f>
        <v/>
      </c>
    </row>
    <row r="53" ht="18" customHeight="1" s="62">
      <c r="A53" s="63" t="inlineStr">
        <is>
          <t>Para M2 se combinan dos relaciones directas: origen → intermediario → destino. Si uno de los dos tramos vale cero, ese recorrido aporta cero.</t>
        </is>
      </c>
    </row>
    <row r="54" ht="32" customHeight="1" s="62">
      <c r="A54" s="63" t="inlineStr">
        <is>
          <t>Para M3, el primer factor ya resume recorridos de dos vínculos. Se añade el último vínculo directo usando otra vez M. No se vuelve a valorar ninguna relación.</t>
        </is>
      </c>
    </row>
    <row r="55" ht="18" customHeight="1" s="62">
      <c r="A55" s="63" t="inlineStr">
        <is>
          <t>Un peso de 2 por otro de 3 aporta 6 a la suma. Ese 6 es un peso de recorrido; no significa seis turistas ni una probabilidad de 6.</t>
        </is>
      </c>
    </row>
    <row r="56" ht="18" customHeight="1" s="62">
      <c r="A56" s="63" t="inlineStr">
        <is>
          <t>Esta hoja muestra el resultado de su M actual para el par elegido; los números cambian cuando usted cambia M, el origen o el destino.</t>
        </is>
      </c>
    </row>
    <row r="58" ht="30" customHeight="1" s="62">
      <c r="A58" s="69" t="inlineStr">
        <is>
          <t>Potencia</t>
        </is>
      </c>
      <c r="B58" s="69" t="inlineStr">
        <is>
          <t>Origen y destino</t>
        </is>
      </c>
      <c r="C58" s="69" t="inlineStr">
        <is>
          <t>Resultado actual</t>
        </is>
      </c>
      <c r="D58" s="69" t="inlineStr">
        <is>
          <t>Operación</t>
        </is>
      </c>
    </row>
    <row r="59">
      <c r="A59" s="68" t="n">
        <v>1</v>
      </c>
      <c r="B59" s="32">
        <f>IF($C$7,$D$5&amp;" → "&amp;$D$6,"")</f>
        <v/>
      </c>
      <c r="C59" s="51">
        <f>IF($C$7,INDEX('M1'!$M$10:$AZ$49,$C$5,$C$6),"")</f>
        <v/>
      </c>
      <c r="D59" s="68" t="inlineStr">
        <is>
          <t>Lectura directa</t>
        </is>
      </c>
    </row>
    <row r="60">
      <c r="A60" s="68" t="n">
        <v>2</v>
      </c>
      <c r="B60" s="32">
        <f>IF($C$7,$D$5&amp;" → "&amp;$D$6,"")</f>
        <v/>
      </c>
      <c r="C60" s="51">
        <f>IF($C$7,INDEX('M2'!$M$10:$AZ$49,$C$5,$C$6),"")</f>
        <v/>
      </c>
      <c r="D60" s="68" t="inlineStr">
        <is>
          <t>M1 × M</t>
        </is>
      </c>
    </row>
    <row r="61">
      <c r="A61" s="68" t="n">
        <v>3</v>
      </c>
      <c r="B61" s="32">
        <f>IF($C$7,$D$5&amp;" → "&amp;$D$6,"")</f>
        <v/>
      </c>
      <c r="C61" s="51">
        <f>IF($C$7,INDEX('M3'!$M$10:$AZ$49,$C$5,$C$6),"")</f>
        <v/>
      </c>
      <c r="D61" s="68" t="inlineStr">
        <is>
          <t>M2 × M</t>
        </is>
      </c>
    </row>
    <row r="62">
      <c r="A62" s="68" t="n">
        <v>4</v>
      </c>
      <c r="B62" s="32">
        <f>IF($C$7,$D$5&amp;" → "&amp;$D$6,"")</f>
        <v/>
      </c>
      <c r="C62" s="51">
        <f>IF($C$7,INDEX('M4'!$M$10:$AZ$49,$C$5,$C$6),"")</f>
        <v/>
      </c>
      <c r="D62" s="68" t="inlineStr">
        <is>
          <t>M3 × M</t>
        </is>
      </c>
    </row>
    <row r="63">
      <c r="A63" s="68" t="n">
        <v>5</v>
      </c>
      <c r="B63" s="32">
        <f>IF($C$7,$D$5&amp;" → "&amp;$D$6,"")</f>
        <v/>
      </c>
      <c r="C63" s="51">
        <f>IF($C$7,INDEX('M5'!$M$10:$AZ$49,$C$5,$C$6),"")</f>
        <v/>
      </c>
      <c r="D63" s="68" t="inlineStr">
        <is>
          <t>M4 × M</t>
        </is>
      </c>
    </row>
    <row r="64">
      <c r="A64" s="68" t="n">
        <v>6</v>
      </c>
      <c r="B64" s="32">
        <f>IF($C$7,$D$5&amp;" → "&amp;$D$6,"")</f>
        <v/>
      </c>
      <c r="C64" s="51">
        <f>IF($C$7,INDEX('M6'!$M$10:$AZ$49,$C$5,$C$6),"")</f>
        <v/>
      </c>
      <c r="D64" s="68" t="inlineStr">
        <is>
          <t>M5 × M</t>
        </is>
      </c>
    </row>
    <row r="66" ht="32" customHeight="1" s="62">
      <c r="A66" s="63">
        <f>IF($C$7,"Comprobación manual adicional: en M2, la influencia total de «"&amp;$D$5&amp;"» es la suma de toda su fila, no solo el resultado hacia «"&amp;$D$6&amp;"». Con su M actual vale "&amp;TEXT(INDEX('M2'!$C$10:$C$49,$C$5),"#,##0")&amp;".","")</f>
        <v/>
      </c>
    </row>
  </sheetData>
  <mergeCells count="10">
    <mergeCell ref="A56:H56"/>
    <mergeCell ref="A3:H3"/>
    <mergeCell ref="D6:H6"/>
    <mergeCell ref="A55:H55"/>
    <mergeCell ref="A53:H53"/>
    <mergeCell ref="A2:H2"/>
    <mergeCell ref="A54:H54"/>
    <mergeCell ref="D5:H5"/>
    <mergeCell ref="A66:H66"/>
    <mergeCell ref="A1:H1"/>
  </mergeCells>
  <conditionalFormatting sqref="A10:H49">
    <cfRule type="expression" priority="1" dxfId="4" stopIfTrue="1">
      <formula>$A10&gt;nVariables</formula>
    </cfRule>
    <cfRule type="expression" priority="2" dxfId="3">
      <formula>$A10&lt;=nVariables</formula>
    </cfRule>
  </conditionalFormatting>
  <dataValidations count="1">
    <dataValidation sqref="C5:C6" showDropDown="0" showInputMessage="0" showErrorMessage="1" allowBlank="0" errorTitle="Variable no válida" error="Escriba un número entero entre 1 y 40 (hasta el número de variables de M)." type="whole">
      <formula1>1</formula1>
      <formula2>40</formula2>
    </dataValidation>
  </dataValidations>
  <pageMargins left="0.75" right="0.75" top="1" bottom="1" header="0.5" footer="0.5"/>
  <pageSetup orientation="landscape" fitToHeight="0"/>
</worksheet>
</file>

<file path=xl/worksheets/sheet13.xml><?xml version="1.0" encoding="utf-8"?>
<worksheet xmlns="http://schemas.openxmlformats.org/spreadsheetml/2006/main">
  <sheetPr>
    <tabColor rgb="FF6699CC"/>
    <outlinePr summaryBelow="1" summaryRight="1"/>
    <pageSetUpPr fitToPage="1"/>
  </sheetPr>
  <dimension ref="A1:H73"/>
  <sheetViews>
    <sheetView showGridLines="0" zoomScale="85" workbookViewId="0">
      <selection activeCell="A1" sqref="A1:H1"/>
    </sheetView>
  </sheetViews>
  <sheetFormatPr baseColWidth="10" defaultColWidth="8.83203125" defaultRowHeight="15"/>
  <cols>
    <col width="22" customWidth="1" style="62" min="1" max="8"/>
  </cols>
  <sheetData>
    <row r="1" ht="30" customHeight="1" s="62">
      <c r="A1" s="65" t="inlineStr">
        <is>
          <t>Guía de uso y fórmulas de Excel</t>
        </is>
      </c>
    </row>
    <row r="3" ht="24" customHeight="1" s="62">
      <c r="A3" s="82" t="inlineStr">
        <is>
          <t>1  Abra y guarde una copia</t>
        </is>
      </c>
    </row>
    <row r="4" ht="33" customHeight="1" s="62">
      <c r="A4" s="63" t="inlineStr">
        <is>
          <t>Use el archivo tal como lo recibió. Todas las hojas son editables y no tienen candados. Para utilizar el cálculo automático basta con completar la hoja M. No necesita macros, vínculos externos ni conexión a internet.</t>
        </is>
      </c>
    </row>
    <row r="6" ht="24" customHeight="1" s="62">
      <c r="A6" s="82" t="inlineStr">
        <is>
          <t>2  Escriba las variables y complete M</t>
        </is>
      </c>
    </row>
    <row r="7" ht="33" customHeight="1" s="62">
      <c r="A7" s="63" t="inlineStr">
        <is>
          <t>En la hoja M escriba el nombre de cada variable en la columna B (desde la fila 10), una por fila y sin dejar filas vacías. El estándar trae 15 espacios; puede usar de 3 a 40 variables. Opcional: una etiqueta corta en la columna C (se usa en los encabezados y gráficos) y el nombre del estudio en G6.</t>
        </is>
      </c>
    </row>
    <row r="8" ht="47.5" customHeight="1" s="62">
      <c r="A8" s="63" t="inlineStr">
        <is>
          <t>Después valore solo las celdas azul claro con números enteros 0, 1, 2 o 3 (fila = variable que influye; columna = variable influida). La diagonal gris se completa sola. No introduzca signos menos, guiones, letras P ni números como texto. Vacío = pendiente; cero = juicio explícito de ausencia de influencia directa.</t>
        </is>
      </c>
    </row>
    <row r="10" ht="24" customHeight="1" s="62">
      <c r="A10" s="82" t="inlineStr">
        <is>
          <t>3  Agregue o quite variables</t>
        </is>
      </c>
    </row>
    <row r="11" ht="33" customHeight="1" s="62">
      <c r="A11" s="63" t="inlineStr">
        <is>
          <t>Para agregar una variable, escriba su nombre en la primera fila libre de la columna B y valore su fila y su columna: todas las hojas (M1 a M6, Resultados, Evolución, Árbol de Problemas, SVG, Paso a paso y Comprobaciones) se amplían solas.</t>
        </is>
      </c>
    </row>
    <row r="12" ht="33" customHeight="1" s="62">
      <c r="A12" s="63" t="inlineStr">
        <is>
          <t>Para quitar variables, borre con Supr el nombre y los valores de las últimas filas y columnas. No elimine filas ni columnas de Excel (⌘ −, Ctrl −): se romperían las fórmulas. Para quitar una variable intermedia, copie sobre su fila y su columna los datos de la última variable y borre la última.</t>
        </is>
      </c>
    </row>
    <row r="14" ht="24" customHeight="1" s="62">
      <c r="A14" s="82" t="inlineStr">
        <is>
          <t>4  Comprenda M y M1</t>
        </is>
      </c>
    </row>
    <row r="15" ht="33" customHeight="1" s="62">
      <c r="A15" s="63" t="inlineStr">
        <is>
          <t>M es la matriz que usted llena. M1 es M elevada a la primera potencia: contiene exactamente las mismas relaciones y valores (con ceros fuera de la matriz activa). M1 existe como hoja separada para comparar de forma ordenada M1 a M6.</t>
        </is>
      </c>
    </row>
    <row r="17" ht="24" customHeight="1" s="62">
      <c r="A17" s="82" t="inlineStr">
        <is>
          <t>5  Pase de M1 a M2 y continúe hasta M6</t>
        </is>
      </c>
    </row>
    <row r="18" ht="47.5" customHeight="1" s="62">
      <c r="A18" s="63" t="inlineStr">
        <is>
          <t>M2 = M1 × M. Una celda se obtiene multiplicando cada valor de la fila de origen en M1 por el valor correspondiente de la columna de destino en M y sumando los N productos (N = número de variables). No se eleva cada celda al cuadrado. M3 = M2 × M; M4 = M3 × M; M5 = M4 × M; M6 = M5 × M. Cada paso agrega exactamente un vínculo. Un recorrido puede volver a una variable ya visitada, por eso la diagonal de las potencias puede ser positiva.</t>
        </is>
      </c>
    </row>
    <row r="20" ht="24" customHeight="1" s="62">
      <c r="A20" s="82" t="inlineStr">
        <is>
          <t>6  Lea influencia y dependencia</t>
        </is>
      </c>
    </row>
    <row r="21" ht="47.5" customHeight="1" s="62">
      <c r="A21" s="63" t="inlineStr">
        <is>
          <t>En cada potencia, la columna C suma las filas e indica influencia; la fila 9 suma las columnas e indica dependencia (columna D). C9 es el total general. Las columnas A a K reúnen las dos medidas, sus porcentajes, rangos y el papel relativo de cada variable, a la izquierda de la matriz para que siempre estén a la vista.</t>
        </is>
      </c>
    </row>
    <row r="23" ht="24" customHeight="1" s="62">
      <c r="A23" s="82" t="inlineStr">
        <is>
          <t>7  Compare porcentajes y rangos</t>
        </is>
      </c>
    </row>
    <row r="24" ht="33" customHeight="1" s="62">
      <c r="A24" s="63" t="inlineStr">
        <is>
          <t>Porcentaje de influencia = total de fila / total general, con formato %. Dependencia = total de columna / total general. No multiplique además por 100 en Excel. Rango 1 significa mayor total; los empates comparten rango.</t>
        </is>
      </c>
    </row>
    <row r="26" ht="24" customHeight="1" s="62">
      <c r="A26" s="82" t="inlineStr">
        <is>
          <t>8  Interprete y revise</t>
        </is>
      </c>
    </row>
    <row r="27" ht="47.5" customHeight="1" s="62">
      <c r="A27" s="63" t="inlineStr">
        <is>
          <t>Resultados compara M1 y M6 con dos planos influencia–dependencia y los órdenes de M6. Evolución muestra las seis potencias y cuenta cambios de rango. Árbol de Problemas clasifica las variables según su cuadrante en M6. Paso a paso reconstruye M2 y M3 para el par de variables que usted elija. Comprobaciones revisa la coherencia de las cuentas y cuenta errores de fórmula por hoja.</t>
        </is>
      </c>
    </row>
    <row r="29" ht="24" customHeight="1" s="62">
      <c r="A29" s="82" t="inlineStr">
        <is>
          <t>9  Gráficos SVG</t>
        </is>
      </c>
    </row>
    <row r="30" ht="62" customHeight="1" s="62">
      <c r="A30" s="63" t="inlineStr">
        <is>
          <t>La hoja SVG contiene, en una celda por gráfico, el código completo de seis planos (M1 a M6) y del esquema del Árbol de Problemas. Se generan por fórmulas: siempre corresponden a la matriz actual y se ajustan al número de variables. Copie la celda de la columna C, péguela en un editor de texto plano y guárdela como archivo .svg; ábralo en Illustrator, Inkscape, Figma, PowerPoint o el navegador. Los grupos se llaman «cuadrantes», «ejes», «escalas», «cortes», «puntos» y «leyenda» para editarlos por separado. Los dos gráficos nativos de Resultados (M1 y M6) son una vista previa dentro de Excel.</t>
        </is>
      </c>
    </row>
    <row r="32" ht="24" customHeight="1" s="62">
      <c r="A32" s="82" t="inlineStr">
        <is>
          <t>Qué representan los cuadrantes</t>
        </is>
      </c>
    </row>
    <row r="33" ht="33" customHeight="1" s="62">
      <c r="A33" s="63" t="inlineStr">
        <is>
          <t>Se usan medianas calculadas para cada potencia. Influencia alta y dependencia baja: motriz. Ambas altas: enlace. Influencia baja y dependencia alta: resultado. Ambas bajas: autónoma. Con corte positivo, igualdad pertenece al lado alto. Si un corte es cero, no se clasifica.</t>
        </is>
      </c>
    </row>
    <row r="35" ht="24" customHeight="1" s="62">
      <c r="A35" s="82" t="inlineStr">
        <is>
          <t>Qué no permiten concluir los números</t>
        </is>
      </c>
    </row>
    <row r="36" ht="33" customHeight="1" s="62">
      <c r="A36" s="63" t="inlineStr">
        <is>
          <t>Las valoraciones 0 a 3 expresan juicios de intensidad. Tratar 2 como el doble de 1 es una convención de cálculo, no una medición empírica demostrada. Los resultados orientan la discusión; no demuestran causalidad ni efectos futuros.</t>
        </is>
      </c>
    </row>
    <row r="38" ht="24" customHeight="1" s="62">
      <c r="A38" s="82" t="inlineStr">
        <is>
          <t>Validación y actualización</t>
        </is>
      </c>
    </row>
    <row r="39" ht="33" customHeight="1" s="62">
      <c r="A39" s="63" t="inlineStr">
        <is>
          <t>Si falta una celda o se pega un dato inválido (celda oscura), las potencias quedan sin resultado y el panel de M dice qué falta. Si M es toda cero, aparecen sumas cero y se suprimen porcentajes y rangos. Si una potencia posterior queda en cero, no se declara estabilidad por ese motivo.</t>
        </is>
      </c>
    </row>
    <row r="41" ht="24" customHeight="1" s="62">
      <c r="A41" s="82" t="inlineStr">
        <is>
          <t>Si Excel no cambia los resultados</t>
        </is>
      </c>
    </row>
    <row r="42" ht="33" customHeight="1" s="62">
      <c r="A42" s="63" t="inlineStr">
        <is>
          <t>Revise Fórmulas &gt; Opciones de cálculo &gt; Automático. Use Calcular ahora o Calcular libro. Después compruebe el panel de M y la hoja Comprobaciones. No reemplace fórmulas por valores para corregir una pantalla desactualizada.</t>
        </is>
      </c>
    </row>
    <row r="44" ht="24" customHeight="1" s="62">
      <c r="A44" s="82" t="inlineStr">
        <is>
          <t>Fórmulas principales (con nombres de Excel en español)</t>
        </is>
      </c>
    </row>
    <row r="45" ht="18" customHeight="1" s="62">
      <c r="A45" s="83" t="inlineStr">
        <is>
          <t>M1 (celda de la primera columna de la matriz)</t>
        </is>
      </c>
    </row>
    <row r="46" ht="18" customHeight="1" s="62">
      <c r="A46" s="84" t="inlineStr">
        <is>
          <t>=SI(Y(matrizOK;$A10&lt;=nVariables;M$7&lt;=nVariables;$A10&lt;&gt;M$7);M!D10;0)</t>
        </is>
      </c>
    </row>
    <row r="47" ht="18.5" customHeight="1" s="62">
      <c r="A47" s="63" t="inlineStr">
        <is>
          <t>Copia M solo dentro de la matriz activa y con la diagonal en cero. Los nombres matrizOK y nVariables apuntan a M!C6 y M!C4.</t>
        </is>
      </c>
    </row>
    <row r="48" ht="18" customHeight="1" s="62">
      <c r="A48" s="83" t="inlineStr">
        <is>
          <t>M2 a M6</t>
        </is>
      </c>
    </row>
    <row r="49" ht="18" customHeight="1" s="62">
      <c r="A49" s="84" t="inlineStr">
        <is>
          <t>=SUMAPRODUCTO(MMULT(M1!$M10:$AZ10;M1!M$10:M$49))</t>
        </is>
      </c>
    </row>
    <row r="50" ht="18.5" customHeight="1" s="62">
      <c r="A50" s="63" t="inlineStr">
        <is>
          <t>Fila de la potencia anterior × columna de M1, sumando los productos. Para M3 use M2 en lugar de M1 en el primer factor, y así hasta M6.</t>
        </is>
      </c>
    </row>
    <row r="51" ht="18" customHeight="1" s="62">
      <c r="A51" s="83" t="inlineStr">
        <is>
          <t>Influencia y dependencia</t>
        </is>
      </c>
    </row>
    <row r="52" ht="18" customHeight="1" s="62">
      <c r="A52" s="84" t="inlineStr">
        <is>
          <t>=SI(Y(matrizOK;$A10&lt;=nVariables);SUMA($M10:$AZ10);"")      =SUMA(M10:M49)</t>
        </is>
      </c>
    </row>
    <row r="53" ht="18.5" customHeight="1" s="62">
      <c r="A53" s="63" t="inlineStr">
        <is>
          <t>Suma de la fila de cada variable y suma de la columna (fila 9) respectivamente.</t>
        </is>
      </c>
    </row>
    <row r="54" ht="18" customHeight="1" s="62">
      <c r="A54" s="83" t="inlineStr">
        <is>
          <t>Porcentaje</t>
        </is>
      </c>
    </row>
    <row r="55" ht="18" customHeight="1" s="62">
      <c r="A55" s="84" t="inlineStr">
        <is>
          <t>=SI(Y(matrizOK;$A10&lt;=nVariables;$C$9&gt;0);C10/$C$9;"")</t>
        </is>
      </c>
    </row>
    <row r="56" ht="18.5" customHeight="1" s="62">
      <c r="A56" s="63" t="inlineStr">
        <is>
          <t>Formato de celda: porcentaje con cuatro decimales. No añada ×100.</t>
        </is>
      </c>
    </row>
    <row r="57" ht="18" customHeight="1" s="62">
      <c r="A57" s="83" t="inlineStr">
        <is>
          <t>Rango con empates</t>
        </is>
      </c>
    </row>
    <row r="58" ht="18" customHeight="1" s="62">
      <c r="A58" s="84" t="inlineStr">
        <is>
          <t>=SI(Y(matrizOK;$A10&lt;=nVariables;$C$9&gt;0);1+CONTAR.SI($C$10:$C$49;"&gt;"&amp;C10);"")</t>
        </is>
      </c>
    </row>
    <row r="59" ht="18.5" customHeight="1" s="62">
      <c r="A59" s="63" t="inlineStr">
        <is>
          <t>Cuenta cuántos totales son mayores y suma 1. No separa artificialmente los empates.</t>
        </is>
      </c>
    </row>
    <row r="60" ht="18" customHeight="1" s="62">
      <c r="A60" s="83" t="inlineStr">
        <is>
          <t>Cortes</t>
        </is>
      </c>
    </row>
    <row r="61" ht="18" customHeight="1" s="62">
      <c r="A61" s="84" t="inlineStr">
        <is>
          <t>=SI(matrizOK;MEDIANA(C10:C49);"")      =SI(matrizOK;MEDIANA(D10:D49);"")</t>
        </is>
      </c>
    </row>
    <row r="62" ht="18.5" customHeight="1" s="62">
      <c r="A62" s="63" t="inlineStr">
        <is>
          <t>Medianas de influencia y dependencia: ignoran las filas vacías fuera de la matriz activa.</t>
        </is>
      </c>
    </row>
    <row r="63" ht="18" customHeight="1" s="62">
      <c r="A63" s="83" t="inlineStr">
        <is>
          <t>Número de variables</t>
        </is>
      </c>
    </row>
    <row r="64" ht="18" customHeight="1" s="62">
      <c r="A64" s="84" t="inlineStr">
        <is>
          <t>=SUMA(AS10:AS49)   con   AS11: =SI(Y(RECORTAR(B11)&lt;&gt;"";AS10=1);1;0)</t>
        </is>
      </c>
    </row>
    <row r="65" ht="18.5" customHeight="1" s="62">
      <c r="A65" s="63" t="inlineStr">
        <is>
          <t>Cuenta los nombres consecutivos desde la primera fila: por eso no puede haber filas vacías entre variables.</t>
        </is>
      </c>
    </row>
    <row r="67" ht="24" customHeight="1" s="62">
      <c r="A67" s="82" t="inlineStr">
        <is>
          <t>Idiomas y separadores</t>
        </is>
      </c>
    </row>
    <row r="68" ht="47.5" customHeight="1" s="62">
      <c r="A68" s="63" t="inlineStr">
        <is>
          <t>Excel en inglés usa IF, AND, SUM, COUNTIF, MEDIAN y SUMPRODUCT en lugar de SI, Y, SUMA, CONTAR.SI, MEDIANA y SUMAPRODUCTO. MMULT conserva su nombre. Los ejemplos emplean punto y coma; su configuración regional puede requerir coma. El archivo guarda fórmulas estándar y Excel presenta los nombres según su idioma. Los textos SVG usan siempre punto decimal en las coordenadas, sin importar la configuración regional.</t>
        </is>
      </c>
    </row>
    <row r="70" ht="24" customHeight="1" s="62">
      <c r="A70" s="82" t="inlineStr">
        <is>
          <t>Origen y cambios de esta versión</t>
        </is>
      </c>
    </row>
    <row r="71" ht="62" customHeight="1" s="62">
      <c r="A71" s="63" t="inlineStr">
        <is>
          <t>Parte del libro Vester_MICMAC_Nagoya (14 variables, valoraciones de ejemplo cargadas en M). Esta versión automatizada admite de 3 a 40 variables con 15 espacios de partida, reconfigura todas las hojas desde los nombres y valores de M, genera los gráficos como SVG por fórmulas, reemplaza el árbol dibujado a mano por uno que se construye solo y sustituye las comprobaciones contra el ejemplo de Nagoya por identidades matemáticas válidas para cualquier matriz.</t>
        </is>
      </c>
    </row>
    <row r="72" ht="33" customHeight="1" s="62">
      <c r="A72" s="63" t="inlineStr">
        <is>
          <t>Referencias: Microsoft. Función MMULT: https://support.microsoft.com/en-us/excel/functions/mmult-function · Función SUMAPRODUCTO: https://support.microsoft.com/es-es/excel/functions/sumproduct-function</t>
        </is>
      </c>
    </row>
    <row r="73" ht="33" customHeight="1" s="62">
      <c r="A73" s="63" t="inlineStr">
        <is>
          <t>Esta implementación didáctica considera influencias actuales no negativas de 0 a 3. No codifica relaciones potenciales con P, ni calcula efectos con signo. Documente razones, evidencia y desacuerdos aparte.</t>
        </is>
      </c>
    </row>
  </sheetData>
  <mergeCells count="57">
    <mergeCell ref="A67:H67"/>
    <mergeCell ref="A48:H48"/>
    <mergeCell ref="A30:H30"/>
    <mergeCell ref="A39:H39"/>
    <mergeCell ref="A15:H15"/>
    <mergeCell ref="A59:H59"/>
    <mergeCell ref="A73:H73"/>
    <mergeCell ref="A24:H24"/>
    <mergeCell ref="A51:H51"/>
    <mergeCell ref="A64:H64"/>
    <mergeCell ref="A60:H60"/>
    <mergeCell ref="A36:H36"/>
    <mergeCell ref="A11:H11"/>
    <mergeCell ref="A49:H49"/>
    <mergeCell ref="A45:H45"/>
    <mergeCell ref="A1:H1"/>
    <mergeCell ref="A61:H61"/>
    <mergeCell ref="A6:H6"/>
    <mergeCell ref="A70:H70"/>
    <mergeCell ref="A7:H7"/>
    <mergeCell ref="A65:H65"/>
    <mergeCell ref="A54:H54"/>
    <mergeCell ref="A41:H41"/>
    <mergeCell ref="A46:H46"/>
    <mergeCell ref="A27:H27"/>
    <mergeCell ref="A12:H12"/>
    <mergeCell ref="A18:H18"/>
    <mergeCell ref="A50:H50"/>
    <mergeCell ref="A3:H3"/>
    <mergeCell ref="A21:H21"/>
    <mergeCell ref="A56:H56"/>
    <mergeCell ref="A55:H55"/>
    <mergeCell ref="A26:H26"/>
    <mergeCell ref="A57:H57"/>
    <mergeCell ref="A71:H71"/>
    <mergeCell ref="A42:H42"/>
    <mergeCell ref="A33:H33"/>
    <mergeCell ref="A14:H14"/>
    <mergeCell ref="A47:H47"/>
    <mergeCell ref="A23:H23"/>
    <mergeCell ref="A32:H32"/>
    <mergeCell ref="A8:H8"/>
    <mergeCell ref="A17:H17"/>
    <mergeCell ref="A4:H4"/>
    <mergeCell ref="A62:H62"/>
    <mergeCell ref="A53:H53"/>
    <mergeCell ref="A35:H35"/>
    <mergeCell ref="A29:H29"/>
    <mergeCell ref="A20:H20"/>
    <mergeCell ref="A38:H38"/>
    <mergeCell ref="A63:H63"/>
    <mergeCell ref="A52:H52"/>
    <mergeCell ref="A10:H10"/>
    <mergeCell ref="A72:H72"/>
    <mergeCell ref="A68:H68"/>
    <mergeCell ref="A44:H44"/>
    <mergeCell ref="A58:H58"/>
  </mergeCells>
  <pageMargins left="0.75" right="0.75" top="1" bottom="1" header="0.5" footer="0.5"/>
  <pageSetup orientation="portrait" fitToHeight="0"/>
</worksheet>
</file>

<file path=xl/worksheets/sheet14.xml><?xml version="1.0" encoding="utf-8"?>
<worksheet xmlns="http://schemas.openxmlformats.org/spreadsheetml/2006/main">
  <sheetPr>
    <tabColor rgb="FF6699CC"/>
    <outlinePr summaryBelow="1" summaryRight="1"/>
    <pageSetUpPr fitToPage="1"/>
  </sheetPr>
  <dimension ref="A1:H38"/>
  <sheetViews>
    <sheetView showGridLines="0" zoomScale="85" workbookViewId="0">
      <selection activeCell="A1" sqref="A1:H1"/>
    </sheetView>
  </sheetViews>
  <sheetFormatPr baseColWidth="10" defaultColWidth="8.83203125" defaultRowHeight="15"/>
  <cols>
    <col width="26" customWidth="1" style="62" min="1" max="1"/>
    <col width="22" customWidth="1" style="62" min="2" max="4"/>
    <col width="14" customWidth="1" style="62" min="5" max="6"/>
    <col width="24" customWidth="1" style="62" min="7" max="8"/>
  </cols>
  <sheetData>
    <row r="1" ht="30" customHeight="1" s="62">
      <c r="A1" s="65" t="inlineStr">
        <is>
          <t>Comprobaciones de coherencia</t>
        </is>
      </c>
    </row>
    <row r="2" ht="22" customHeight="1" s="62">
      <c r="A2" s="63" t="inlineStr">
        <is>
          <t>Estas comprobaciones revisan operaciones y referencias. Una coincidencia aritmética no demuestra que los juicios del grupo sean verdaderos.</t>
        </is>
      </c>
    </row>
    <row r="3" ht="26" customHeight="1" s="62">
      <c r="A3" s="61">
        <f>IF(NOT(matrizOK),"Pendiente: complete y corrija M.",IF(AND(COUNTIF($H$6:$H$11,"Coincide")+COUNTIF($H$6:$H$11,"Sin recorridos")=6,$D$18&lt;&gt;"REVISAR",$C$32=0),"Todas las comprobaciones coinciden.","REVISAR: hay diferencias en las comprobaciones siguientes."))</f>
        <v/>
      </c>
    </row>
    <row r="5" ht="38" customHeight="1" s="62">
      <c r="A5" s="69" t="inlineStr">
        <is>
          <t>Potencia</t>
        </is>
      </c>
      <c r="B5" s="69" t="inlineStr">
        <is>
          <t>Total por filas</t>
        </is>
      </c>
      <c r="C5" s="69" t="inlineStr">
        <is>
          <t>Total por columnas</t>
        </is>
      </c>
      <c r="D5" s="69" t="inlineStr">
        <is>
          <t>Diferencia</t>
        </is>
      </c>
      <c r="E5" s="69" t="inlineStr">
        <is>
          <t>Suma I %</t>
        </is>
      </c>
      <c r="F5" s="69" t="inlineStr">
        <is>
          <t>Suma D %</t>
        </is>
      </c>
      <c r="G5" s="69" t="inlineStr">
        <is>
          <t>Total esperado (identidad)</t>
        </is>
      </c>
      <c r="H5" s="69" t="inlineStr">
        <is>
          <t>Lectura</t>
        </is>
      </c>
    </row>
    <row r="6">
      <c r="A6" s="46" t="inlineStr">
        <is>
          <t>M1</t>
        </is>
      </c>
      <c r="B6" s="36">
        <f>IF(matrizOK,SUM('M1'!$C$10:$C$49),"")</f>
        <v/>
      </c>
      <c r="C6" s="36">
        <f>IF(matrizOK,SUM('M1'!$D$10:$D$49),"")</f>
        <v/>
      </c>
      <c r="D6" s="33">
        <f>IF(matrizOK,B6-C6,"")</f>
        <v/>
      </c>
      <c r="E6" s="52">
        <f>IF(AND(matrizOK,'M1'!$C$9&gt;0),SUM('M1'!$E$10:$E$49),"")</f>
        <v/>
      </c>
      <c r="F6" s="52">
        <f>IF(AND(matrizOK,'M1'!$C$9&gt;0),SUM('M1'!$F$10:$F$49),"")</f>
        <v/>
      </c>
      <c r="G6" s="36">
        <f>IF(matrizOK,SUMPRODUCT((M!$A$10:$A$49&lt;=nVariables)*(M!$D$7:$AQ$7&lt;=nVariables)*(M!$A$10:$A$49&lt;&gt;M!$D$7:$AQ$7),M!$D$10:$AQ$49),"")</f>
        <v/>
      </c>
      <c r="H6" s="46">
        <f>IF(NOT(matrizOK),"Pendiente",IF(B6=0,"Sin recorridos",IF(AND(D6=0,ABS(E6-1)&lt;0.000000001,ABS(F6-1)&lt;0.000000001,B6=G6,B6='M1'!$C$9),"Coincide","REVISAR")))</f>
        <v/>
      </c>
    </row>
    <row r="7">
      <c r="A7" s="46" t="inlineStr">
        <is>
          <t>M2</t>
        </is>
      </c>
      <c r="B7" s="36">
        <f>IF(matrizOK,SUM('M2'!$C$10:$C$49),"")</f>
        <v/>
      </c>
      <c r="C7" s="36">
        <f>IF(matrizOK,SUM('M2'!$D$10:$D$49),"")</f>
        <v/>
      </c>
      <c r="D7" s="33">
        <f>IF(matrizOK,B7-C7,"")</f>
        <v/>
      </c>
      <c r="E7" s="52">
        <f>IF(AND(matrizOK,'M2'!$C$9&gt;0),SUM('M2'!$E$10:$E$49),"")</f>
        <v/>
      </c>
      <c r="F7" s="52">
        <f>IF(AND(matrizOK,'M2'!$C$9&gt;0),SUM('M2'!$F$10:$F$49),"")</f>
        <v/>
      </c>
      <c r="G7" s="36">
        <f>IF(matrizOK,SUMPRODUCT('M1'!$D$10:$D$49,'M1'!$C$10:$C$49),"")</f>
        <v/>
      </c>
      <c r="H7" s="46">
        <f>IF(NOT(matrizOK),"Pendiente",IF(B7=0,"Sin recorridos",IF(AND(D7=0,ABS(E7-1)&lt;0.000000001,ABS(F7-1)&lt;0.000000001,B7=G7,B7='M2'!$C$9),"Coincide","REVISAR")))</f>
        <v/>
      </c>
    </row>
    <row r="8">
      <c r="A8" s="46" t="inlineStr">
        <is>
          <t>M3</t>
        </is>
      </c>
      <c r="B8" s="36">
        <f>IF(matrizOK,SUM('M3'!$C$10:$C$49),"")</f>
        <v/>
      </c>
      <c r="C8" s="36">
        <f>IF(matrizOK,SUM('M3'!$D$10:$D$49),"")</f>
        <v/>
      </c>
      <c r="D8" s="33">
        <f>IF(matrizOK,B8-C8,"")</f>
        <v/>
      </c>
      <c r="E8" s="52">
        <f>IF(AND(matrizOK,'M3'!$C$9&gt;0),SUM('M3'!$E$10:$E$49),"")</f>
        <v/>
      </c>
      <c r="F8" s="52">
        <f>IF(AND(matrizOK,'M3'!$C$9&gt;0),SUM('M3'!$F$10:$F$49),"")</f>
        <v/>
      </c>
      <c r="G8" s="36">
        <f>IF(matrizOK,SUMPRODUCT('M2'!$D$10:$D$49,'M1'!$C$10:$C$49),"")</f>
        <v/>
      </c>
      <c r="H8" s="46">
        <f>IF(NOT(matrizOK),"Pendiente",IF(B8=0,"Sin recorridos",IF(AND(D8=0,ABS(E8-1)&lt;0.000000001,ABS(F8-1)&lt;0.000000001,B8=G8,B8='M3'!$C$9),"Coincide","REVISAR")))</f>
        <v/>
      </c>
    </row>
    <row r="9">
      <c r="A9" s="46" t="inlineStr">
        <is>
          <t>M4</t>
        </is>
      </c>
      <c r="B9" s="36">
        <f>IF(matrizOK,SUM('M4'!$C$10:$C$49),"")</f>
        <v/>
      </c>
      <c r="C9" s="36">
        <f>IF(matrizOK,SUM('M4'!$D$10:$D$49),"")</f>
        <v/>
      </c>
      <c r="D9" s="33">
        <f>IF(matrizOK,B9-C9,"")</f>
        <v/>
      </c>
      <c r="E9" s="52">
        <f>IF(AND(matrizOK,'M4'!$C$9&gt;0),SUM('M4'!$E$10:$E$49),"")</f>
        <v/>
      </c>
      <c r="F9" s="52">
        <f>IF(AND(matrizOK,'M4'!$C$9&gt;0),SUM('M4'!$F$10:$F$49),"")</f>
        <v/>
      </c>
      <c r="G9" s="36">
        <f>IF(matrizOK,SUMPRODUCT('M3'!$D$10:$D$49,'M1'!$C$10:$C$49),"")</f>
        <v/>
      </c>
      <c r="H9" s="46">
        <f>IF(NOT(matrizOK),"Pendiente",IF(B9=0,"Sin recorridos",IF(AND(D9=0,ABS(E9-1)&lt;0.000000001,ABS(F9-1)&lt;0.000000001,B9=G9,B9='M4'!$C$9),"Coincide","REVISAR")))</f>
        <v/>
      </c>
    </row>
    <row r="10">
      <c r="A10" s="46" t="inlineStr">
        <is>
          <t>M5</t>
        </is>
      </c>
      <c r="B10" s="36">
        <f>IF(matrizOK,SUM('M5'!$C$10:$C$49),"")</f>
        <v/>
      </c>
      <c r="C10" s="36">
        <f>IF(matrizOK,SUM('M5'!$D$10:$D$49),"")</f>
        <v/>
      </c>
      <c r="D10" s="33">
        <f>IF(matrizOK,B10-C10,"")</f>
        <v/>
      </c>
      <c r="E10" s="52">
        <f>IF(AND(matrizOK,'M5'!$C$9&gt;0),SUM('M5'!$E$10:$E$49),"")</f>
        <v/>
      </c>
      <c r="F10" s="52">
        <f>IF(AND(matrizOK,'M5'!$C$9&gt;0),SUM('M5'!$F$10:$F$49),"")</f>
        <v/>
      </c>
      <c r="G10" s="36">
        <f>IF(matrizOK,SUMPRODUCT('M4'!$D$10:$D$49,'M1'!$C$10:$C$49),"")</f>
        <v/>
      </c>
      <c r="H10" s="46">
        <f>IF(NOT(matrizOK),"Pendiente",IF(B10=0,"Sin recorridos",IF(AND(D10=0,ABS(E10-1)&lt;0.000000001,ABS(F10-1)&lt;0.000000001,B10=G10,B10='M5'!$C$9),"Coincide","REVISAR")))</f>
        <v/>
      </c>
    </row>
    <row r="11">
      <c r="A11" s="46" t="inlineStr">
        <is>
          <t>M6</t>
        </is>
      </c>
      <c r="B11" s="36">
        <f>IF(matrizOK,SUM('M6'!$C$10:$C$49),"")</f>
        <v/>
      </c>
      <c r="C11" s="36">
        <f>IF(matrizOK,SUM('M6'!$D$10:$D$49),"")</f>
        <v/>
      </c>
      <c r="D11" s="33">
        <f>IF(matrizOK,B11-C11,"")</f>
        <v/>
      </c>
      <c r="E11" s="52">
        <f>IF(AND(matrizOK,'M6'!$C$9&gt;0),SUM('M6'!$E$10:$E$49),"")</f>
        <v/>
      </c>
      <c r="F11" s="52">
        <f>IF(AND(matrizOK,'M6'!$C$9&gt;0),SUM('M6'!$F$10:$F$49),"")</f>
        <v/>
      </c>
      <c r="G11" s="36">
        <f>IF(matrizOK,SUMPRODUCT('M5'!$D$10:$D$49,'M1'!$C$10:$C$49),"")</f>
        <v/>
      </c>
      <c r="H11" s="46">
        <f>IF(NOT(matrizOK),"Pendiente",IF(B11=0,"Sin recorridos",IF(AND(D11=0,ABS(E11-1)&lt;0.000000001,ABS(F11-1)&lt;0.000000001,B11=G11,B11='M6'!$C$9),"Coincide","REVISAR")))</f>
        <v/>
      </c>
    </row>
    <row r="12" ht="44" customHeight="1" s="62">
      <c r="A12" s="63" t="inlineStr">
        <is>
          <t>Las dos sumas de porcentajes deben ser 100 % por separado. «Total esperado» aplica la identidad Total(Mk) = Σ dependencia(Mk−1) × influencia(M1) (y, para M1, la suma de los valores de M): confirma que la cadena de multiplicaciones no perdió ni duplicó ningún recorrido.</t>
        </is>
      </c>
    </row>
    <row r="14" ht="38" customHeight="1" s="62">
      <c r="A14" s="69" t="inlineStr">
        <is>
          <t>Celda comprobada</t>
        </is>
      </c>
      <c r="B14" s="69" t="inlineStr">
        <is>
          <t>Descomposición manual (Paso a paso)</t>
        </is>
      </c>
      <c r="C14" s="69" t="inlineStr">
        <is>
          <t>Potencia calculada</t>
        </is>
      </c>
      <c r="D14" s="69" t="inlineStr">
        <is>
          <t>Diferencia</t>
        </is>
      </c>
    </row>
    <row r="15">
      <c r="A15" s="34">
        <f>IF('Paso a paso'!$C$7,"M2 · "&amp;'Paso a paso'!$D$5&amp;" → "&amp;'Paso a paso'!$D$6,"M2")</f>
        <v/>
      </c>
      <c r="B15" s="36">
        <f>IF('Paso a paso'!$C$7,'Paso a paso'!E51,"")</f>
        <v/>
      </c>
      <c r="C15" s="36">
        <f>IF('Paso a paso'!$C$7,INDEX('M2'!$M$10:$AZ$49,'Paso a paso'!$C$5,'Paso a paso'!$C$6),"")</f>
        <v/>
      </c>
      <c r="D15" s="33">
        <f>IF('Paso a paso'!$C$7,B15-C15,"")</f>
        <v/>
      </c>
    </row>
    <row r="16">
      <c r="A16" s="34">
        <f>IF('Paso a paso'!$C$7,"M3 · "&amp;'Paso a paso'!$D$5&amp;" → "&amp;'Paso a paso'!$D$6,"M3")</f>
        <v/>
      </c>
      <c r="B16" s="36">
        <f>IF('Paso a paso'!$C$7,'Paso a paso'!H51,"")</f>
        <v/>
      </c>
      <c r="C16" s="36">
        <f>IF('Paso a paso'!$C$7,INDEX('M3'!$M$10:$AZ$49,'Paso a paso'!$C$5,'Paso a paso'!$C$6),"")</f>
        <v/>
      </c>
      <c r="D16" s="33">
        <f>IF('Paso a paso'!$C$7,B16-C16,"")</f>
        <v/>
      </c>
    </row>
    <row r="18">
      <c r="A18" s="44" t="inlineStr">
        <is>
          <t>Lectura</t>
        </is>
      </c>
      <c r="B18" s="53" t="n"/>
      <c r="C18" s="53" t="n"/>
      <c r="D18" s="46">
        <f>IF(NOT('Paso a paso'!$C$7),"Pendiente",IF(AND(D15=0,D16=0),"Coincide","REVISAR"))</f>
        <v/>
      </c>
    </row>
    <row r="19" ht="30" customHeight="1" s="62">
      <c r="A19" s="63" t="inlineStr">
        <is>
          <t>La descomposición manual se construye en Paso a paso sumando un producto por intermediario; debe igualar la celda de la potencia calculada con MMULT.</t>
        </is>
      </c>
    </row>
    <row r="21" ht="30" customHeight="1" s="62">
      <c r="A21" s="69" t="inlineStr">
        <is>
          <t>Control de M</t>
        </is>
      </c>
      <c r="B21" s="69" t="inlineStr">
        <is>
          <t>Valor</t>
        </is>
      </c>
      <c r="D21" s="69" t="inlineStr">
        <is>
          <t>Hoja</t>
        </is>
      </c>
      <c r="E21" s="69" t="inlineStr">
        <is>
          <t>Celdas con error</t>
        </is>
      </c>
    </row>
    <row r="22">
      <c r="A22" s="34" t="inlineStr">
        <is>
          <t>Variables detectadas (N)</t>
        </is>
      </c>
      <c r="B22" s="46">
        <f>nVariables</f>
        <v/>
      </c>
      <c r="D22" s="34" t="inlineStr">
        <is>
          <t>Resultados</t>
        </is>
      </c>
      <c r="E22" s="35">
        <f>SUMPRODUCT(--ISERROR(Resultados!$A$1:$AB$164))</f>
        <v/>
      </c>
    </row>
    <row r="23" ht="28" customHeight="1" s="62">
      <c r="A23" s="34" t="inlineStr">
        <is>
          <t>Valoraciones necesarias N × (N − 1)</t>
        </is>
      </c>
      <c r="B23" s="46">
        <f>M!$G$4</f>
        <v/>
      </c>
      <c r="D23" s="34" t="inlineStr">
        <is>
          <t>M</t>
        </is>
      </c>
      <c r="E23" s="35">
        <f>SUMPRODUCT(--ISERROR(M!$A$1:$AU$57))</f>
        <v/>
      </c>
    </row>
    <row r="24">
      <c r="A24" s="34" t="inlineStr">
        <is>
          <t>Valoraciones válidas (0–3)</t>
        </is>
      </c>
      <c r="B24" s="46">
        <f>M!$O$4</f>
        <v/>
      </c>
      <c r="D24" s="34" t="inlineStr">
        <is>
          <t>M1</t>
        </is>
      </c>
      <c r="E24" s="35">
        <f>SUMPRODUCT(--ISERROR('M1'!$A$1:$AZ$59))</f>
        <v/>
      </c>
    </row>
    <row r="25">
      <c r="A25" s="34" t="inlineStr">
        <is>
          <t>Nombres repetidos</t>
        </is>
      </c>
      <c r="B25" s="46">
        <f>M!$G$5</f>
        <v/>
      </c>
      <c r="D25" s="34" t="inlineStr">
        <is>
          <t>M2</t>
        </is>
      </c>
      <c r="E25" s="35">
        <f>SUMPRODUCT(--ISERROR('M2'!$A$1:$AZ$59))</f>
        <v/>
      </c>
    </row>
    <row r="26" ht="28" customHeight="1" s="62">
      <c r="A26" s="34" t="inlineStr">
        <is>
          <t>Valores fuera de la matriz activa</t>
        </is>
      </c>
      <c r="B26" s="46">
        <f>M!$K$5</f>
        <v/>
      </c>
      <c r="D26" s="34" t="inlineStr">
        <is>
          <t>M3</t>
        </is>
      </c>
      <c r="E26" s="35">
        <f>SUMPRODUCT(--ISERROR('M3'!$A$1:$AZ$59))</f>
        <v/>
      </c>
    </row>
    <row r="27">
      <c r="A27" s="34" t="inlineStr">
        <is>
          <t>M lista para calcular</t>
        </is>
      </c>
      <c r="B27" s="46">
        <f>matrizOK</f>
        <v/>
      </c>
      <c r="D27" s="34" t="inlineStr">
        <is>
          <t>M4</t>
        </is>
      </c>
      <c r="E27" s="35">
        <f>SUMPRODUCT(--ISERROR('M4'!$A$1:$AZ$59))</f>
        <v/>
      </c>
    </row>
    <row r="28">
      <c r="D28" s="34" t="inlineStr">
        <is>
          <t>M5</t>
        </is>
      </c>
      <c r="E28" s="35">
        <f>SUMPRODUCT(--ISERROR('M5'!$A$1:$AZ$59))</f>
        <v/>
      </c>
    </row>
    <row r="29">
      <c r="D29" s="34" t="inlineStr">
        <is>
          <t>M6</t>
        </is>
      </c>
      <c r="E29" s="35">
        <f>SUMPRODUCT(--ISERROR('M6'!$A$1:$AZ$59))</f>
        <v/>
      </c>
    </row>
    <row r="30">
      <c r="D30" s="34" t="inlineStr">
        <is>
          <t>Evolución</t>
        </is>
      </c>
      <c r="E30" s="35">
        <f>SUMPRODUCT(--ISERROR(Evolución!$A$1:$J$115))</f>
        <v/>
      </c>
    </row>
    <row r="31">
      <c r="D31" s="34" t="inlineStr">
        <is>
          <t>Árbol de Problemas</t>
        </is>
      </c>
      <c r="E31" s="35">
        <f>SUMPRODUCT(--ISERROR('Árbol de Problemas'!$A$1:$H$110))</f>
        <v/>
      </c>
    </row>
    <row r="32">
      <c r="B32" s="54" t="inlineStr">
        <is>
          <t>(errores totales)</t>
        </is>
      </c>
      <c r="C32" s="55">
        <f>E36</f>
        <v/>
      </c>
      <c r="D32" s="34" t="inlineStr">
        <is>
          <t>SVG</t>
        </is>
      </c>
      <c r="E32" s="35">
        <f>SUMPRODUCT(--ISERROR(SVG!$A$1:$E$20))</f>
        <v/>
      </c>
    </row>
    <row r="33">
      <c r="D33" s="34" t="inlineStr">
        <is>
          <t>Paso a paso</t>
        </is>
      </c>
      <c r="E33" s="35">
        <f>SUMPRODUCT(--ISERROR('Paso a paso'!$A$1:$H$80))</f>
        <v/>
      </c>
    </row>
    <row r="34">
      <c r="D34" s="34" t="inlineStr">
        <is>
          <t>aux_SVG</t>
        </is>
      </c>
      <c r="E34" s="35">
        <f>SUMPRODUCT(--ISERROR(aux_SVG!$A$1:$ER$85))</f>
        <v/>
      </c>
    </row>
    <row r="35">
      <c r="D35" s="34" t="inlineStr">
        <is>
          <t>aux_Árbol</t>
        </is>
      </c>
      <c r="E35" s="35">
        <f>SUMPRODUCT(--ISERROR(aux_Árbol!$A$1:$AR$115))</f>
        <v/>
      </c>
    </row>
    <row r="36">
      <c r="D36" s="61" t="inlineStr">
        <is>
          <t>Total</t>
        </is>
      </c>
      <c r="E36" s="56">
        <f>SUM(E22:E35)</f>
        <v/>
      </c>
    </row>
    <row r="38" ht="30" customHeight="1" s="62">
      <c r="A38" s="63" t="inlineStr">
        <is>
          <t>Los gráficos nativos de Resultados leen las columnas auxiliares N:AB; allí el valor -1 significa «sin dato» y no es un error.</t>
        </is>
      </c>
    </row>
  </sheetData>
  <mergeCells count="7">
    <mergeCell ref="A12:H12"/>
    <mergeCell ref="A3:H3"/>
    <mergeCell ref="A38:H38"/>
    <mergeCell ref="A2:H2"/>
    <mergeCell ref="D21"/>
    <mergeCell ref="A19:H19"/>
    <mergeCell ref="A1:H1"/>
  </mergeCells>
  <conditionalFormatting sqref="E22:E36">
    <cfRule type="expression" priority="3" dxfId="0">
      <formula>E22&gt;0</formula>
    </cfRule>
  </conditionalFormatting>
  <conditionalFormatting sqref="H6:H11">
    <cfRule type="expression" priority="1" dxfId="1">
      <formula>H6="Coincide"</formula>
    </cfRule>
    <cfRule type="expression" priority="2" dxfId="0">
      <formula>H6="REVISAR"</formula>
    </cfRule>
  </conditionalFormatting>
  <pageMargins left="0.75" right="0.75" top="1" bottom="1" header="0.5" footer="0.5"/>
  <pageSetup orientation="landscape" fitToHeight="0"/>
</worksheet>
</file>

<file path=xl/worksheets/sheet15.xml><?xml version="1.0" encoding="utf-8"?>
<worksheet xmlns="http://schemas.openxmlformats.org/spreadsheetml/2006/main">
  <sheetPr>
    <tabColor rgb="FF9EB9D4"/>
    <outlinePr summaryBelow="1" summaryRight="1"/>
    <pageSetUpPr/>
  </sheetPr>
  <dimension ref="A1:DW91"/>
  <sheetViews>
    <sheetView topLeftCell="P1" zoomScale="70" workbookViewId="0">
      <pane ySplit="2" topLeftCell="A3" activePane="bottomLeft" state="frozen"/>
      <selection pane="bottomLeft" activeCell="A1" sqref="A1"/>
    </sheetView>
  </sheetViews>
  <sheetFormatPr baseColWidth="10" defaultColWidth="8.83203125" defaultRowHeight="15"/>
  <cols>
    <col width="5" customWidth="1" style="62" min="1" max="1"/>
    <col width="26" customWidth="1" style="62" min="2" max="3"/>
    <col width="18" customWidth="1" style="62" min="4" max="5"/>
    <col width="22" customWidth="1" style="62" min="8" max="8"/>
    <col width="11" customWidth="1" style="62" min="9" max="23"/>
    <col width="22" customWidth="1" style="62" min="26" max="26"/>
    <col width="11" customWidth="1" style="62" min="27" max="41"/>
    <col width="22" customWidth="1" style="62" min="44" max="44"/>
    <col width="11" customWidth="1" style="62" min="45" max="59"/>
    <col width="22" customWidth="1" style="62" min="62" max="62"/>
    <col width="11" customWidth="1" style="62" min="63" max="77"/>
    <col width="22" customWidth="1" style="62" min="80" max="80"/>
    <col width="11" customWidth="1" style="62" min="81" max="95"/>
    <col width="22" customWidth="1" style="62" min="98" max="98"/>
    <col width="11" customWidth="1" style="62" min="99" max="113"/>
    <col width="22" customWidth="1" style="62" min="116" max="116"/>
    <col width="12" customWidth="1" style="62" min="117" max="129"/>
  </cols>
  <sheetData>
    <row r="1">
      <c r="A1" s="57" t="inlineStr">
        <is>
          <t>Hoja auxiliar (no edite): cálculos intermedios que generan el código SVG de la hoja «SVG». Cada bloque corresponde a un gráfico.</t>
        </is>
      </c>
    </row>
    <row r="2">
      <c r="H2" s="57" t="inlineStr">
        <is>
          <t>PLANO M1</t>
        </is>
      </c>
      <c r="Z2" s="57" t="inlineStr">
        <is>
          <t>PLANO M2</t>
        </is>
      </c>
      <c r="AR2" s="57" t="inlineStr">
        <is>
          <t>PLANO M3</t>
        </is>
      </c>
      <c r="BJ2" s="57" t="inlineStr">
        <is>
          <t>PLANO M4</t>
        </is>
      </c>
      <c r="CB2" s="57" t="inlineStr">
        <is>
          <t>PLANO M5</t>
        </is>
      </c>
      <c r="CT2" s="57" t="inlineStr">
        <is>
          <t>PLANO M6</t>
        </is>
      </c>
      <c r="DL2" s="57" t="inlineStr">
        <is>
          <t>ÁRBOL DE PROBLEMAS</t>
        </is>
      </c>
    </row>
    <row r="3">
      <c r="H3" s="58" t="inlineStr">
        <is>
          <t>Título</t>
        </is>
      </c>
      <c r="I3" s="59">
        <f>"M1 · Dependencia e influencia"&amp;IF(nombreEstudio&lt;&gt;""," — "&amp;nombreEstudio,"")</f>
        <v/>
      </c>
      <c r="Z3" s="58" t="inlineStr">
        <is>
          <t>Título</t>
        </is>
      </c>
      <c r="AA3" s="59">
        <f>"M2 · Dependencia e influencia"&amp;IF(nombreEstudio&lt;&gt;""," — "&amp;nombreEstudio,"")</f>
        <v/>
      </c>
      <c r="AR3" s="58" t="inlineStr">
        <is>
          <t>Título</t>
        </is>
      </c>
      <c r="AS3" s="59">
        <f>"M3 · Dependencia e influencia"&amp;IF(nombreEstudio&lt;&gt;""," — "&amp;nombreEstudio,"")</f>
        <v/>
      </c>
      <c r="BJ3" s="58" t="inlineStr">
        <is>
          <t>Título</t>
        </is>
      </c>
      <c r="BK3" s="59">
        <f>"M4 · Dependencia e influencia"&amp;IF(nombreEstudio&lt;&gt;""," — "&amp;nombreEstudio,"")</f>
        <v/>
      </c>
      <c r="CB3" s="58" t="inlineStr">
        <is>
          <t>Título</t>
        </is>
      </c>
      <c r="CC3" s="59">
        <f>"M5 · Dependencia e influencia"&amp;IF(nombreEstudio&lt;&gt;""," — "&amp;nombreEstudio,"")</f>
        <v/>
      </c>
      <c r="CT3" s="58" t="inlineStr">
        <is>
          <t>Título</t>
        </is>
      </c>
      <c r="CU3" s="59">
        <f>"M6 · Dependencia e influencia"&amp;IF(nombreEstudio&lt;&gt;""," — "&amp;nombreEstudio,"")</f>
        <v/>
      </c>
      <c r="DL3" s="58" t="inlineStr">
        <is>
          <t>Título</t>
        </is>
      </c>
      <c r="DM3" s="59">
        <f>"Árbol de Problemas"&amp;IF(nombreEstudio&lt;&gt;""," · "&amp;nombreEstudio,"")</f>
        <v/>
      </c>
    </row>
    <row r="4">
      <c r="H4" s="58" t="inlineStr">
        <is>
          <t>¿Plano válido?</t>
        </is>
      </c>
      <c r="I4" s="59">
        <f>IF(AND(matrizOK,'M1'!$C$9&gt;0),1,0)</f>
        <v/>
      </c>
      <c r="Z4" s="58" t="inlineStr">
        <is>
          <t>¿Plano válido?</t>
        </is>
      </c>
      <c r="AA4" s="59">
        <f>IF(AND(matrizOK,'M2'!$C$9&gt;0),1,0)</f>
        <v/>
      </c>
      <c r="AR4" s="58" t="inlineStr">
        <is>
          <t>¿Plano válido?</t>
        </is>
      </c>
      <c r="AS4" s="59">
        <f>IF(AND(matrizOK,'M3'!$C$9&gt;0),1,0)</f>
        <v/>
      </c>
      <c r="BJ4" s="58" t="inlineStr">
        <is>
          <t>¿Plano válido?</t>
        </is>
      </c>
      <c r="BK4" s="59">
        <f>IF(AND(matrizOK,'M4'!$C$9&gt;0),1,0)</f>
        <v/>
      </c>
      <c r="CB4" s="58" t="inlineStr">
        <is>
          <t>¿Plano válido?</t>
        </is>
      </c>
      <c r="CC4" s="59">
        <f>IF(AND(matrizOK,'M5'!$C$9&gt;0),1,0)</f>
        <v/>
      </c>
      <c r="CT4" s="58" t="inlineStr">
        <is>
          <t>¿Plano válido?</t>
        </is>
      </c>
      <c r="CU4" s="59">
        <f>IF(AND(matrizOK,'M6'!$C$9&gt;0),1,0)</f>
        <v/>
      </c>
      <c r="DL4" s="58" t="inlineStr">
        <is>
          <t>¿válido?</t>
        </is>
      </c>
      <c r="DM4" s="59">
        <f>IF(AND(matrizOK,'M6'!$C$9&gt;0),1,0)</f>
        <v/>
      </c>
    </row>
    <row r="5">
      <c r="H5" s="58" t="inlineStr">
        <is>
          <t>máx dependencia</t>
        </is>
      </c>
      <c r="I5" s="59">
        <f>IF($I$4=1,MAX('M1'!$F$10:$F$49),0)</f>
        <v/>
      </c>
      <c r="Z5" s="58" t="inlineStr">
        <is>
          <t>máx dependencia</t>
        </is>
      </c>
      <c r="AA5" s="59">
        <f>IF($AA$4=1,MAX('M2'!$F$10:$F$49),0)</f>
        <v/>
      </c>
      <c r="AR5" s="58" t="inlineStr">
        <is>
          <t>máx dependencia</t>
        </is>
      </c>
      <c r="AS5" s="59">
        <f>IF($AS$4=1,MAX('M3'!$F$10:$F$49),0)</f>
        <v/>
      </c>
      <c r="BJ5" s="58" t="inlineStr">
        <is>
          <t>máx dependencia</t>
        </is>
      </c>
      <c r="BK5" s="59">
        <f>IF($BK$4=1,MAX('M4'!$F$10:$F$49),0)</f>
        <v/>
      </c>
      <c r="CB5" s="58" t="inlineStr">
        <is>
          <t>máx dependencia</t>
        </is>
      </c>
      <c r="CC5" s="59">
        <f>IF($CC$4=1,MAX('M5'!$F$10:$F$49),0)</f>
        <v/>
      </c>
      <c r="CT5" s="58" t="inlineStr">
        <is>
          <t>máx dependencia</t>
        </is>
      </c>
      <c r="CU5" s="59">
        <f>IF($CU$4=1,MAX('M6'!$F$10:$F$49),0)</f>
        <v/>
      </c>
      <c r="DL5" s="58" t="inlineStr">
        <is>
          <t>n efectos</t>
        </is>
      </c>
      <c r="DM5" s="59">
        <f>COUNTIF(DM52:DM91,"E")</f>
        <v/>
      </c>
    </row>
    <row r="6">
      <c r="H6" s="58" t="inlineStr">
        <is>
          <t>máx influencia</t>
        </is>
      </c>
      <c r="I6" s="59">
        <f>IF($I$4=1,MAX('M1'!$E$10:$E$49),0)</f>
        <v/>
      </c>
      <c r="Z6" s="58" t="inlineStr">
        <is>
          <t>máx influencia</t>
        </is>
      </c>
      <c r="AA6" s="59">
        <f>IF($AA$4=1,MAX('M2'!$E$10:$E$49),0)</f>
        <v/>
      </c>
      <c r="AR6" s="58" t="inlineStr">
        <is>
          <t>máx influencia</t>
        </is>
      </c>
      <c r="AS6" s="59">
        <f>IF($AS$4=1,MAX('M3'!$E$10:$E$49),0)</f>
        <v/>
      </c>
      <c r="BJ6" s="58" t="inlineStr">
        <is>
          <t>máx influencia</t>
        </is>
      </c>
      <c r="BK6" s="59">
        <f>IF($BK$4=1,MAX('M4'!$E$10:$E$49),0)</f>
        <v/>
      </c>
      <c r="CB6" s="58" t="inlineStr">
        <is>
          <t>máx influencia</t>
        </is>
      </c>
      <c r="CC6" s="59">
        <f>IF($CC$4=1,MAX('M5'!$E$10:$E$49),0)</f>
        <v/>
      </c>
      <c r="CT6" s="58" t="inlineStr">
        <is>
          <t>máx influencia</t>
        </is>
      </c>
      <c r="CU6" s="59">
        <f>IF($CU$4=1,MAX('M6'!$E$10:$E$49),0)</f>
        <v/>
      </c>
      <c r="DL6" s="58" t="inlineStr">
        <is>
          <t>filas efectos</t>
        </is>
      </c>
      <c r="DM6" s="59">
        <f>ROUNDUP($DM$5/5,0)</f>
        <v/>
      </c>
    </row>
    <row r="7">
      <c r="H7" s="58" t="inlineStr">
        <is>
          <t>corte dependencia</t>
        </is>
      </c>
      <c r="I7" s="59">
        <f>IF($I$4=1,N('M1'!$F$51),0)</f>
        <v/>
      </c>
      <c r="Z7" s="58" t="inlineStr">
        <is>
          <t>corte dependencia</t>
        </is>
      </c>
      <c r="AA7" s="59">
        <f>IF($AA$4=1,N('M2'!$F$51),0)</f>
        <v/>
      </c>
      <c r="AR7" s="58" t="inlineStr">
        <is>
          <t>corte dependencia</t>
        </is>
      </c>
      <c r="AS7" s="59">
        <f>IF($AS$4=1,N('M3'!$F$51),0)</f>
        <v/>
      </c>
      <c r="BJ7" s="58" t="inlineStr">
        <is>
          <t>corte dependencia</t>
        </is>
      </c>
      <c r="BK7" s="59">
        <f>IF($BK$4=1,N('M4'!$F$51),0)</f>
        <v/>
      </c>
      <c r="CB7" s="58" t="inlineStr">
        <is>
          <t>corte dependencia</t>
        </is>
      </c>
      <c r="CC7" s="59">
        <f>IF($CC$4=1,N('M5'!$F$51),0)</f>
        <v/>
      </c>
      <c r="CT7" s="58" t="inlineStr">
        <is>
          <t>corte dependencia</t>
        </is>
      </c>
      <c r="CU7" s="59">
        <f>IF($CU$4=1,N('M6'!$F$51),0)</f>
        <v/>
      </c>
      <c r="DL7" s="58" t="inlineStr">
        <is>
          <t>alto efectos</t>
        </is>
      </c>
      <c r="DM7" s="59">
        <f>IF($DM$6&gt;0,$DM$6*64+($DM$6-1)*12,0)</f>
        <v/>
      </c>
    </row>
    <row r="8">
      <c r="H8" s="58" t="inlineStr">
        <is>
          <t>corte influencia</t>
        </is>
      </c>
      <c r="I8" s="59">
        <f>IF($I$4=1,N('M1'!$E$51),0)</f>
        <v/>
      </c>
      <c r="Z8" s="58" t="inlineStr">
        <is>
          <t>corte influencia</t>
        </is>
      </c>
      <c r="AA8" s="59">
        <f>IF($AA$4=1,N('M2'!$E$51),0)</f>
        <v/>
      </c>
      <c r="AR8" s="58" t="inlineStr">
        <is>
          <t>corte influencia</t>
        </is>
      </c>
      <c r="AS8" s="59">
        <f>IF($AS$4=1,N('M3'!$E$51),0)</f>
        <v/>
      </c>
      <c r="BJ8" s="58" t="inlineStr">
        <is>
          <t>corte influencia</t>
        </is>
      </c>
      <c r="BK8" s="59">
        <f>IF($BK$4=1,N('M4'!$E$51),0)</f>
        <v/>
      </c>
      <c r="CB8" s="58" t="inlineStr">
        <is>
          <t>corte influencia</t>
        </is>
      </c>
      <c r="CC8" s="59">
        <f>IF($CC$4=1,N('M5'!$E$51),0)</f>
        <v/>
      </c>
      <c r="CT8" s="58" t="inlineStr">
        <is>
          <t>corte influencia</t>
        </is>
      </c>
      <c r="CU8" s="59">
        <f>IF($CU$4=1,N('M6'!$E$51),0)</f>
        <v/>
      </c>
      <c r="DL8" s="58" t="inlineStr">
        <is>
          <t>n causas directas</t>
        </is>
      </c>
      <c r="DM8" s="59">
        <f>COUNTIF(DM52:DM91,"L")</f>
        <v/>
      </c>
    </row>
    <row r="9">
      <c r="H9" s="58" t="inlineStr">
        <is>
          <t>¿cortes interpretables?</t>
        </is>
      </c>
      <c r="I9" s="59">
        <f>IF(AND($I$4=1,N('M1'!$C$51)&gt;0,N('M1'!$D$51)&gt;0),1,0)</f>
        <v/>
      </c>
      <c r="Z9" s="58" t="inlineStr">
        <is>
          <t>¿cortes interpretables?</t>
        </is>
      </c>
      <c r="AA9" s="59">
        <f>IF(AND($AA$4=1,N('M2'!$C$51)&gt;0,N('M2'!$D$51)&gt;0),1,0)</f>
        <v/>
      </c>
      <c r="AR9" s="58" t="inlineStr">
        <is>
          <t>¿cortes interpretables?</t>
        </is>
      </c>
      <c r="AS9" s="59">
        <f>IF(AND($AS$4=1,N('M3'!$C$51)&gt;0,N('M3'!$D$51)&gt;0),1,0)</f>
        <v/>
      </c>
      <c r="BJ9" s="58" t="inlineStr">
        <is>
          <t>¿cortes interpretables?</t>
        </is>
      </c>
      <c r="BK9" s="59">
        <f>IF(AND($BK$4=1,N('M4'!$C$51)&gt;0,N('M4'!$D$51)&gt;0),1,0)</f>
        <v/>
      </c>
      <c r="CB9" s="58" t="inlineStr">
        <is>
          <t>¿cortes interpretables?</t>
        </is>
      </c>
      <c r="CC9" s="59">
        <f>IF(AND($CC$4=1,N('M5'!$C$51)&gt;0,N('M5'!$D$51)&gt;0),1,0)</f>
        <v/>
      </c>
      <c r="CT9" s="58" t="inlineStr">
        <is>
          <t>¿cortes interpretables?</t>
        </is>
      </c>
      <c r="CU9" s="59">
        <f>IF(AND($CU$4=1,N('M6'!$C$51)&gt;0,N('M6'!$D$51)&gt;0),1,0)</f>
        <v/>
      </c>
      <c r="DL9" s="58" t="inlineStr">
        <is>
          <t>filas causas directas</t>
        </is>
      </c>
      <c r="DM9" s="59">
        <f>ROUNDUP($DM$8/5,0)</f>
        <v/>
      </c>
    </row>
    <row r="10">
      <c r="H10" s="58" t="inlineStr">
        <is>
          <t>tope X</t>
        </is>
      </c>
      <c r="I10" s="59">
        <f>MAX($I$5,$I$7)</f>
        <v/>
      </c>
      <c r="Z10" s="58" t="inlineStr">
        <is>
          <t>tope X</t>
        </is>
      </c>
      <c r="AA10" s="59">
        <f>MAX($AA$5,$AA$7)</f>
        <v/>
      </c>
      <c r="AR10" s="58" t="inlineStr">
        <is>
          <t>tope X</t>
        </is>
      </c>
      <c r="AS10" s="59">
        <f>MAX($AS$5,$AS$7)</f>
        <v/>
      </c>
      <c r="BJ10" s="58" t="inlineStr">
        <is>
          <t>tope X</t>
        </is>
      </c>
      <c r="BK10" s="59">
        <f>MAX($BK$5,$BK$7)</f>
        <v/>
      </c>
      <c r="CB10" s="58" t="inlineStr">
        <is>
          <t>tope X</t>
        </is>
      </c>
      <c r="CC10" s="59">
        <f>MAX($CC$5,$CC$7)</f>
        <v/>
      </c>
      <c r="CT10" s="58" t="inlineStr">
        <is>
          <t>tope X</t>
        </is>
      </c>
      <c r="CU10" s="59">
        <f>MAX($CU$5,$CU$7)</f>
        <v/>
      </c>
      <c r="DL10" s="58" t="inlineStr">
        <is>
          <t>alto causas directas</t>
        </is>
      </c>
      <c r="DM10" s="59">
        <f>IF($DM$9&gt;0,$DM$9*64+($DM$9-1)*12,0)</f>
        <v/>
      </c>
    </row>
    <row r="11">
      <c r="H11" s="58" t="inlineStr">
        <is>
          <t>tope Y</t>
        </is>
      </c>
      <c r="I11" s="59">
        <f>MAX($I$6,$I$8)</f>
        <v/>
      </c>
      <c r="Z11" s="58" t="inlineStr">
        <is>
          <t>tope Y</t>
        </is>
      </c>
      <c r="AA11" s="59">
        <f>MAX($AA$6,$AA$8)</f>
        <v/>
      </c>
      <c r="AR11" s="58" t="inlineStr">
        <is>
          <t>tope Y</t>
        </is>
      </c>
      <c r="AS11" s="59">
        <f>MAX($AS$6,$AS$8)</f>
        <v/>
      </c>
      <c r="BJ11" s="58" t="inlineStr">
        <is>
          <t>tope Y</t>
        </is>
      </c>
      <c r="BK11" s="59">
        <f>MAX($BK$6,$BK$8)</f>
        <v/>
      </c>
      <c r="CB11" s="58" t="inlineStr">
        <is>
          <t>tope Y</t>
        </is>
      </c>
      <c r="CC11" s="59">
        <f>MAX($CC$6,$CC$8)</f>
        <v/>
      </c>
      <c r="CT11" s="58" t="inlineStr">
        <is>
          <t>tope Y</t>
        </is>
      </c>
      <c r="CU11" s="59">
        <f>MAX($CU$6,$CU$8)</f>
        <v/>
      </c>
      <c r="DL11" s="58" t="inlineStr">
        <is>
          <t>n causas raíz</t>
        </is>
      </c>
      <c r="DM11" s="59">
        <f>COUNTIF(DM52:DM91,"R")</f>
        <v/>
      </c>
    </row>
    <row r="12">
      <c r="H12" s="58" t="inlineStr">
        <is>
          <t>raw X</t>
        </is>
      </c>
      <c r="I12" s="59">
        <f>IF($I$10&gt;0,$I$10/5,1)</f>
        <v/>
      </c>
      <c r="Z12" s="58" t="inlineStr">
        <is>
          <t>raw X</t>
        </is>
      </c>
      <c r="AA12" s="59">
        <f>IF($AA$10&gt;0,$AA$10/5,1)</f>
        <v/>
      </c>
      <c r="AR12" s="58" t="inlineStr">
        <is>
          <t>raw X</t>
        </is>
      </c>
      <c r="AS12" s="59">
        <f>IF($AS$10&gt;0,$AS$10/5,1)</f>
        <v/>
      </c>
      <c r="BJ12" s="58" t="inlineStr">
        <is>
          <t>raw X</t>
        </is>
      </c>
      <c r="BK12" s="59">
        <f>IF($BK$10&gt;0,$BK$10/5,1)</f>
        <v/>
      </c>
      <c r="CB12" s="58" t="inlineStr">
        <is>
          <t>raw X</t>
        </is>
      </c>
      <c r="CC12" s="59">
        <f>IF($CC$10&gt;0,$CC$10/5,1)</f>
        <v/>
      </c>
      <c r="CT12" s="58" t="inlineStr">
        <is>
          <t>raw X</t>
        </is>
      </c>
      <c r="CU12" s="59">
        <f>IF($CU$10&gt;0,$CU$10/5,1)</f>
        <v/>
      </c>
      <c r="DL12" s="58" t="inlineStr">
        <is>
          <t>filas causas raíz</t>
        </is>
      </c>
      <c r="DM12" s="59">
        <f>ROUNDUP($DM$11/5,0)</f>
        <v/>
      </c>
    </row>
    <row r="13">
      <c r="H13" s="58" t="inlineStr">
        <is>
          <t>magnitud X</t>
        </is>
      </c>
      <c r="I13" s="59">
        <f>10^INT(LOG10($I$12))</f>
        <v/>
      </c>
      <c r="Z13" s="58" t="inlineStr">
        <is>
          <t>magnitud X</t>
        </is>
      </c>
      <c r="AA13" s="59">
        <f>10^INT(LOG10($AA$12))</f>
        <v/>
      </c>
      <c r="AR13" s="58" t="inlineStr">
        <is>
          <t>magnitud X</t>
        </is>
      </c>
      <c r="AS13" s="59">
        <f>10^INT(LOG10($AS$12))</f>
        <v/>
      </c>
      <c r="BJ13" s="58" t="inlineStr">
        <is>
          <t>magnitud X</t>
        </is>
      </c>
      <c r="BK13" s="59">
        <f>10^INT(LOG10($BK$12))</f>
        <v/>
      </c>
      <c r="CB13" s="58" t="inlineStr">
        <is>
          <t>magnitud X</t>
        </is>
      </c>
      <c r="CC13" s="59">
        <f>10^INT(LOG10($CC$12))</f>
        <v/>
      </c>
      <c r="CT13" s="58" t="inlineStr">
        <is>
          <t>magnitud X</t>
        </is>
      </c>
      <c r="CU13" s="59">
        <f>10^INT(LOG10($CU$12))</f>
        <v/>
      </c>
      <c r="DL13" s="58" t="inlineStr">
        <is>
          <t>alto causas raíz</t>
        </is>
      </c>
      <c r="DM13" s="59">
        <f>IF($DM$12&gt;0,$DM$12*64+($DM$12-1)*12,0)</f>
        <v/>
      </c>
    </row>
    <row r="14">
      <c r="H14" s="58" t="inlineStr">
        <is>
          <t>paso X</t>
        </is>
      </c>
      <c r="I14" s="59">
        <f>$I$13*IF($I$12/$I$13&lt;=1,1,IF($I$12/$I$13&lt;=2,2,IF($I$12/$I$13&lt;=5,5,10)))</f>
        <v/>
      </c>
      <c r="Z14" s="58" t="inlineStr">
        <is>
          <t>paso X</t>
        </is>
      </c>
      <c r="AA14" s="59">
        <f>$AA$13*IF($AA$12/$AA$13&lt;=1,1,IF($AA$12/$AA$13&lt;=2,2,IF($AA$12/$AA$13&lt;=5,5,10)))</f>
        <v/>
      </c>
      <c r="AR14" s="58" t="inlineStr">
        <is>
          <t>paso X</t>
        </is>
      </c>
      <c r="AS14" s="59">
        <f>$AS$13*IF($AS$12/$AS$13&lt;=1,1,IF($AS$12/$AS$13&lt;=2,2,IF($AS$12/$AS$13&lt;=5,5,10)))</f>
        <v/>
      </c>
      <c r="BJ14" s="58" t="inlineStr">
        <is>
          <t>paso X</t>
        </is>
      </c>
      <c r="BK14" s="59">
        <f>$BK$13*IF($BK$12/$BK$13&lt;=1,1,IF($BK$12/$BK$13&lt;=2,2,IF($BK$12/$BK$13&lt;=5,5,10)))</f>
        <v/>
      </c>
      <c r="CB14" s="58" t="inlineStr">
        <is>
          <t>paso X</t>
        </is>
      </c>
      <c r="CC14" s="59">
        <f>$CC$13*IF($CC$12/$CC$13&lt;=1,1,IF($CC$12/$CC$13&lt;=2,2,IF($CC$12/$CC$13&lt;=5,5,10)))</f>
        <v/>
      </c>
      <c r="CT14" s="58" t="inlineStr">
        <is>
          <t>paso X</t>
        </is>
      </c>
      <c r="CU14" s="59">
        <f>$CU$13*IF($CU$12/$CU$13&lt;=1,1,IF($CU$12/$CU$13&lt;=2,2,IF($CU$12/$CU$13&lt;=5,5,10)))</f>
        <v/>
      </c>
      <c r="DL14" s="58" t="inlineStr">
        <is>
          <t>n fuera de alcance</t>
        </is>
      </c>
      <c r="DM14" s="59">
        <f>COUNTIF(DM52:DM91,"A")</f>
        <v/>
      </c>
    </row>
    <row r="15">
      <c r="H15" s="58" t="inlineStr">
        <is>
          <t>máximo del eje X</t>
        </is>
      </c>
      <c r="I15" s="59">
        <f>IF($I$10&gt;0,(INT($I$10*1.04/$I$14)+1)*$I$14,1)</f>
        <v/>
      </c>
      <c r="Z15" s="58" t="inlineStr">
        <is>
          <t>máximo del eje X</t>
        </is>
      </c>
      <c r="AA15" s="59">
        <f>IF($AA$10&gt;0,(INT($AA$10*1.04/$AA$14)+1)*$AA$14,1)</f>
        <v/>
      </c>
      <c r="AR15" s="58" t="inlineStr">
        <is>
          <t>máximo del eje X</t>
        </is>
      </c>
      <c r="AS15" s="59">
        <f>IF($AS$10&gt;0,(INT($AS$10*1.04/$AS$14)+1)*$AS$14,1)</f>
        <v/>
      </c>
      <c r="BJ15" s="58" t="inlineStr">
        <is>
          <t>máximo del eje X</t>
        </is>
      </c>
      <c r="BK15" s="59">
        <f>IF($BK$10&gt;0,(INT($BK$10*1.04/$BK$14)+1)*$BK$14,1)</f>
        <v/>
      </c>
      <c r="CB15" s="58" t="inlineStr">
        <is>
          <t>máximo del eje X</t>
        </is>
      </c>
      <c r="CC15" s="59">
        <f>IF($CC$10&gt;0,(INT($CC$10*1.04/$CC$14)+1)*$CC$14,1)</f>
        <v/>
      </c>
      <c r="CT15" s="58" t="inlineStr">
        <is>
          <t>máximo del eje X</t>
        </is>
      </c>
      <c r="CU15" s="59">
        <f>IF($CU$10&gt;0,(INT($CU$10*1.04/$CU$14)+1)*$CU$14,1)</f>
        <v/>
      </c>
      <c r="DL15" s="58" t="inlineStr">
        <is>
          <t>filas fuera de alcance</t>
        </is>
      </c>
      <c r="DM15" s="59">
        <f>ROUNDUP($DM$14/5,0)</f>
        <v/>
      </c>
    </row>
    <row r="16">
      <c r="H16" s="58" t="inlineStr">
        <is>
          <t>marcas X</t>
        </is>
      </c>
      <c r="I16" s="59">
        <f>ROUND($I$15/$I$14,0)</f>
        <v/>
      </c>
      <c r="Z16" s="58" t="inlineStr">
        <is>
          <t>marcas X</t>
        </is>
      </c>
      <c r="AA16" s="59">
        <f>ROUND($AA$15/$AA$14,0)</f>
        <v/>
      </c>
      <c r="AR16" s="58" t="inlineStr">
        <is>
          <t>marcas X</t>
        </is>
      </c>
      <c r="AS16" s="59">
        <f>ROUND($AS$15/$AS$14,0)</f>
        <v/>
      </c>
      <c r="BJ16" s="58" t="inlineStr">
        <is>
          <t>marcas X</t>
        </is>
      </c>
      <c r="BK16" s="59">
        <f>ROUND($BK$15/$BK$14,0)</f>
        <v/>
      </c>
      <c r="CB16" s="58" t="inlineStr">
        <is>
          <t>marcas X</t>
        </is>
      </c>
      <c r="CC16" s="59">
        <f>ROUND($CC$15/$CC$14,0)</f>
        <v/>
      </c>
      <c r="CT16" s="58" t="inlineStr">
        <is>
          <t>marcas X</t>
        </is>
      </c>
      <c r="CU16" s="59">
        <f>ROUND($CU$15/$CU$14,0)</f>
        <v/>
      </c>
      <c r="DL16" s="58" t="inlineStr">
        <is>
          <t>alto fuera de alcance</t>
        </is>
      </c>
      <c r="DM16" s="59">
        <f>IF($DM$15&gt;0,$DM$15*64+($DM$15-1)*12,0)</f>
        <v/>
      </c>
    </row>
    <row r="17">
      <c r="H17" s="58" t="inlineStr">
        <is>
          <t>raw Y</t>
        </is>
      </c>
      <c r="I17" s="59">
        <f>IF($I$11&gt;0,$I$11/5,1)</f>
        <v/>
      </c>
      <c r="Z17" s="58" t="inlineStr">
        <is>
          <t>raw Y</t>
        </is>
      </c>
      <c r="AA17" s="59">
        <f>IF($AA$11&gt;0,$AA$11/5,1)</f>
        <v/>
      </c>
      <c r="AR17" s="58" t="inlineStr">
        <is>
          <t>raw Y</t>
        </is>
      </c>
      <c r="AS17" s="59">
        <f>IF($AS$11&gt;0,$AS$11/5,1)</f>
        <v/>
      </c>
      <c r="BJ17" s="58" t="inlineStr">
        <is>
          <t>raw Y</t>
        </is>
      </c>
      <c r="BK17" s="59">
        <f>IF($BK$11&gt;0,$BK$11/5,1)</f>
        <v/>
      </c>
      <c r="CB17" s="58" t="inlineStr">
        <is>
          <t>raw Y</t>
        </is>
      </c>
      <c r="CC17" s="59">
        <f>IF($CC$11&gt;0,$CC$11/5,1)</f>
        <v/>
      </c>
      <c r="CT17" s="58" t="inlineStr">
        <is>
          <t>raw Y</t>
        </is>
      </c>
      <c r="CU17" s="59">
        <f>IF($CU$11&gt;0,$CU$11/5,1)</f>
        <v/>
      </c>
      <c r="DL17" s="58" t="inlineStr">
        <is>
          <t>y efectos</t>
        </is>
      </c>
      <c r="DM17" s="59">
        <f>170</f>
        <v/>
      </c>
    </row>
    <row r="18">
      <c r="H18" s="58" t="inlineStr">
        <is>
          <t>magnitud Y</t>
        </is>
      </c>
      <c r="I18" s="59">
        <f>10^INT(LOG10($I$17))</f>
        <v/>
      </c>
      <c r="Z18" s="58" t="inlineStr">
        <is>
          <t>magnitud Y</t>
        </is>
      </c>
      <c r="AA18" s="59">
        <f>10^INT(LOG10($AA$17))</f>
        <v/>
      </c>
      <c r="AR18" s="58" t="inlineStr">
        <is>
          <t>magnitud Y</t>
        </is>
      </c>
      <c r="AS18" s="59">
        <f>10^INT(LOG10($AS$17))</f>
        <v/>
      </c>
      <c r="BJ18" s="58" t="inlineStr">
        <is>
          <t>magnitud Y</t>
        </is>
      </c>
      <c r="BK18" s="59">
        <f>10^INT(LOG10($BK$17))</f>
        <v/>
      </c>
      <c r="CB18" s="58" t="inlineStr">
        <is>
          <t>magnitud Y</t>
        </is>
      </c>
      <c r="CC18" s="59">
        <f>10^INT(LOG10($CC$17))</f>
        <v/>
      </c>
      <c r="CT18" s="58" t="inlineStr">
        <is>
          <t>magnitud Y</t>
        </is>
      </c>
      <c r="CU18" s="59">
        <f>10^INT(LOG10($CU$17))</f>
        <v/>
      </c>
      <c r="DL18" s="58" t="inlineStr">
        <is>
          <t>fin efectos</t>
        </is>
      </c>
      <c r="DM18" s="59">
        <f>IF($DM$5&gt;0,$DM$17+24+$DM$7+10,134)</f>
        <v/>
      </c>
    </row>
    <row r="19">
      <c r="H19" s="58" t="inlineStr">
        <is>
          <t>paso Y</t>
        </is>
      </c>
      <c r="I19" s="59">
        <f>$I$18*IF($I$17/$I$18&lt;=1,1,IF($I$17/$I$18&lt;=2,2,IF($I$17/$I$18&lt;=5,5,10)))</f>
        <v/>
      </c>
      <c r="Z19" s="58" t="inlineStr">
        <is>
          <t>paso Y</t>
        </is>
      </c>
      <c r="AA19" s="59">
        <f>$AA$18*IF($AA$17/$AA$18&lt;=1,1,IF($AA$17/$AA$18&lt;=2,2,IF($AA$17/$AA$18&lt;=5,5,10)))</f>
        <v/>
      </c>
      <c r="AR19" s="58" t="inlineStr">
        <is>
          <t>paso Y</t>
        </is>
      </c>
      <c r="AS19" s="59">
        <f>$AS$18*IF($AS$17/$AS$18&lt;=1,1,IF($AS$17/$AS$18&lt;=2,2,IF($AS$17/$AS$18&lt;=5,5,10)))</f>
        <v/>
      </c>
      <c r="BJ19" s="58" t="inlineStr">
        <is>
          <t>paso Y</t>
        </is>
      </c>
      <c r="BK19" s="59">
        <f>$BK$18*IF($BK$17/$BK$18&lt;=1,1,IF($BK$17/$BK$18&lt;=2,2,IF($BK$17/$BK$18&lt;=5,5,10)))</f>
        <v/>
      </c>
      <c r="CB19" s="58" t="inlineStr">
        <is>
          <t>paso Y</t>
        </is>
      </c>
      <c r="CC19" s="59">
        <f>$CC$18*IF($CC$17/$CC$18&lt;=1,1,IF($CC$17/$CC$18&lt;=2,2,IF($CC$17/$CC$18&lt;=5,5,10)))</f>
        <v/>
      </c>
      <c r="CT19" s="58" t="inlineStr">
        <is>
          <t>paso Y</t>
        </is>
      </c>
      <c r="CU19" s="59">
        <f>$CU$18*IF($CU$17/$CU$18&lt;=1,1,IF($CU$17/$CU$18&lt;=2,2,IF($CU$17/$CU$18&lt;=5,5,10)))</f>
        <v/>
      </c>
      <c r="DL19" s="58" t="inlineStr">
        <is>
          <t>y problema central</t>
        </is>
      </c>
      <c r="DM19" s="59">
        <f>$DM$18+36</f>
        <v/>
      </c>
    </row>
    <row r="20">
      <c r="H20" s="58" t="inlineStr">
        <is>
          <t>máximo del eje Y</t>
        </is>
      </c>
      <c r="I20" s="59">
        <f>IF($I$11&gt;0,(INT($I$11*1.04/$I$19)+1)*$I$19,1)</f>
        <v/>
      </c>
      <c r="Z20" s="58" t="inlineStr">
        <is>
          <t>máximo del eje Y</t>
        </is>
      </c>
      <c r="AA20" s="59">
        <f>IF($AA$11&gt;0,(INT($AA$11*1.04/$AA$19)+1)*$AA$19,1)</f>
        <v/>
      </c>
      <c r="AR20" s="58" t="inlineStr">
        <is>
          <t>máximo del eje Y</t>
        </is>
      </c>
      <c r="AS20" s="59">
        <f>IF($AS$11&gt;0,(INT($AS$11*1.04/$AS$19)+1)*$AS$19,1)</f>
        <v/>
      </c>
      <c r="BJ20" s="58" t="inlineStr">
        <is>
          <t>máximo del eje Y</t>
        </is>
      </c>
      <c r="BK20" s="59">
        <f>IF($BK$11&gt;0,(INT($BK$11*1.04/$BK$19)+1)*$BK$19,1)</f>
        <v/>
      </c>
      <c r="CB20" s="58" t="inlineStr">
        <is>
          <t>máximo del eje Y</t>
        </is>
      </c>
      <c r="CC20" s="59">
        <f>IF($CC$11&gt;0,(INT($CC$11*1.04/$CC$19)+1)*$CC$19,1)</f>
        <v/>
      </c>
      <c r="CT20" s="58" t="inlineStr">
        <is>
          <t>máximo del eje Y</t>
        </is>
      </c>
      <c r="CU20" s="59">
        <f>IF($CU$11&gt;0,(INT($CU$11*1.04/$CU$19)+1)*$CU$19,1)</f>
        <v/>
      </c>
      <c r="DL20" s="58" t="inlineStr">
        <is>
          <t>fin problema central</t>
        </is>
      </c>
      <c r="DM20" s="59">
        <f>$DM$19+76</f>
        <v/>
      </c>
    </row>
    <row r="21">
      <c r="H21" s="58" t="inlineStr">
        <is>
          <t>marcas Y</t>
        </is>
      </c>
      <c r="I21" s="59">
        <f>ROUND($I$20/$I$19,0)</f>
        <v/>
      </c>
      <c r="Z21" s="58" t="inlineStr">
        <is>
          <t>marcas Y</t>
        </is>
      </c>
      <c r="AA21" s="59">
        <f>ROUND($AA$20/$AA$19,0)</f>
        <v/>
      </c>
      <c r="AR21" s="58" t="inlineStr">
        <is>
          <t>marcas Y</t>
        </is>
      </c>
      <c r="AS21" s="59">
        <f>ROUND($AS$20/$AS$19,0)</f>
        <v/>
      </c>
      <c r="BJ21" s="58" t="inlineStr">
        <is>
          <t>marcas Y</t>
        </is>
      </c>
      <c r="BK21" s="59">
        <f>ROUND($BK$20/$BK$19,0)</f>
        <v/>
      </c>
      <c r="CB21" s="58" t="inlineStr">
        <is>
          <t>marcas Y</t>
        </is>
      </c>
      <c r="CC21" s="59">
        <f>ROUND($CC$20/$CC$19,0)</f>
        <v/>
      </c>
      <c r="CT21" s="58" t="inlineStr">
        <is>
          <t>marcas Y</t>
        </is>
      </c>
      <c r="CU21" s="59">
        <f>ROUND($CU$20/$CU$19,0)</f>
        <v/>
      </c>
      <c r="DL21" s="58" t="inlineStr">
        <is>
          <t>y causas directas</t>
        </is>
      </c>
      <c r="DM21" s="59">
        <f>$DM$20+36</f>
        <v/>
      </c>
    </row>
    <row r="22">
      <c r="H22" s="58" t="inlineStr">
        <is>
          <t>px por unidad X</t>
        </is>
      </c>
      <c r="I22" s="59">
        <f>560/$I$15</f>
        <v/>
      </c>
      <c r="Z22" s="58" t="inlineStr">
        <is>
          <t>px por unidad X</t>
        </is>
      </c>
      <c r="AA22" s="59">
        <f>560/$AA$15</f>
        <v/>
      </c>
      <c r="AR22" s="58" t="inlineStr">
        <is>
          <t>px por unidad X</t>
        </is>
      </c>
      <c r="AS22" s="59">
        <f>560/$AS$15</f>
        <v/>
      </c>
      <c r="BJ22" s="58" t="inlineStr">
        <is>
          <t>px por unidad X</t>
        </is>
      </c>
      <c r="BK22" s="59">
        <f>560/$BK$15</f>
        <v/>
      </c>
      <c r="CB22" s="58" t="inlineStr">
        <is>
          <t>px por unidad X</t>
        </is>
      </c>
      <c r="CC22" s="59">
        <f>560/$CC$15</f>
        <v/>
      </c>
      <c r="CT22" s="58" t="inlineStr">
        <is>
          <t>px por unidad X</t>
        </is>
      </c>
      <c r="CU22" s="59">
        <f>560/$CU$15</f>
        <v/>
      </c>
      <c r="DL22" s="58" t="inlineStr">
        <is>
          <t>fin causas directas</t>
        </is>
      </c>
      <c r="DM22" s="59">
        <f>IF($DM$8&gt;0,$DM$21+24+$DM$10+10,$DM$20)</f>
        <v/>
      </c>
    </row>
    <row r="23">
      <c r="H23" s="58" t="inlineStr">
        <is>
          <t>px por unidad Y</t>
        </is>
      </c>
      <c r="I23" s="59">
        <f>490/$I$20</f>
        <v/>
      </c>
      <c r="Z23" s="58" t="inlineStr">
        <is>
          <t>px por unidad Y</t>
        </is>
      </c>
      <c r="AA23" s="59">
        <f>490/$AA$20</f>
        <v/>
      </c>
      <c r="AR23" s="58" t="inlineStr">
        <is>
          <t>px por unidad Y</t>
        </is>
      </c>
      <c r="AS23" s="59">
        <f>490/$AS$20</f>
        <v/>
      </c>
      <c r="BJ23" s="58" t="inlineStr">
        <is>
          <t>px por unidad Y</t>
        </is>
      </c>
      <c r="BK23" s="59">
        <f>490/$BK$20</f>
        <v/>
      </c>
      <c r="CB23" s="58" t="inlineStr">
        <is>
          <t>px por unidad Y</t>
        </is>
      </c>
      <c r="CC23" s="59">
        <f>490/$CC$20</f>
        <v/>
      </c>
      <c r="CT23" s="58" t="inlineStr">
        <is>
          <t>px por unidad Y</t>
        </is>
      </c>
      <c r="CU23" s="59">
        <f>490/$CU$20</f>
        <v/>
      </c>
      <c r="DL23" s="58" t="inlineStr">
        <is>
          <t>y causas raíz</t>
        </is>
      </c>
      <c r="DM23" s="59">
        <f>$DM$22+36</f>
        <v/>
      </c>
    </row>
    <row r="24">
      <c r="H24" s="58" t="inlineStr">
        <is>
          <t>x del corte (px)</t>
        </is>
      </c>
      <c r="I24" s="59">
        <f>90+$I$7*$I$22</f>
        <v/>
      </c>
      <c r="Z24" s="58" t="inlineStr">
        <is>
          <t>x del corte (px)</t>
        </is>
      </c>
      <c r="AA24" s="59">
        <f>90+$AA$7*$AA$22</f>
        <v/>
      </c>
      <c r="AR24" s="58" t="inlineStr">
        <is>
          <t>x del corte (px)</t>
        </is>
      </c>
      <c r="AS24" s="59">
        <f>90+$AS$7*$AS$22</f>
        <v/>
      </c>
      <c r="BJ24" s="58" t="inlineStr">
        <is>
          <t>x del corte (px)</t>
        </is>
      </c>
      <c r="BK24" s="59">
        <f>90+$BK$7*$BK$22</f>
        <v/>
      </c>
      <c r="CB24" s="58" t="inlineStr">
        <is>
          <t>x del corte (px)</t>
        </is>
      </c>
      <c r="CC24" s="59">
        <f>90+$CC$7*$CC$22</f>
        <v/>
      </c>
      <c r="CT24" s="58" t="inlineStr">
        <is>
          <t>x del corte (px)</t>
        </is>
      </c>
      <c r="CU24" s="59">
        <f>90+$CU$7*$CU$22</f>
        <v/>
      </c>
      <c r="DL24" s="58" t="inlineStr">
        <is>
          <t>fin causas raíz</t>
        </is>
      </c>
      <c r="DM24" s="59">
        <f>IF($DM$11&gt;0,$DM$23+24+$DM$13+10,$DM$22)</f>
        <v/>
      </c>
    </row>
    <row r="25">
      <c r="H25" s="58" t="inlineStr">
        <is>
          <t>y del corte (px)</t>
        </is>
      </c>
      <c r="I25" s="59">
        <f>574-$I$8*$I$23</f>
        <v/>
      </c>
      <c r="Z25" s="58" t="inlineStr">
        <is>
          <t>y del corte (px)</t>
        </is>
      </c>
      <c r="AA25" s="59">
        <f>574-$AA$8*$AA$23</f>
        <v/>
      </c>
      <c r="AR25" s="58" t="inlineStr">
        <is>
          <t>y del corte (px)</t>
        </is>
      </c>
      <c r="AS25" s="59">
        <f>574-$AS$8*$AS$23</f>
        <v/>
      </c>
      <c r="BJ25" s="58" t="inlineStr">
        <is>
          <t>y del corte (px)</t>
        </is>
      </c>
      <c r="BK25" s="59">
        <f>574-$BK$8*$BK$23</f>
        <v/>
      </c>
      <c r="CB25" s="58" t="inlineStr">
        <is>
          <t>y del corte (px)</t>
        </is>
      </c>
      <c r="CC25" s="59">
        <f>574-$CC$8*$CC$23</f>
        <v/>
      </c>
      <c r="CT25" s="58" t="inlineStr">
        <is>
          <t>y del corte (px)</t>
        </is>
      </c>
      <c r="CU25" s="59">
        <f>574-$CU$8*$CU$23</f>
        <v/>
      </c>
      <c r="DL25" s="58" t="inlineStr">
        <is>
          <t>y fuera de alcance</t>
        </is>
      </c>
      <c r="DM25" s="59">
        <f>$DM$24+36</f>
        <v/>
      </c>
    </row>
    <row r="26">
      <c r="H26" s="58" t="inlineStr">
        <is>
          <t>Subtítulo</t>
        </is>
      </c>
      <c r="I26" s="59">
        <f>nVariables&amp;" variables"&amp;IF($I$9=1," · mediana de dependencia "&amp;ROUND($I$7*100,2)&amp;" % · mediana de influencia "&amp;ROUND($I$8*100,2)&amp;" %"," · sin cortes interpretables")</f>
        <v/>
      </c>
      <c r="Z26" s="58" t="inlineStr">
        <is>
          <t>Subtítulo</t>
        </is>
      </c>
      <c r="AA26" s="59">
        <f>nVariables&amp;" variables"&amp;IF($AA$9=1," · mediana de dependencia "&amp;ROUND($AA$7*100,2)&amp;" % · mediana de influencia "&amp;ROUND($AA$8*100,2)&amp;" %"," · sin cortes interpretables")</f>
        <v/>
      </c>
      <c r="AR26" s="58" t="inlineStr">
        <is>
          <t>Subtítulo</t>
        </is>
      </c>
      <c r="AS26" s="59">
        <f>nVariables&amp;" variables"&amp;IF($AS$9=1," · mediana de dependencia "&amp;ROUND($AS$7*100,2)&amp;" % · mediana de influencia "&amp;ROUND($AS$8*100,2)&amp;" %"," · sin cortes interpretables")</f>
        <v/>
      </c>
      <c r="BJ26" s="58" t="inlineStr">
        <is>
          <t>Subtítulo</t>
        </is>
      </c>
      <c r="BK26" s="59">
        <f>nVariables&amp;" variables"&amp;IF($BK$9=1," · mediana de dependencia "&amp;ROUND($BK$7*100,2)&amp;" % · mediana de influencia "&amp;ROUND($BK$8*100,2)&amp;" %"," · sin cortes interpretables")</f>
        <v/>
      </c>
      <c r="CB26" s="58" t="inlineStr">
        <is>
          <t>Subtítulo</t>
        </is>
      </c>
      <c r="CC26" s="59">
        <f>nVariables&amp;" variables"&amp;IF($CC$9=1," · mediana de dependencia "&amp;ROUND($CC$7*100,2)&amp;" % · mediana de influencia "&amp;ROUND($CC$8*100,2)&amp;" %"," · sin cortes interpretables")</f>
        <v/>
      </c>
      <c r="CT26" s="58" t="inlineStr">
        <is>
          <t>Subtítulo</t>
        </is>
      </c>
      <c r="CU26" s="59">
        <f>nVariables&amp;" variables"&amp;IF($CU$9=1," · mediana de dependencia "&amp;ROUND($CU$7*100,2)&amp;" % · mediana de influencia "&amp;ROUND($CU$8*100,2)&amp;" %"," · sin cortes interpretables")</f>
        <v/>
      </c>
      <c r="DL26" s="58" t="inlineStr">
        <is>
          <t>fin fuera de alcance</t>
        </is>
      </c>
      <c r="DM26" s="59">
        <f>IF($DM$14&gt;0,$DM$25+24+$DM$16+10,$DM$24)</f>
        <v/>
      </c>
    </row>
    <row r="27">
      <c r="H27" s="58" t="inlineStr">
        <is>
          <t>SVG: cabecera</t>
        </is>
      </c>
      <c r="I27" s="59">
        <f>"&lt;svg xmlns='http://www.w3.org/2000/svg' viewBox='0 0 1100 730' width='1100' height='730' font-family='Arial,Helvetica,sans-serif'&gt;&lt;text x='90' y='34' font-size='18' font-weight='bold' fill='#2A3439'&gt;"&amp;SUBSTITUTE(SUBSTITUTE(SUBSTITUTE(SUBSTITUTE(SUBSTITUTE(SUBSTITUTE(SUBSTITUTE(TRIM(CLEAN($I$3)),"&amp;","&amp;amp;"),"&lt;","&amp;lt;"),"&gt;","&amp;gt;"),CHAR(34),"&amp;quot;"),CHAR(10)," "),CHAR(9)," "),CHAR(13)," ")&amp;"&lt;/text&gt;&lt;text x='90' y='56' font-size='12' fill='#2A3439'&gt;"&amp;SUBSTITUTE(SUBSTITUTE(SUBSTITUTE(SUBSTITUTE(SUBSTITUTE(SUBSTITUTE(SUBSTITUTE(TRIM(CLEAN($I$26)),"&amp;","&amp;amp;"),"&lt;","&amp;lt;"),"&gt;","&amp;gt;"),CHAR(34),"&amp;quot;"),CHAR(10),"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Z27" s="58" t="inlineStr">
        <is>
          <t>SVG: cabecera</t>
        </is>
      </c>
      <c r="AA27" s="59">
        <f>"&lt;svg xmlns='http://www.w3.org/2000/svg' viewBox='0 0 1100 730' width='1100' height='730' font-family='Arial,Helvetica,sans-serif'&gt;&lt;text x='90' y='34' font-size='18' font-weight='bold' fill='#2A3439'&gt;"&amp;SUBSTITUTE(SUBSTITUTE(SUBSTITUTE(SUBSTITUTE(SUBSTITUTE(SUBSTITUTE(SUBSTITUTE(TRIM(CLEAN($AA$3)),"&amp;","&amp;amp;"),"&lt;","&amp;lt;"),"&gt;","&amp;gt;"),CHAR(34),"&amp;quot;"),CHAR(10)," "),CHAR(9)," "),CHAR(13)," ")&amp;"&lt;/text&gt;&lt;text x='90' y='56' font-size='12' fill='#2A3439'&gt;"&amp;SUBSTITUTE(SUBSTITUTE(SUBSTITUTE(SUBSTITUTE(SUBSTITUTE(SUBSTITUTE(SUBSTITUTE(TRIM(CLEAN($AA$26)),"&amp;","&amp;amp;"),"&lt;","&amp;lt;"),"&gt;","&amp;gt;"),CHAR(34),"&amp;quot;"),CHAR(10),"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AR27" s="58" t="inlineStr">
        <is>
          <t>SVG: cabecera</t>
        </is>
      </c>
      <c r="AS27" s="59">
        <f>"&lt;svg xmlns='http://www.w3.org/2000/svg' viewBox='0 0 1100 730' width='1100' height='730' font-family='Arial,Helvetica,sans-serif'&gt;&lt;text x='90' y='34' font-size='18' font-weight='bold' fill='#2A3439'&gt;"&amp;SUBSTITUTE(SUBSTITUTE(SUBSTITUTE(SUBSTITUTE(SUBSTITUTE(SUBSTITUTE(SUBSTITUTE(TRIM(CLEAN($AS$3)),"&amp;","&amp;amp;"),"&lt;","&amp;lt;"),"&gt;","&amp;gt;"),CHAR(34),"&amp;quot;"),CHAR(10)," "),CHAR(9)," "),CHAR(13)," ")&amp;"&lt;/text&gt;&lt;text x='90' y='56' font-size='12' fill='#2A3439'&gt;"&amp;SUBSTITUTE(SUBSTITUTE(SUBSTITUTE(SUBSTITUTE(SUBSTITUTE(SUBSTITUTE(SUBSTITUTE(TRIM(CLEAN($AS$26)),"&amp;","&amp;amp;"),"&lt;","&amp;lt;"),"&gt;","&amp;gt;"),CHAR(34),"&amp;quot;"),CHAR(10),"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BJ27" s="58" t="inlineStr">
        <is>
          <t>SVG: cabecera</t>
        </is>
      </c>
      <c r="BK27" s="59">
        <f>"&lt;svg xmlns='http://www.w3.org/2000/svg' viewBox='0 0 1100 730' width='1100' height='730' font-family='Arial,Helvetica,sans-serif'&gt;&lt;text x='90' y='34' font-size='18' font-weight='bold' fill='#2A3439'&gt;"&amp;SUBSTITUTE(SUBSTITUTE(SUBSTITUTE(SUBSTITUTE(SUBSTITUTE(SUBSTITUTE(SUBSTITUTE(TRIM(CLEAN($BK$3)),"&amp;","&amp;amp;"),"&lt;","&amp;lt;"),"&gt;","&amp;gt;"),CHAR(34),"&amp;quot;"),CHAR(10)," "),CHAR(9)," "),CHAR(13)," ")&amp;"&lt;/text&gt;&lt;text x='90' y='56' font-size='12' fill='#2A3439'&gt;"&amp;SUBSTITUTE(SUBSTITUTE(SUBSTITUTE(SUBSTITUTE(SUBSTITUTE(SUBSTITUTE(SUBSTITUTE(TRIM(CLEAN($BK$26)),"&amp;","&amp;amp;"),"&lt;","&amp;lt;"),"&gt;","&amp;gt;"),CHAR(34),"&amp;quot;"),CHAR(10),"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CB27" s="58" t="inlineStr">
        <is>
          <t>SVG: cabecera</t>
        </is>
      </c>
      <c r="CC27" s="59">
        <f>"&lt;svg xmlns='http://www.w3.org/2000/svg' viewBox='0 0 1100 730' width='1100' height='730' font-family='Arial,Helvetica,sans-serif'&gt;&lt;text x='90' y='34' font-size='18' font-weight='bold' fill='#2A3439'&gt;"&amp;SUBSTITUTE(SUBSTITUTE(SUBSTITUTE(SUBSTITUTE(SUBSTITUTE(SUBSTITUTE(SUBSTITUTE(TRIM(CLEAN($CC$3)),"&amp;","&amp;amp;"),"&lt;","&amp;lt;"),"&gt;","&amp;gt;"),CHAR(34),"&amp;quot;"),CHAR(10)," "),CHAR(9)," "),CHAR(13)," ")&amp;"&lt;/text&gt;&lt;text x='90' y='56' font-size='12' fill='#2A3439'&gt;"&amp;SUBSTITUTE(SUBSTITUTE(SUBSTITUTE(SUBSTITUTE(SUBSTITUTE(SUBSTITUTE(SUBSTITUTE(TRIM(CLEAN($CC$26)),"&amp;","&amp;amp;"),"&lt;","&amp;lt;"),"&gt;","&amp;gt;"),CHAR(34),"&amp;quot;"),CHAR(10),"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CT27" s="58" t="inlineStr">
        <is>
          <t>SVG: cabecera</t>
        </is>
      </c>
      <c r="CU27" s="59">
        <f>"&lt;svg xmlns='http://www.w3.org/2000/svg' viewBox='0 0 1100 730' width='1100' height='730' font-family='Arial,Helvetica,sans-serif'&gt;&lt;text x='90' y='34' font-size='18' font-weight='bold' fill='#2A3439'&gt;"&amp;SUBSTITUTE(SUBSTITUTE(SUBSTITUTE(SUBSTITUTE(SUBSTITUTE(SUBSTITUTE(SUBSTITUTE(TRIM(CLEAN($CU$3)),"&amp;","&amp;amp;"),"&lt;","&amp;lt;"),"&gt;","&amp;gt;"),CHAR(34),"&amp;quot;"),CHAR(10)," "),CHAR(9)," "),CHAR(13)," ")&amp;"&lt;/text&gt;&lt;text x='90' y='56' font-size='12' fill='#2A3439'&gt;"&amp;SUBSTITUTE(SUBSTITUTE(SUBSTITUTE(SUBSTITUTE(SUBSTITUTE(SUBSTITUTE(SUBSTITUTE(TRIM(CLEAN($CU$26)),"&amp;","&amp;amp;"),"&lt;","&amp;lt;"),"&gt;","&amp;gt;"),CHAR(34),"&amp;quot;"),CHAR(10),"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DL27" s="58" t="inlineStr">
        <is>
          <t>alto del SVG</t>
        </is>
      </c>
      <c r="DM27" s="59">
        <f>$DM$26+34</f>
        <v/>
      </c>
    </row>
    <row r="28">
      <c r="H28" s="58" t="inlineStr">
        <is>
          <t>SVG: cuadrantes</t>
        </is>
      </c>
      <c r="I28" s="59">
        <f>IF($I$9=1,"&lt;g id='cuadrantes'&gt;&lt;defs&gt;&lt;pattern id='hachurado' width='7' height='7' patternUnits='userSpaceOnUse' patternTransform='rotate(45)'&gt;&lt;line x1='0' y1='0' x2='0' y2='7' stroke='#9EB9D4' stroke-width='1.2'/&gt;&lt;/pattern&gt;&lt;/defs&gt;&lt;rect x='90' y='84' width='"&amp;SUBSTITUTE(ROUND($I$24-90,1),",",".")&amp;"' height='"&amp;SUBSTITUTE(ROUND($I$25-84,1),",",".")&amp;"' fill='#B9D9EB'/&gt;&lt;rect x='"&amp;SUBSTITUTE(ROUND($I$24,1),",",".")&amp;"' y='84' width='"&amp;SUBSTITUTE(ROUND(650-$I$24,1),",",".")&amp;"' height='"&amp;SUBSTITUTE(ROUND($I$25-84,1),",",".")&amp;"' fill='#9EB9D4'/&gt;&lt;rect x='"&amp;SUBSTITUTE(ROUND($I$24,1),",",".")&amp;"' y='"&amp;SUBSTITUTE(ROUND($I$25,1),",",".")&amp;"' width='"&amp;SUBSTITUTE(ROUND(650-$I$24,1),",",".")&amp;"' height='"&amp;SUBSTITUTE(ROUND(574-$I$25,1),",",".")&amp;"' fill='#F5F5F5'/&gt;&lt;rect x='90' y='"&amp;SUBSTITUTE(ROUND($I$25,1),",",".")&amp;"' width='"&amp;SUBSTITUTE(ROUND($I$24-90,1),",",".")&amp;"' height='"&amp;SUBSTITUTE(ROUND(574-$I$25,1),",",".")&amp;_xlfn._LONGTEXT("'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Z28" s="58" t="inlineStr">
        <is>
          <t>SVG: cuadrantes</t>
        </is>
      </c>
      <c r="AA28" s="59">
        <f>IF($AA$9=1,"&lt;g id='cuadrantes'&gt;&lt;defs&gt;&lt;pattern id='hachurado' width='7' height='7' patternUnits='userSpaceOnUse' patternTransform='rotate(45)'&gt;&lt;line x1='0' y1='0' x2='0' y2='7' stroke='#9EB9D4' stroke-width='1.2'/&gt;&lt;/pattern&gt;&lt;/defs&gt;&lt;rect x='90' y='84' width='"&amp;SUBSTITUTE(ROUND($AA$24-90,1),",",".")&amp;"' height='"&amp;SUBSTITUTE(ROUND($AA$25-84,1),",",".")&amp;"' fill='#B9D9EB'/&gt;&lt;rect x='"&amp;SUBSTITUTE(ROUND($AA$24,1),",",".")&amp;"' y='84' width='"&amp;SUBSTITUTE(ROUND(650-$AA$24,1),",",".")&amp;"' height='"&amp;SUBSTITUTE(ROUND($AA$25-84,1),",",".")&amp;"' fill='#9EB9D4'/&gt;&lt;rect x='"&amp;SUBSTITUTE(ROUND($AA$24,1),",",".")&amp;"' y='"&amp;SUBSTITUTE(ROUND($AA$25,1),",",".")&amp;"' width='"&amp;SUBSTITUTE(ROUND(650-$AA$24,1),",",".")&amp;"' height='"&amp;SUBSTITUTE(ROUND(574-$AA$25,1),",",".")&amp;"' fill='#F5F5F5'/&gt;&lt;rect x='90' y='"&amp;SUBSTITUTE(ROUND($AA$25,1),",",".")&amp;"' width='"&amp;SUBSTITUTE(ROUND($AA$24-90,1),",",".")&amp;"' height='"&amp;SUBSTITUTE(ROUND(574-$AA$25,1),",",".")&amp;_xlfn._LONGTEXT("'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AR28" s="58" t="inlineStr">
        <is>
          <t>SVG: cuadrantes</t>
        </is>
      </c>
      <c r="AS28" s="59">
        <f>IF($AS$9=1,"&lt;g id='cuadrantes'&gt;&lt;defs&gt;&lt;pattern id='hachurado' width='7' height='7' patternUnits='userSpaceOnUse' patternTransform='rotate(45)'&gt;&lt;line x1='0' y1='0' x2='0' y2='7' stroke='#9EB9D4' stroke-width='1.2'/&gt;&lt;/pattern&gt;&lt;/defs&gt;&lt;rect x='90' y='84' width='"&amp;SUBSTITUTE(ROUND($AS$24-90,1),",",".")&amp;"' height='"&amp;SUBSTITUTE(ROUND($AS$25-84,1),",",".")&amp;"' fill='#B9D9EB'/&gt;&lt;rect x='"&amp;SUBSTITUTE(ROUND($AS$24,1),",",".")&amp;"' y='84' width='"&amp;SUBSTITUTE(ROUND(650-$AS$24,1),",",".")&amp;"' height='"&amp;SUBSTITUTE(ROUND($AS$25-84,1),",",".")&amp;"' fill='#9EB9D4'/&gt;&lt;rect x='"&amp;SUBSTITUTE(ROUND($AS$24,1),",",".")&amp;"' y='"&amp;SUBSTITUTE(ROUND($AS$25,1),",",".")&amp;"' width='"&amp;SUBSTITUTE(ROUND(650-$AS$24,1),",",".")&amp;"' height='"&amp;SUBSTITUTE(ROUND(574-$AS$25,1),",",".")&amp;"' fill='#F5F5F5'/&gt;&lt;rect x='90' y='"&amp;SUBSTITUTE(ROUND($AS$25,1),",",".")&amp;"' width='"&amp;SUBSTITUTE(ROUND($AS$24-90,1),",",".")&amp;"' height='"&amp;SUBSTITUTE(ROUND(574-$AS$25,1),",",".")&amp;_xlfn._LONGTEXT("'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BJ28" s="58" t="inlineStr">
        <is>
          <t>SVG: cuadrantes</t>
        </is>
      </c>
      <c r="BK28" s="59">
        <f>IF($BK$9=1,"&lt;g id='cuadrantes'&gt;&lt;defs&gt;&lt;pattern id='hachurado' width='7' height='7' patternUnits='userSpaceOnUse' patternTransform='rotate(45)'&gt;&lt;line x1='0' y1='0' x2='0' y2='7' stroke='#9EB9D4' stroke-width='1.2'/&gt;&lt;/pattern&gt;&lt;/defs&gt;&lt;rect x='90' y='84' width='"&amp;SUBSTITUTE(ROUND($BK$24-90,1),",",".")&amp;"' height='"&amp;SUBSTITUTE(ROUND($BK$25-84,1),",",".")&amp;"' fill='#B9D9EB'/&gt;&lt;rect x='"&amp;SUBSTITUTE(ROUND($BK$24,1),",",".")&amp;"' y='84' width='"&amp;SUBSTITUTE(ROUND(650-$BK$24,1),",",".")&amp;"' height='"&amp;SUBSTITUTE(ROUND($BK$25-84,1),",",".")&amp;"' fill='#9EB9D4'/&gt;&lt;rect x='"&amp;SUBSTITUTE(ROUND($BK$24,1),",",".")&amp;"' y='"&amp;SUBSTITUTE(ROUND($BK$25,1),",",".")&amp;"' width='"&amp;SUBSTITUTE(ROUND(650-$BK$24,1),",",".")&amp;"' height='"&amp;SUBSTITUTE(ROUND(574-$BK$25,1),",",".")&amp;"' fill='#F5F5F5'/&gt;&lt;rect x='90' y='"&amp;SUBSTITUTE(ROUND($BK$25,1),",",".")&amp;"' width='"&amp;SUBSTITUTE(ROUND($BK$24-90,1),",",".")&amp;"' height='"&amp;SUBSTITUTE(ROUND(574-$BK$25,1),",",".")&amp;_xlfn._LONGTEXT("'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CB28" s="58" t="inlineStr">
        <is>
          <t>SVG: cuadrantes</t>
        </is>
      </c>
      <c r="CC28" s="59">
        <f>IF($CC$9=1,"&lt;g id='cuadrantes'&gt;&lt;defs&gt;&lt;pattern id='hachurado' width='7' height='7' patternUnits='userSpaceOnUse' patternTransform='rotate(45)'&gt;&lt;line x1='0' y1='0' x2='0' y2='7' stroke='#9EB9D4' stroke-width='1.2'/&gt;&lt;/pattern&gt;&lt;/defs&gt;&lt;rect x='90' y='84' width='"&amp;SUBSTITUTE(ROUND($CC$24-90,1),",",".")&amp;"' height='"&amp;SUBSTITUTE(ROUND($CC$25-84,1),",",".")&amp;"' fill='#B9D9EB'/&gt;&lt;rect x='"&amp;SUBSTITUTE(ROUND($CC$24,1),",",".")&amp;"' y='84' width='"&amp;SUBSTITUTE(ROUND(650-$CC$24,1),",",".")&amp;"' height='"&amp;SUBSTITUTE(ROUND($CC$25-84,1),",",".")&amp;"' fill='#9EB9D4'/&gt;&lt;rect x='"&amp;SUBSTITUTE(ROUND($CC$24,1),",",".")&amp;"' y='"&amp;SUBSTITUTE(ROUND($CC$25,1),",",".")&amp;"' width='"&amp;SUBSTITUTE(ROUND(650-$CC$24,1),",",".")&amp;"' height='"&amp;SUBSTITUTE(ROUND(574-$CC$25,1),",",".")&amp;"' fill='#F5F5F5'/&gt;&lt;rect x='90' y='"&amp;SUBSTITUTE(ROUND($CC$25,1),",",".")&amp;"' width='"&amp;SUBSTITUTE(ROUND($CC$24-90,1),",",".")&amp;"' height='"&amp;SUBSTITUTE(ROUND(574-$CC$25,1),",",".")&amp;_xlfn._LONGTEXT("'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CT28" s="58" t="inlineStr">
        <is>
          <t>SVG: cuadrantes</t>
        </is>
      </c>
      <c r="CU28" s="59">
        <f>IF($CU$9=1,"&lt;g id='cuadrantes'&gt;&lt;defs&gt;&lt;pattern id='hachurado' width='7' height='7' patternUnits='userSpaceOnUse' patternTransform='rotate(45)'&gt;&lt;line x1='0' y1='0' x2='0' y2='7' stroke='#9EB9D4' stroke-width='1.2'/&gt;&lt;/pattern&gt;&lt;/defs&gt;&lt;rect x='90' y='84' width='"&amp;SUBSTITUTE(ROUND($CU$24-90,1),",",".")&amp;"' height='"&amp;SUBSTITUTE(ROUND($CU$25-84,1),",",".")&amp;"' fill='#B9D9EB'/&gt;&lt;rect x='"&amp;SUBSTITUTE(ROUND($CU$24,1),",",".")&amp;"' y='84' width='"&amp;SUBSTITUTE(ROUND(650-$CU$24,1),",",".")&amp;"' height='"&amp;SUBSTITUTE(ROUND($CU$25-84,1),",",".")&amp;"' fill='#9EB9D4'/&gt;&lt;rect x='"&amp;SUBSTITUTE(ROUND($CU$24,1),",",".")&amp;"' y='"&amp;SUBSTITUTE(ROUND($CU$25,1),",",".")&amp;"' width='"&amp;SUBSTITUTE(ROUND(650-$CU$24,1),",",".")&amp;"' height='"&amp;SUBSTITUTE(ROUND(574-$CU$25,1),",",".")&amp;"' fill='#F5F5F5'/&gt;&lt;rect x='90' y='"&amp;SUBSTITUTE(ROUND($CU$25,1),",",".")&amp;"' width='"&amp;SUBSTITUTE(ROUND($CU$24-90,1),",",".")&amp;"' height='"&amp;SUBSTITUTE(ROUND(574-$CU$25,1),",",".")&amp;_xlfn._LONGTEXT("'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DL28" s="58" t="inlineStr">
        <is>
          <t>texto efecto final</t>
        </is>
      </c>
      <c r="DM28" s="59">
        <f>IF(TRIM('Árbol de Problemas'!$C$7)&lt;&gt;"",TRIM('Árbol de Problemas'!$C$7),"(escriba el efecto final en la hoja Árbol de Problemas, celda C7)")</f>
        <v/>
      </c>
    </row>
    <row r="29">
      <c r="H29" s="58" t="inlineStr">
        <is>
          <t>SVG: escalas</t>
        </is>
      </c>
      <c r="I29" s="59">
        <f>"&lt;g id='escalas' font-size='10' fill='#2A3439'&gt;"&amp;U40&amp;U41&amp;U42&amp;U43&amp;U44&amp;U45&amp;U46&amp;U47&amp;U48&amp;U49&amp;U50&amp;U51&amp;W40&amp;W41&amp;W42&amp;W43&amp;W44&amp;W45&amp;W46&amp;W47&amp;W48&amp;W49&amp;W50&amp;W51&amp;"&lt;/g&gt;"</f>
        <v/>
      </c>
      <c r="Z29" s="58" t="inlineStr">
        <is>
          <t>SVG: escalas</t>
        </is>
      </c>
      <c r="AA29" s="59">
        <f>"&lt;g id='escalas' font-size='10' fill='#2A3439'&gt;"&amp;AM40&amp;AM41&amp;AM42&amp;AM43&amp;AM44&amp;AM45&amp;AM46&amp;AM47&amp;AM48&amp;AM49&amp;AM50&amp;AM51&amp;AO40&amp;AO41&amp;AO42&amp;AO43&amp;AO44&amp;AO45&amp;AO46&amp;AO47&amp;AO48&amp;AO49&amp;AO50&amp;AO51&amp;"&lt;/g&gt;"</f>
        <v/>
      </c>
      <c r="AR29" s="58" t="inlineStr">
        <is>
          <t>SVG: escalas</t>
        </is>
      </c>
      <c r="AS29" s="59">
        <f>"&lt;g id='escalas' font-size='10' fill='#2A3439'&gt;"&amp;BE40&amp;BE41&amp;BE42&amp;BE43&amp;BE44&amp;BE45&amp;BE46&amp;BE47&amp;BE48&amp;BE49&amp;BE50&amp;BE51&amp;BG40&amp;BG41&amp;BG42&amp;BG43&amp;BG44&amp;BG45&amp;BG46&amp;BG47&amp;BG48&amp;BG49&amp;BG50&amp;BG51&amp;"&lt;/g&gt;"</f>
        <v/>
      </c>
      <c r="BJ29" s="58" t="inlineStr">
        <is>
          <t>SVG: escalas</t>
        </is>
      </c>
      <c r="BK29" s="59">
        <f>"&lt;g id='escalas' font-size='10' fill='#2A3439'&gt;"&amp;BW40&amp;BW41&amp;BW42&amp;BW43&amp;BW44&amp;BW45&amp;BW46&amp;BW47&amp;BW48&amp;BW49&amp;BW50&amp;BW51&amp;BY40&amp;BY41&amp;BY42&amp;BY43&amp;BY44&amp;BY45&amp;BY46&amp;BY47&amp;BY48&amp;BY49&amp;BY50&amp;BY51&amp;"&lt;/g&gt;"</f>
        <v/>
      </c>
      <c r="CB29" s="58" t="inlineStr">
        <is>
          <t>SVG: escalas</t>
        </is>
      </c>
      <c r="CC29" s="59">
        <f>"&lt;g id='escalas' font-size='10' fill='#2A3439'&gt;"&amp;CO40&amp;CO41&amp;CO42&amp;CO43&amp;CO44&amp;CO45&amp;CO46&amp;CO47&amp;CO48&amp;CO49&amp;CO50&amp;CO51&amp;CQ40&amp;CQ41&amp;CQ42&amp;CQ43&amp;CQ44&amp;CQ45&amp;CQ46&amp;CQ47&amp;CQ48&amp;CQ49&amp;CQ50&amp;CQ51&amp;"&lt;/g&gt;"</f>
        <v/>
      </c>
      <c r="CT29" s="58" t="inlineStr">
        <is>
          <t>SVG: escalas</t>
        </is>
      </c>
      <c r="CU29" s="59">
        <f>"&lt;g id='escalas' font-size='10' fill='#2A3439'&gt;"&amp;DG40&amp;DG41&amp;DG42&amp;DG43&amp;DG44&amp;DG45&amp;DG46&amp;DG47&amp;DG48&amp;DG49&amp;DG50&amp;DG51&amp;DI40&amp;DI41&amp;DI42&amp;DI43&amp;DI44&amp;DI45&amp;DI46&amp;DI47&amp;DI48&amp;DI49&amp;DI50&amp;DI51&amp;"&lt;/g&gt;"</f>
        <v/>
      </c>
      <c r="DL29" s="58" t="inlineStr">
        <is>
          <t>texto problema central</t>
        </is>
      </c>
      <c r="DM29" s="59">
        <f>IF(TRIM('Árbol de Problemas'!$C$8)&lt;&gt;"",TRIM('Árbol de Problemas'!$C$8),"(escriba el problema central en la hoja Árbol de Problemas, celda C8)")</f>
        <v/>
      </c>
    </row>
    <row r="30">
      <c r="H30" s="58" t="inlineStr">
        <is>
          <t>SVG: ejes</t>
        </is>
      </c>
      <c r="I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Z30" s="58" t="inlineStr">
        <is>
          <t>SVG: ejes</t>
        </is>
      </c>
      <c r="AA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AR30" s="58" t="inlineStr">
        <is>
          <t>SVG: ejes</t>
        </is>
      </c>
      <c r="AS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BJ30" s="58" t="inlineStr">
        <is>
          <t>SVG: ejes</t>
        </is>
      </c>
      <c r="BK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CB30" s="58" t="inlineStr">
        <is>
          <t>SVG: ejes</t>
        </is>
      </c>
      <c r="CC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CT30" s="58" t="inlineStr">
        <is>
          <t>SVG: ejes</t>
        </is>
      </c>
      <c r="CU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DL30" s="58" t="inlineStr">
        <is>
          <t>fin texto</t>
        </is>
      </c>
      <c r="DM30" s="59">
        <f>IF(LEN($DM$28)&gt;160,LEFT($DM$28,159)&amp;"…",$DM$28)</f>
        <v/>
      </c>
    </row>
    <row r="31">
      <c r="H31" s="58" t="inlineStr">
        <is>
          <t>SVG: cortes</t>
        </is>
      </c>
      <c r="I31" s="59">
        <f>IF($I$9=1,"&lt;g id='cortes'&gt;&lt;g stroke='#2A3439' stroke-width='1.3' stroke-dasharray='6 4'&gt;&lt;line x1='"&amp;SUBSTITUTE(ROUND($I$24,1),",",".")&amp;"' y1='84' x2='"&amp;SUBSTITUTE(ROUND($I$24,1),",",".")&amp;"' y2='574'/&gt;&lt;line x1='90' y1='"&amp;SUBSTITUTE(ROUND($I$25,1),",",".")&amp;"' x2='650' y2='"&amp;SUBSTITUTE(ROUND($I$25,1),",",".")&amp;"'/&gt;&lt;/g&gt;&lt;g font-size='10' fill='#2A3439'&gt;&lt;text x='"&amp;SUBSTITUTE(ROUND($I$24,1),",",".")&amp;"' y='80' text-anchor='middle'&gt;mediana D&lt;/text&gt;&lt;text x='654' y='"&amp;SUBSTITUTE(ROUND($I$25+3,1),",",".")&amp;"'&gt;mediana I&lt;/text&gt;&lt;/g&gt;&lt;/g&gt;","")</f>
        <v/>
      </c>
      <c r="Z31" s="58" t="inlineStr">
        <is>
          <t>SVG: cortes</t>
        </is>
      </c>
      <c r="AA31" s="59">
        <f>IF($AA$9=1,"&lt;g id='cortes'&gt;&lt;g stroke='#2A3439' stroke-width='1.3' stroke-dasharray='6 4'&gt;&lt;line x1='"&amp;SUBSTITUTE(ROUND($AA$24,1),",",".")&amp;"' y1='84' x2='"&amp;SUBSTITUTE(ROUND($AA$24,1),",",".")&amp;"' y2='574'/&gt;&lt;line x1='90' y1='"&amp;SUBSTITUTE(ROUND($AA$25,1),",",".")&amp;"' x2='650' y2='"&amp;SUBSTITUTE(ROUND($AA$25,1),",",".")&amp;"'/&gt;&lt;/g&gt;&lt;g font-size='10' fill='#2A3439'&gt;&lt;text x='"&amp;SUBSTITUTE(ROUND($AA$24,1),",",".")&amp;"' y='80' text-anchor='middle'&gt;mediana D&lt;/text&gt;&lt;text x='654' y='"&amp;SUBSTITUTE(ROUND($AA$25+3,1),",",".")&amp;"'&gt;mediana I&lt;/text&gt;&lt;/g&gt;&lt;/g&gt;","")</f>
        <v/>
      </c>
      <c r="AR31" s="58" t="inlineStr">
        <is>
          <t>SVG: cortes</t>
        </is>
      </c>
      <c r="AS31" s="59">
        <f>IF($AS$9=1,"&lt;g id='cortes'&gt;&lt;g stroke='#2A3439' stroke-width='1.3' stroke-dasharray='6 4'&gt;&lt;line x1='"&amp;SUBSTITUTE(ROUND($AS$24,1),",",".")&amp;"' y1='84' x2='"&amp;SUBSTITUTE(ROUND($AS$24,1),",",".")&amp;"' y2='574'/&gt;&lt;line x1='90' y1='"&amp;SUBSTITUTE(ROUND($AS$25,1),",",".")&amp;"' x2='650' y2='"&amp;SUBSTITUTE(ROUND($AS$25,1),",",".")&amp;"'/&gt;&lt;/g&gt;&lt;g font-size='10' fill='#2A3439'&gt;&lt;text x='"&amp;SUBSTITUTE(ROUND($AS$24,1),",",".")&amp;"' y='80' text-anchor='middle'&gt;mediana D&lt;/text&gt;&lt;text x='654' y='"&amp;SUBSTITUTE(ROUND($AS$25+3,1),",",".")&amp;"'&gt;mediana I&lt;/text&gt;&lt;/g&gt;&lt;/g&gt;","")</f>
        <v/>
      </c>
      <c r="BJ31" s="58" t="inlineStr">
        <is>
          <t>SVG: cortes</t>
        </is>
      </c>
      <c r="BK31" s="59">
        <f>IF($BK$9=1,"&lt;g id='cortes'&gt;&lt;g stroke='#2A3439' stroke-width='1.3' stroke-dasharray='6 4'&gt;&lt;line x1='"&amp;SUBSTITUTE(ROUND($BK$24,1),",",".")&amp;"' y1='84' x2='"&amp;SUBSTITUTE(ROUND($BK$24,1),",",".")&amp;"' y2='574'/&gt;&lt;line x1='90' y1='"&amp;SUBSTITUTE(ROUND($BK$25,1),",",".")&amp;"' x2='650' y2='"&amp;SUBSTITUTE(ROUND($BK$25,1),",",".")&amp;"'/&gt;&lt;/g&gt;&lt;g font-size='10' fill='#2A3439'&gt;&lt;text x='"&amp;SUBSTITUTE(ROUND($BK$24,1),",",".")&amp;"' y='80' text-anchor='middle'&gt;mediana D&lt;/text&gt;&lt;text x='654' y='"&amp;SUBSTITUTE(ROUND($BK$25+3,1),",",".")&amp;"'&gt;mediana I&lt;/text&gt;&lt;/g&gt;&lt;/g&gt;","")</f>
        <v/>
      </c>
      <c r="CB31" s="58" t="inlineStr">
        <is>
          <t>SVG: cortes</t>
        </is>
      </c>
      <c r="CC31" s="59">
        <f>IF($CC$9=1,"&lt;g id='cortes'&gt;&lt;g stroke='#2A3439' stroke-width='1.3' stroke-dasharray='6 4'&gt;&lt;line x1='"&amp;SUBSTITUTE(ROUND($CC$24,1),",",".")&amp;"' y1='84' x2='"&amp;SUBSTITUTE(ROUND($CC$24,1),",",".")&amp;"' y2='574'/&gt;&lt;line x1='90' y1='"&amp;SUBSTITUTE(ROUND($CC$25,1),",",".")&amp;"' x2='650' y2='"&amp;SUBSTITUTE(ROUND($CC$25,1),",",".")&amp;"'/&gt;&lt;/g&gt;&lt;g font-size='10' fill='#2A3439'&gt;&lt;text x='"&amp;SUBSTITUTE(ROUND($CC$24,1),",",".")&amp;"' y='80' text-anchor='middle'&gt;mediana D&lt;/text&gt;&lt;text x='654' y='"&amp;SUBSTITUTE(ROUND($CC$25+3,1),",",".")&amp;"'&gt;mediana I&lt;/text&gt;&lt;/g&gt;&lt;/g&gt;","")</f>
        <v/>
      </c>
      <c r="CT31" s="58" t="inlineStr">
        <is>
          <t>SVG: cortes</t>
        </is>
      </c>
      <c r="CU31" s="59">
        <f>IF($CU$9=1,"&lt;g id='cortes'&gt;&lt;g stroke='#2A3439' stroke-width='1.3' stroke-dasharray='6 4'&gt;&lt;line x1='"&amp;SUBSTITUTE(ROUND($CU$24,1),",",".")&amp;"' y1='84' x2='"&amp;SUBSTITUTE(ROUND($CU$24,1),",",".")&amp;"' y2='574'/&gt;&lt;line x1='90' y1='"&amp;SUBSTITUTE(ROUND($CU$25,1),",",".")&amp;"' x2='650' y2='"&amp;SUBSTITUTE(ROUND($CU$25,1),",",".")&amp;"'/&gt;&lt;/g&gt;&lt;g font-size='10' fill='#2A3439'&gt;&lt;text x='"&amp;SUBSTITUTE(ROUND($CU$24,1),",",".")&amp;"' y='80' text-anchor='middle'&gt;mediana D&lt;/text&gt;&lt;text x='654' y='"&amp;SUBSTITUTE(ROUND($CU$25+3,1),",",".")&amp;"'&gt;mediana I&lt;/text&gt;&lt;/g&gt;&lt;/g&gt;","")</f>
        <v/>
      </c>
      <c r="DL31" s="58" t="inlineStr">
        <is>
          <t>fin corte</t>
        </is>
      </c>
      <c r="DM31" s="59">
        <f>IF(LEN($DM$30)&lt;=80,LEN($DM$30)+1,IFERROR(FIND("~",SUBSTITUTE(LEFT($DM$30,81)," ","~",LEN(LEFT($DM$30,81))-LEN(SUBSTITUTE(LEFT($DM$30,81)," ","")))),81))</f>
        <v/>
      </c>
    </row>
    <row r="32">
      <c r="H32" s="58" t="inlineStr">
        <is>
          <t>SVG: puntos</t>
        </is>
      </c>
      <c r="I32" s="59">
        <f>"&lt;g id='puntos' font-size='11' font-weight='bold' fill='#2A3439'&gt;"&amp;R40&amp;R41&amp;R42&amp;R43&amp;R44&amp;R45&amp;R46&amp;R47&amp;R48&amp;R49&amp;R50&amp;R51&amp;R52&amp;R53&amp;R54&amp;R55&amp;R56&amp;R57&amp;R58&amp;R59&amp;R60&amp;R61&amp;R62&amp;R63&amp;R64&amp;R65&amp;R66&amp;R67&amp;R68&amp;R69&amp;R70&amp;R71&amp;R72&amp;R73&amp;R74&amp;R75&amp;R76&amp;R77&amp;R78&amp;R79&amp;"&lt;/g&gt;"</f>
        <v/>
      </c>
      <c r="Z32" s="58" t="inlineStr">
        <is>
          <t>SVG: puntos</t>
        </is>
      </c>
      <c r="AA32" s="59">
        <f>"&lt;g id='puntos' font-size='11' font-weight='bold' fill='#2A3439'&gt;"&amp;AJ40&amp;AJ41&amp;AJ42&amp;AJ43&amp;AJ44&amp;AJ45&amp;AJ46&amp;AJ47&amp;AJ48&amp;AJ49&amp;AJ50&amp;AJ51&amp;AJ52&amp;AJ53&amp;AJ54&amp;AJ55&amp;AJ56&amp;AJ57&amp;AJ58&amp;AJ59&amp;AJ60&amp;AJ61&amp;AJ62&amp;AJ63&amp;AJ64&amp;AJ65&amp;AJ66&amp;AJ67&amp;AJ68&amp;AJ69&amp;AJ70&amp;AJ71&amp;AJ72&amp;AJ73&amp;AJ74&amp;AJ75&amp;AJ76&amp;AJ77&amp;AJ78&amp;AJ79&amp;"&lt;/g&gt;"</f>
        <v/>
      </c>
      <c r="AR32" s="58" t="inlineStr">
        <is>
          <t>SVG: puntos</t>
        </is>
      </c>
      <c r="AS32" s="59">
        <f>"&lt;g id='puntos' font-size='11' font-weight='bold' fill='#2A3439'&gt;"&amp;BB40&amp;BB41&amp;BB42&amp;BB43&amp;BB44&amp;BB45&amp;BB46&amp;BB47&amp;BB48&amp;BB49&amp;BB50&amp;BB51&amp;BB52&amp;BB53&amp;BB54&amp;BB55&amp;BB56&amp;BB57&amp;BB58&amp;BB59&amp;BB60&amp;BB61&amp;BB62&amp;BB63&amp;BB64&amp;BB65&amp;BB66&amp;BB67&amp;BB68&amp;BB69&amp;BB70&amp;BB71&amp;BB72&amp;BB73&amp;BB74&amp;BB75&amp;BB76&amp;BB77&amp;BB78&amp;BB79&amp;"&lt;/g&gt;"</f>
        <v/>
      </c>
      <c r="BJ32" s="58" t="inlineStr">
        <is>
          <t>SVG: puntos</t>
        </is>
      </c>
      <c r="BK32" s="59">
        <f>"&lt;g id='puntos' font-size='11' font-weight='bold' fill='#2A3439'&gt;"&amp;BT40&amp;BT41&amp;BT42&amp;BT43&amp;BT44&amp;BT45&amp;BT46&amp;BT47&amp;BT48&amp;BT49&amp;BT50&amp;BT51&amp;BT52&amp;BT53&amp;BT54&amp;BT55&amp;BT56&amp;BT57&amp;BT58&amp;BT59&amp;BT60&amp;BT61&amp;BT62&amp;BT63&amp;BT64&amp;BT65&amp;BT66&amp;BT67&amp;BT68&amp;BT69&amp;BT70&amp;BT71&amp;BT72&amp;BT73&amp;BT74&amp;BT75&amp;BT76&amp;BT77&amp;BT78&amp;BT79&amp;"&lt;/g&gt;"</f>
        <v/>
      </c>
      <c r="CB32" s="58" t="inlineStr">
        <is>
          <t>SVG: puntos</t>
        </is>
      </c>
      <c r="CC32" s="59">
        <f>"&lt;g id='puntos' font-size='11' font-weight='bold' fill='#2A3439'&gt;"&amp;CL40&amp;CL41&amp;CL42&amp;CL43&amp;CL44&amp;CL45&amp;CL46&amp;CL47&amp;CL48&amp;CL49&amp;CL50&amp;CL51&amp;CL52&amp;CL53&amp;CL54&amp;CL55&amp;CL56&amp;CL57&amp;CL58&amp;CL59&amp;CL60&amp;CL61&amp;CL62&amp;CL63&amp;CL64&amp;CL65&amp;CL66&amp;CL67&amp;CL68&amp;CL69&amp;CL70&amp;CL71&amp;CL72&amp;CL73&amp;CL74&amp;CL75&amp;CL76&amp;CL77&amp;CL78&amp;CL79&amp;"&lt;/g&gt;"</f>
        <v/>
      </c>
      <c r="CT32" s="58" t="inlineStr">
        <is>
          <t>SVG: puntos</t>
        </is>
      </c>
      <c r="CU32" s="59">
        <f>"&lt;g id='puntos' font-size='11' font-weight='bold' fill='#2A3439'&gt;"&amp;DD40&amp;DD41&amp;DD42&amp;DD43&amp;DD44&amp;DD45&amp;DD46&amp;DD47&amp;DD48&amp;DD49&amp;DD50&amp;DD51&amp;DD52&amp;DD53&amp;DD54&amp;DD55&amp;DD56&amp;DD57&amp;DD58&amp;DD59&amp;DD60&amp;DD61&amp;DD62&amp;DD63&amp;DD64&amp;DD65&amp;DD66&amp;DD67&amp;DD68&amp;DD69&amp;DD70&amp;DD71&amp;DD72&amp;DD73&amp;DD74&amp;DD75&amp;DD76&amp;DD77&amp;DD78&amp;DD79&amp;"&lt;/g&gt;"</f>
        <v/>
      </c>
      <c r="DL32" s="58" t="inlineStr">
        <is>
          <t>fin línea 1</t>
        </is>
      </c>
      <c r="DM32" s="59">
        <f>TRIM(LEFT($DM$30,$DM$31-1))</f>
        <v/>
      </c>
    </row>
    <row r="33">
      <c r="H33" s="58" t="inlineStr">
        <is>
          <t>SVG: leyenda</t>
        </is>
      </c>
      <c r="I33" s="59">
        <f>"&lt;g id='leyenda' font-size='11' fill='#2A3439'&gt;&lt;text x='724' y='100' font-size='13' font-weight='bold'&gt;Variables&lt;/text&gt;"&amp;S40&amp;S41&amp;S42&amp;S43&amp;S44&amp;S45&amp;S46&amp;S47&amp;S48&amp;S49&amp;S50&amp;S51&amp;S52&amp;S53&amp;S54&amp;S55&amp;S56&amp;S57&amp;S58&amp;S59&amp;S60&amp;S61&amp;S62&amp;S63&amp;S64&amp;S65&amp;S66&amp;S67&amp;S68&amp;S69&amp;S70&amp;S71&amp;S72&amp;S73&amp;S74&amp;S75&amp;S76&amp;S77&amp;S78&amp;S79&amp;"&lt;/g&gt;"</f>
        <v/>
      </c>
      <c r="Z33" s="58" t="inlineStr">
        <is>
          <t>SVG: leyenda</t>
        </is>
      </c>
      <c r="AA33" s="59">
        <f>"&lt;g id='leyenda' font-size='11' fill='#2A3439'&gt;&lt;text x='724' y='100' font-size='13' font-weight='bold'&gt;Variables&lt;/text&gt;"&amp;AK40&amp;AK41&amp;AK42&amp;AK43&amp;AK44&amp;AK45&amp;AK46&amp;AK47&amp;AK48&amp;AK49&amp;AK50&amp;AK51&amp;AK52&amp;AK53&amp;AK54&amp;AK55&amp;AK56&amp;AK57&amp;AK58&amp;AK59&amp;AK60&amp;AK61&amp;AK62&amp;AK63&amp;AK64&amp;AK65&amp;AK66&amp;AK67&amp;AK68&amp;AK69&amp;AK70&amp;AK71&amp;AK72&amp;AK73&amp;AK74&amp;AK75&amp;AK76&amp;AK77&amp;AK78&amp;AK79&amp;"&lt;/g&gt;"</f>
        <v/>
      </c>
      <c r="AR33" s="58" t="inlineStr">
        <is>
          <t>SVG: leyenda</t>
        </is>
      </c>
      <c r="AS33" s="59">
        <f>"&lt;g id='leyenda' font-size='11' fill='#2A3439'&gt;&lt;text x='724' y='100' font-size='13' font-weight='bold'&gt;Variables&lt;/text&gt;"&amp;BC40&amp;BC41&amp;BC42&amp;BC43&amp;BC44&amp;BC45&amp;BC46&amp;BC47&amp;BC48&amp;BC49&amp;BC50&amp;BC51&amp;BC52&amp;BC53&amp;BC54&amp;BC55&amp;BC56&amp;BC57&amp;BC58&amp;BC59&amp;BC60&amp;BC61&amp;BC62&amp;BC63&amp;BC64&amp;BC65&amp;BC66&amp;BC67&amp;BC68&amp;BC69&amp;BC70&amp;BC71&amp;BC72&amp;BC73&amp;BC74&amp;BC75&amp;BC76&amp;BC77&amp;BC78&amp;BC79&amp;"&lt;/g&gt;"</f>
        <v/>
      </c>
      <c r="BJ33" s="58" t="inlineStr">
        <is>
          <t>SVG: leyenda</t>
        </is>
      </c>
      <c r="BK33" s="59">
        <f>"&lt;g id='leyenda' font-size='11' fill='#2A3439'&gt;&lt;text x='724' y='100' font-size='13' font-weight='bold'&gt;Variables&lt;/text&gt;"&amp;BU40&amp;BU41&amp;BU42&amp;BU43&amp;BU44&amp;BU45&amp;BU46&amp;BU47&amp;BU48&amp;BU49&amp;BU50&amp;BU51&amp;BU52&amp;BU53&amp;BU54&amp;BU55&amp;BU56&amp;BU57&amp;BU58&amp;BU59&amp;BU60&amp;BU61&amp;BU62&amp;BU63&amp;BU64&amp;BU65&amp;BU66&amp;BU67&amp;BU68&amp;BU69&amp;BU70&amp;BU71&amp;BU72&amp;BU73&amp;BU74&amp;BU75&amp;BU76&amp;BU77&amp;BU78&amp;BU79&amp;"&lt;/g&gt;"</f>
        <v/>
      </c>
      <c r="CB33" s="58" t="inlineStr">
        <is>
          <t>SVG: leyenda</t>
        </is>
      </c>
      <c r="CC33" s="59">
        <f>"&lt;g id='leyenda' font-size='11' fill='#2A3439'&gt;&lt;text x='724' y='100' font-size='13' font-weight='bold'&gt;Variables&lt;/text&gt;"&amp;CM40&amp;CM41&amp;CM42&amp;CM43&amp;CM44&amp;CM45&amp;CM46&amp;CM47&amp;CM48&amp;CM49&amp;CM50&amp;CM51&amp;CM52&amp;CM53&amp;CM54&amp;CM55&amp;CM56&amp;CM57&amp;CM58&amp;CM59&amp;CM60&amp;CM61&amp;CM62&amp;CM63&amp;CM64&amp;CM65&amp;CM66&amp;CM67&amp;CM68&amp;CM69&amp;CM70&amp;CM71&amp;CM72&amp;CM73&amp;CM74&amp;CM75&amp;CM76&amp;CM77&amp;CM78&amp;CM79&amp;"&lt;/g&gt;"</f>
        <v/>
      </c>
      <c r="CT33" s="58" t="inlineStr">
        <is>
          <t>SVG: leyenda</t>
        </is>
      </c>
      <c r="CU33" s="59">
        <f>"&lt;g id='leyenda' font-size='11' fill='#2A3439'&gt;&lt;text x='724' y='100' font-size='13' font-weight='bold'&gt;Variables&lt;/text&gt;"&amp;DE40&amp;DE41&amp;DE42&amp;DE43&amp;DE44&amp;DE45&amp;DE46&amp;DE47&amp;DE48&amp;DE49&amp;DE50&amp;DE51&amp;DE52&amp;DE53&amp;DE54&amp;DE55&amp;DE56&amp;DE57&amp;DE58&amp;DE59&amp;DE60&amp;DE61&amp;DE62&amp;DE63&amp;DE64&amp;DE65&amp;DE66&amp;DE67&amp;DE68&amp;DE69&amp;DE70&amp;DE71&amp;DE72&amp;DE73&amp;DE74&amp;DE75&amp;DE76&amp;DE77&amp;DE78&amp;DE79&amp;"&lt;/g&gt;"</f>
        <v/>
      </c>
      <c r="DL33" s="58" t="inlineStr">
        <is>
          <t>fin línea 2</t>
        </is>
      </c>
      <c r="DM33" s="59">
        <f>IF(LEN(TRIM(MID($DM$30,$DM$31,160)))&gt;80,LEFT(TRIM(MID($DM$30,$DM$31,160)),79)&amp;"…",TRIM(MID($DM$30,$DM$31,160)))</f>
        <v/>
      </c>
    </row>
    <row r="34">
      <c r="H34" s="58" t="inlineStr">
        <is>
          <t>SVG: notas</t>
        </is>
      </c>
      <c r="I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Z34" s="58" t="inlineStr">
        <is>
          <t>SVG: notas</t>
        </is>
      </c>
      <c r="AA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AR34" s="58" t="inlineStr">
        <is>
          <t>SVG: notas</t>
        </is>
      </c>
      <c r="AS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BJ34" s="58" t="inlineStr">
        <is>
          <t>SVG: notas</t>
        </is>
      </c>
      <c r="BK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CB34" s="58" t="inlineStr">
        <is>
          <t>SVG: notas</t>
        </is>
      </c>
      <c r="CC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CT34" s="58" t="inlineStr">
        <is>
          <t>SVG: notas</t>
        </is>
      </c>
      <c r="CU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DL34" s="58" t="inlineStr">
        <is>
          <t>cen texto</t>
        </is>
      </c>
      <c r="DM34" s="59">
        <f>IF(LEN($DM$29)&gt;260,LEFT($DM$29,259)&amp;"…",$DM$29)</f>
        <v/>
      </c>
    </row>
    <row r="35">
      <c r="H35" s="58" t="inlineStr">
        <is>
          <t>Longitud total</t>
        </is>
      </c>
      <c r="I35" s="59">
        <f>LEN($I$27)+LEN($I$28)+LEN($I$29)+LEN($I$30)+LEN($I$31)+LEN($I$32)+LEN($I$33)+LEN($I$34)</f>
        <v/>
      </c>
      <c r="Z35" s="58" t="inlineStr">
        <is>
          <t>Longitud total</t>
        </is>
      </c>
      <c r="AA35" s="59">
        <f>LEN($AA$27)+LEN($AA$28)+LEN($AA$29)+LEN($AA$30)+LEN($AA$31)+LEN($AA$32)+LEN($AA$33)+LEN($AA$34)</f>
        <v/>
      </c>
      <c r="AR35" s="58" t="inlineStr">
        <is>
          <t>Longitud total</t>
        </is>
      </c>
      <c r="AS35" s="59">
        <f>LEN($AS$27)+LEN($AS$28)+LEN($AS$29)+LEN($AS$30)+LEN($AS$31)+LEN($AS$32)+LEN($AS$33)+LEN($AS$34)</f>
        <v/>
      </c>
      <c r="BJ35" s="58" t="inlineStr">
        <is>
          <t>Longitud total</t>
        </is>
      </c>
      <c r="BK35" s="59">
        <f>LEN($BK$27)+LEN($BK$28)+LEN($BK$29)+LEN($BK$30)+LEN($BK$31)+LEN($BK$32)+LEN($BK$33)+LEN($BK$34)</f>
        <v/>
      </c>
      <c r="CB35" s="58" t="inlineStr">
        <is>
          <t>Longitud total</t>
        </is>
      </c>
      <c r="CC35" s="59">
        <f>LEN($CC$27)+LEN($CC$28)+LEN($CC$29)+LEN($CC$30)+LEN($CC$31)+LEN($CC$32)+LEN($CC$33)+LEN($CC$34)</f>
        <v/>
      </c>
      <c r="CT35" s="58" t="inlineStr">
        <is>
          <t>Longitud total</t>
        </is>
      </c>
      <c r="CU35" s="59">
        <f>LEN($CU$27)+LEN($CU$28)+LEN($CU$29)+LEN($CU$30)+LEN($CU$31)+LEN($CU$32)+LEN($CU$33)+LEN($CU$34)</f>
        <v/>
      </c>
      <c r="DL35" s="58" t="inlineStr">
        <is>
          <t>cen corte</t>
        </is>
      </c>
      <c r="DM35" s="59">
        <f>IF(LEN($DM$34)&lt;=130,LEN($DM$34)+1,IFERROR(FIND("~",SUBSTITUTE(LEFT($DM$34,131)," ","~",LEN(LEFT($DM$34,131))-LEN(SUBSTITUTE(LEFT($DM$34,131)," ","")))),131))</f>
        <v/>
      </c>
    </row>
    <row r="36">
      <c r="H36" s="58" t="inlineStr">
        <is>
          <t>SVG FINAL</t>
        </is>
      </c>
      <c r="I36" s="59">
        <f>IF($I$4=1,IF($I$35&gt;32000,"&lt;svg xmlns='http://www.w3.org/2000/svg' viewBox='0 0 600 80'&gt;&lt;text x='10' y='40'&gt;SVG demasiado largo para una celda&lt;/text&gt;&lt;/svg&gt;",$I$27&amp;$I$28&amp;$I$29&amp;$I$30&amp;$I$31&amp;$I$32&amp;$I$33&amp;$I$34),"&lt;svg xmlns='http://www.w3.org/2000/svg' viewBox='0 0 1100 200' width='1100' height='200'&gt;&lt;text x='40' y='90' font-family='Arial,Helvetica,sans-serif' font-size='18' fill='#2A3439'&gt;"&amp;SUBSTITUTE(SUBSTITUTE(SUBSTITUTE(SUBSTITUTE(SUBSTITUTE(SUBSTITUTE(SUBSTITUTE(TRIM(CLEAN($I$3)),"&amp;","&amp;amp;"),"&lt;","&amp;lt;"),"&gt;","&amp;gt;"),CHAR(34),"&amp;quot;"),CHAR(10)," "),CHAR(9)," "),CHAR(13)," ")&amp;"&lt;/text&gt;&lt;text x='40' y='125' font-family='Arial,Helvetica,sans-serif' font-size='14' fill='#2A3439'&gt;Sin datos para este gráfico: complete M (panel superior de la hoja M) o revise que esta potencia tenga recorridos.&lt;/text&gt;&lt;/svg&gt;")</f>
        <v/>
      </c>
      <c r="Z36" s="58" t="inlineStr">
        <is>
          <t>SVG FINAL</t>
        </is>
      </c>
      <c r="AA36" s="59">
        <f>IF($AA$4=1,IF($AA$35&gt;32000,"&lt;svg xmlns='http://www.w3.org/2000/svg' viewBox='0 0 600 80'&gt;&lt;text x='10' y='40'&gt;SVG demasiado largo para una celda&lt;/text&gt;&lt;/svg&gt;",$AA$27&amp;$AA$28&amp;$AA$29&amp;$AA$30&amp;$AA$31&amp;$AA$32&amp;$AA$33&amp;$AA$34),"&lt;svg xmlns='http://www.w3.org/2000/svg' viewBox='0 0 1100 200' width='1100' height='200'&gt;&lt;text x='40' y='90' font-family='Arial,Helvetica,sans-serif' font-size='18' fill='#2A3439'&gt;"&amp;SUBSTITUTE(SUBSTITUTE(SUBSTITUTE(SUBSTITUTE(SUBSTITUTE(SUBSTITUTE(SUBSTITUTE(TRIM(CLEAN($AA$3)),"&amp;","&amp;amp;"),"&lt;","&amp;lt;"),"&gt;","&amp;gt;"),CHAR(34),"&amp;quot;"),CHAR(10)," "),CHAR(9)," "),CHAR(13)," ")&amp;"&lt;/text&gt;&lt;text x='40' y='125' font-family='Arial,Helvetica,sans-serif' font-size='14' fill='#2A3439'&gt;Sin datos para este gráfico: complete M (panel superior de la hoja M) o revise que esta potencia tenga recorridos.&lt;/text&gt;&lt;/svg&gt;")</f>
        <v/>
      </c>
      <c r="AR36" s="58" t="inlineStr">
        <is>
          <t>SVG FINAL</t>
        </is>
      </c>
      <c r="AS36" s="59">
        <f>IF($AS$4=1,IF($AS$35&gt;32000,"&lt;svg xmlns='http://www.w3.org/2000/svg' viewBox='0 0 600 80'&gt;&lt;text x='10' y='40'&gt;SVG demasiado largo para una celda&lt;/text&gt;&lt;/svg&gt;",$AS$27&amp;$AS$28&amp;$AS$29&amp;$AS$30&amp;$AS$31&amp;$AS$32&amp;$AS$33&amp;$AS$34),"&lt;svg xmlns='http://www.w3.org/2000/svg' viewBox='0 0 1100 200' width='1100' height='200'&gt;&lt;text x='40' y='90' font-family='Arial,Helvetica,sans-serif' font-size='18' fill='#2A3439'&gt;"&amp;SUBSTITUTE(SUBSTITUTE(SUBSTITUTE(SUBSTITUTE(SUBSTITUTE(SUBSTITUTE(SUBSTITUTE(TRIM(CLEAN($AS$3)),"&amp;","&amp;amp;"),"&lt;","&amp;lt;"),"&gt;","&amp;gt;"),CHAR(34),"&amp;quot;"),CHAR(10)," "),CHAR(9)," "),CHAR(13)," ")&amp;"&lt;/text&gt;&lt;text x='40' y='125' font-family='Arial,Helvetica,sans-serif' font-size='14' fill='#2A3439'&gt;Sin datos para este gráfico: complete M (panel superior de la hoja M) o revise que esta potencia tenga recorridos.&lt;/text&gt;&lt;/svg&gt;")</f>
        <v/>
      </c>
      <c r="BJ36" s="58" t="inlineStr">
        <is>
          <t>SVG FINAL</t>
        </is>
      </c>
      <c r="BK36" s="59">
        <f>IF($BK$4=1,IF($BK$35&gt;32000,"&lt;svg xmlns='http://www.w3.org/2000/svg' viewBox='0 0 600 80'&gt;&lt;text x='10' y='40'&gt;SVG demasiado largo para una celda&lt;/text&gt;&lt;/svg&gt;",$BK$27&amp;$BK$28&amp;$BK$29&amp;$BK$30&amp;$BK$31&amp;$BK$32&amp;$BK$33&amp;$BK$34),"&lt;svg xmlns='http://www.w3.org/2000/svg' viewBox='0 0 1100 200' width='1100' height='200'&gt;&lt;text x='40' y='90' font-family='Arial,Helvetica,sans-serif' font-size='18' fill='#2A3439'&gt;"&amp;SUBSTITUTE(SUBSTITUTE(SUBSTITUTE(SUBSTITUTE(SUBSTITUTE(SUBSTITUTE(SUBSTITUTE(TRIM(CLEAN($BK$3)),"&amp;","&amp;amp;"),"&lt;","&amp;lt;"),"&gt;","&amp;gt;"),CHAR(34),"&amp;quot;"),CHAR(10)," "),CHAR(9)," "),CHAR(13)," ")&amp;"&lt;/text&gt;&lt;text x='40' y='125' font-family='Arial,Helvetica,sans-serif' font-size='14' fill='#2A3439'&gt;Sin datos para este gráfico: complete M (panel superior de la hoja M) o revise que esta potencia tenga recorridos.&lt;/text&gt;&lt;/svg&gt;")</f>
        <v/>
      </c>
      <c r="CB36" s="58" t="inlineStr">
        <is>
          <t>SVG FINAL</t>
        </is>
      </c>
      <c r="CC36" s="59">
        <f>IF($CC$4=1,IF($CC$35&gt;32000,"&lt;svg xmlns='http://www.w3.org/2000/svg' viewBox='0 0 600 80'&gt;&lt;text x='10' y='40'&gt;SVG demasiado largo para una celda&lt;/text&gt;&lt;/svg&gt;",$CC$27&amp;$CC$28&amp;$CC$29&amp;$CC$30&amp;$CC$31&amp;$CC$32&amp;$CC$33&amp;$CC$34),"&lt;svg xmlns='http://www.w3.org/2000/svg' viewBox='0 0 1100 200' width='1100' height='200'&gt;&lt;text x='40' y='90' font-family='Arial,Helvetica,sans-serif' font-size='18' fill='#2A3439'&gt;"&amp;SUBSTITUTE(SUBSTITUTE(SUBSTITUTE(SUBSTITUTE(SUBSTITUTE(SUBSTITUTE(SUBSTITUTE(TRIM(CLEAN($CC$3)),"&amp;","&amp;amp;"),"&lt;","&amp;lt;"),"&gt;","&amp;gt;"),CHAR(34),"&amp;quot;"),CHAR(10)," "),CHAR(9)," "),CHAR(13)," ")&amp;"&lt;/text&gt;&lt;text x='40' y='125' font-family='Arial,Helvetica,sans-serif' font-size='14' fill='#2A3439'&gt;Sin datos para este gráfico: complete M (panel superior de la hoja M) o revise que esta potencia tenga recorridos.&lt;/text&gt;&lt;/svg&gt;")</f>
        <v/>
      </c>
      <c r="CT36" s="58" t="inlineStr">
        <is>
          <t>SVG FINAL</t>
        </is>
      </c>
      <c r="CU36" s="59">
        <f>IF($CU$4=1,IF($CU$35&gt;32000,"&lt;svg xmlns='http://www.w3.org/2000/svg' viewBox='0 0 600 80'&gt;&lt;text x='10' y='40'&gt;SVG demasiado largo para una celda&lt;/text&gt;&lt;/svg&gt;",$CU$27&amp;$CU$28&amp;$CU$29&amp;$CU$30&amp;$CU$31&amp;$CU$32&amp;$CU$33&amp;$CU$34),"&lt;svg xmlns='http://www.w3.org/2000/svg' viewBox='0 0 1100 200' width='1100' height='200'&gt;&lt;text x='40' y='90' font-family='Arial,Helvetica,sans-serif' font-size='18' fill='#2A3439'&gt;"&amp;SUBSTITUTE(SUBSTITUTE(SUBSTITUTE(SUBSTITUTE(SUBSTITUTE(SUBSTITUTE(SUBSTITUTE(TRIM(CLEAN($CU$3)),"&amp;","&amp;amp;"),"&lt;","&amp;lt;"),"&gt;","&amp;gt;"),CHAR(34),"&amp;quot;"),CHAR(10)," "),CHAR(9)," "),CHAR(13)," ")&amp;"&lt;/text&gt;&lt;text x='40' y='125' font-family='Arial,Helvetica,sans-serif' font-size='14' fill='#2A3439'&gt;Sin datos para este gráfico: complete M (panel superior de la hoja M) o revise que esta potencia tenga recorridos.&lt;/text&gt;&lt;/svg&gt;")</f>
        <v/>
      </c>
      <c r="DL36" s="58" t="inlineStr">
        <is>
          <t>cen línea 1</t>
        </is>
      </c>
      <c r="DM36" s="59">
        <f>TRIM(LEFT($DM$34,$DM$35-1))</f>
        <v/>
      </c>
    </row>
    <row r="37">
      <c r="DL37" s="58" t="inlineStr">
        <is>
          <t>cen línea 2</t>
        </is>
      </c>
      <c r="DM37" s="59">
        <f>IF(LEN(TRIM(MID($DM$34,$DM$35,260)))&gt;130,LEFT(TRIM(MID($DM$34,$DM$35,260)),129)&amp;"…",TRIM(MID($DM$34,$DM$35,260)))</f>
        <v/>
      </c>
    </row>
    <row r="38">
      <c r="DL38" s="58" t="inlineStr">
        <is>
          <t>SVG: paneles</t>
        </is>
      </c>
      <c r="DM38" s="59">
        <f>IF($DM$5&gt;0,"&lt;rect x='10' y='"&amp;SUBSTITUTE(ROUND($DM$17,1),",",".")&amp;"' width='1180' height='"&amp;SUBSTITUTE(ROUND(24+$DM$7+10,1),",",".")&amp;"' rx='10' fill='none' stroke='#9EB9D4' stroke-width='1.2' stroke-dasharray='4 3'/&gt;&lt;text x='24' y='"&amp;SUBSTITUTE(ROUND($DM$17+17,1),",",".")&amp;"' font-size='12' font-weight='bold' fill='#2A3439'&gt;① EFECTOS · lo que el sistema produce (cuadrante Resultado en M6)&lt;/text&gt;","")&amp;IF($DM$8&gt;0,"&lt;rect x='10' y='"&amp;SUBSTITUTE(ROUND($DM$21,1),",",".")&amp;"' width='1180' height='"&amp;SUBSTITUTE(ROUND(24+$DM$10+10,1),",",".")&amp;"' rx='10' fill='none' stroke='#9EB9D4' stroke-width='1.2' stroke-dasharray='4 3'/&gt;&lt;text x='24' y='"&amp;SUBSTITUTE(ROUND($DM$21+17,1),",",".")&amp;"' font-size='12' font-weight='bold' fill='#2A3439'&gt;③ CAUSAS DIRECTAS · núcleo inestable (cuadrante Enlace en M6)&lt;/text&gt;","")&amp;IF($DM$11&gt;0,"&lt;rect x='10' y='"&amp;SUBSTITUTE(ROUND($DM$23,1),",",".")&amp;"' width='1180' height='"&amp;SUBSTITUTE(ROUND(24+$DM$13+10,1),",",".")&amp;"' rx='10' fill='none' stroke='#9EB9D4' stroke-width='1.2' stroke-dasharray='4 3'/&gt;&lt;text x='24' y='"&amp;SUBSTITUTE(ROUND($DM$23+17,1),",",".")&amp;"' font-size='12' font-weight='bold' fill='#2A3439'&gt;④ CAUSAS ESTRUCTURALES O RAÍZ · palancas del sistema (cuadrante Motriz en M6)&lt;/text&gt;","")&amp;IF($DM$14&gt;0,"&lt;rect x='10' y='"&amp;SUBSTITUTE(ROUND($DM$25,1),",",".")&amp;"' width='1180' height='"&amp;SUBSTITUTE(ROUND(24+$DM$16+10,1),",",".")&amp;"' rx='10' fill='none' stroke='#9EB9D4' stroke-width='1.2' stroke-dasharray='4 3'/&gt;&lt;text x='24' y='"&amp;SUBSTITUTE(ROUND($DM$25+17,1),",",".")&amp;"' font-size='12' font-weight='bold' fill='#2A3439'&gt;⑤ FUERA DEL ALCANCE · variables autónomas (cuadrante Autónoma en M6)&lt;/text&gt;","")</f>
        <v/>
      </c>
    </row>
    <row r="39">
      <c r="A39" s="60" t="inlineStr">
        <is>
          <t>i</t>
        </is>
      </c>
      <c r="B39" s="60" t="inlineStr">
        <is>
          <t>Nombre (XML, ≤46)</t>
        </is>
      </c>
      <c r="C39" s="60" t="inlineStr">
        <is>
          <t>Texto de leyenda</t>
        </is>
      </c>
      <c r="D39" s="60" t="inlineStr">
        <is>
          <t>Etiqueta corta</t>
        </is>
      </c>
      <c r="E39" s="60" t="inlineStr">
        <is>
          <t>Enunciado</t>
        </is>
      </c>
      <c r="H39" s="60" t="inlineStr">
        <is>
          <t>i</t>
        </is>
      </c>
      <c r="I39" s="60" t="inlineStr">
        <is>
          <t>válido</t>
        </is>
      </c>
      <c r="J39" s="60" t="inlineStr">
        <is>
          <t>x (dep.)</t>
        </is>
      </c>
      <c r="K39" s="60" t="inlineStr">
        <is>
          <t>y (inf.)</t>
        </is>
      </c>
      <c r="L39" s="60" t="inlineStr">
        <is>
          <t>px</t>
        </is>
      </c>
      <c r="M39" s="60" t="inlineStr">
        <is>
          <t>py</t>
        </is>
      </c>
      <c r="N39" s="60" t="inlineStr">
        <is>
          <t>papel</t>
        </is>
      </c>
      <c r="O39" s="60" t="inlineStr">
        <is>
          <t>color</t>
        </is>
      </c>
      <c r="P39" s="60" t="inlineStr">
        <is>
          <t>1.º en coord.</t>
        </is>
      </c>
      <c r="Q39" s="60" t="inlineStr">
        <is>
          <t>etiqueta</t>
        </is>
      </c>
      <c r="R39" s="60" t="inlineStr">
        <is>
          <t>marca SVG</t>
        </is>
      </c>
      <c r="S39" s="60" t="inlineStr">
        <is>
          <t>leyenda SVG</t>
        </is>
      </c>
      <c r="T39" s="60" t="inlineStr">
        <is>
          <t>tick X</t>
        </is>
      </c>
      <c r="U39" s="60" t="inlineStr">
        <is>
          <t>SVG X</t>
        </is>
      </c>
      <c r="V39" s="60" t="inlineStr">
        <is>
          <t>tick Y</t>
        </is>
      </c>
      <c r="W39" s="60" t="inlineStr">
        <is>
          <t>SVG Y</t>
        </is>
      </c>
      <c r="Z39" s="60" t="inlineStr">
        <is>
          <t>i</t>
        </is>
      </c>
      <c r="AA39" s="60" t="inlineStr">
        <is>
          <t>válido</t>
        </is>
      </c>
      <c r="AB39" s="60" t="inlineStr">
        <is>
          <t>x (dep.)</t>
        </is>
      </c>
      <c r="AC39" s="60" t="inlineStr">
        <is>
          <t>y (inf.)</t>
        </is>
      </c>
      <c r="AD39" s="60" t="inlineStr">
        <is>
          <t>px</t>
        </is>
      </c>
      <c r="AE39" s="60" t="inlineStr">
        <is>
          <t>py</t>
        </is>
      </c>
      <c r="AF39" s="60" t="inlineStr">
        <is>
          <t>papel</t>
        </is>
      </c>
      <c r="AG39" s="60" t="inlineStr">
        <is>
          <t>color</t>
        </is>
      </c>
      <c r="AH39" s="60" t="inlineStr">
        <is>
          <t>1.º en coord.</t>
        </is>
      </c>
      <c r="AI39" s="60" t="inlineStr">
        <is>
          <t>etiqueta</t>
        </is>
      </c>
      <c r="AJ39" s="60" t="inlineStr">
        <is>
          <t>marca SVG</t>
        </is>
      </c>
      <c r="AK39" s="60" t="inlineStr">
        <is>
          <t>leyenda SVG</t>
        </is>
      </c>
      <c r="AL39" s="60" t="inlineStr">
        <is>
          <t>tick X</t>
        </is>
      </c>
      <c r="AM39" s="60" t="inlineStr">
        <is>
          <t>SVG X</t>
        </is>
      </c>
      <c r="AN39" s="60" t="inlineStr">
        <is>
          <t>tick Y</t>
        </is>
      </c>
      <c r="AO39" s="60" t="inlineStr">
        <is>
          <t>SVG Y</t>
        </is>
      </c>
      <c r="AR39" s="60" t="inlineStr">
        <is>
          <t>i</t>
        </is>
      </c>
      <c r="AS39" s="60" t="inlineStr">
        <is>
          <t>válido</t>
        </is>
      </c>
      <c r="AT39" s="60" t="inlineStr">
        <is>
          <t>x (dep.)</t>
        </is>
      </c>
      <c r="AU39" s="60" t="inlineStr">
        <is>
          <t>y (inf.)</t>
        </is>
      </c>
      <c r="AV39" s="60" t="inlineStr">
        <is>
          <t>px</t>
        </is>
      </c>
      <c r="AW39" s="60" t="inlineStr">
        <is>
          <t>py</t>
        </is>
      </c>
      <c r="AX39" s="60" t="inlineStr">
        <is>
          <t>papel</t>
        </is>
      </c>
      <c r="AY39" s="60" t="inlineStr">
        <is>
          <t>color</t>
        </is>
      </c>
      <c r="AZ39" s="60" t="inlineStr">
        <is>
          <t>1.º en coord.</t>
        </is>
      </c>
      <c r="BA39" s="60" t="inlineStr">
        <is>
          <t>etiqueta</t>
        </is>
      </c>
      <c r="BB39" s="60" t="inlineStr">
        <is>
          <t>marca SVG</t>
        </is>
      </c>
      <c r="BC39" s="60" t="inlineStr">
        <is>
          <t>leyenda SVG</t>
        </is>
      </c>
      <c r="BD39" s="60" t="inlineStr">
        <is>
          <t>tick X</t>
        </is>
      </c>
      <c r="BE39" s="60" t="inlineStr">
        <is>
          <t>SVG X</t>
        </is>
      </c>
      <c r="BF39" s="60" t="inlineStr">
        <is>
          <t>tick Y</t>
        </is>
      </c>
      <c r="BG39" s="60" t="inlineStr">
        <is>
          <t>SVG Y</t>
        </is>
      </c>
      <c r="BJ39" s="60" t="inlineStr">
        <is>
          <t>i</t>
        </is>
      </c>
      <c r="BK39" s="60" t="inlineStr">
        <is>
          <t>válido</t>
        </is>
      </c>
      <c r="BL39" s="60" t="inlineStr">
        <is>
          <t>x (dep.)</t>
        </is>
      </c>
      <c r="BM39" s="60" t="inlineStr">
        <is>
          <t>y (inf.)</t>
        </is>
      </c>
      <c r="BN39" s="60" t="inlineStr">
        <is>
          <t>px</t>
        </is>
      </c>
      <c r="BO39" s="60" t="inlineStr">
        <is>
          <t>py</t>
        </is>
      </c>
      <c r="BP39" s="60" t="inlineStr">
        <is>
          <t>papel</t>
        </is>
      </c>
      <c r="BQ39" s="60" t="inlineStr">
        <is>
          <t>color</t>
        </is>
      </c>
      <c r="BR39" s="60" t="inlineStr">
        <is>
          <t>1.º en coord.</t>
        </is>
      </c>
      <c r="BS39" s="60" t="inlineStr">
        <is>
          <t>etiqueta</t>
        </is>
      </c>
      <c r="BT39" s="60" t="inlineStr">
        <is>
          <t>marca SVG</t>
        </is>
      </c>
      <c r="BU39" s="60" t="inlineStr">
        <is>
          <t>leyenda SVG</t>
        </is>
      </c>
      <c r="BV39" s="60" t="inlineStr">
        <is>
          <t>tick X</t>
        </is>
      </c>
      <c r="BW39" s="60" t="inlineStr">
        <is>
          <t>SVG X</t>
        </is>
      </c>
      <c r="BX39" s="60" t="inlineStr">
        <is>
          <t>tick Y</t>
        </is>
      </c>
      <c r="BY39" s="60" t="inlineStr">
        <is>
          <t>SVG Y</t>
        </is>
      </c>
      <c r="CB39" s="60" t="inlineStr">
        <is>
          <t>i</t>
        </is>
      </c>
      <c r="CC39" s="60" t="inlineStr">
        <is>
          <t>válido</t>
        </is>
      </c>
      <c r="CD39" s="60" t="inlineStr">
        <is>
          <t>x (dep.)</t>
        </is>
      </c>
      <c r="CE39" s="60" t="inlineStr">
        <is>
          <t>y (inf.)</t>
        </is>
      </c>
      <c r="CF39" s="60" t="inlineStr">
        <is>
          <t>px</t>
        </is>
      </c>
      <c r="CG39" s="60" t="inlineStr">
        <is>
          <t>py</t>
        </is>
      </c>
      <c r="CH39" s="60" t="inlineStr">
        <is>
          <t>papel</t>
        </is>
      </c>
      <c r="CI39" s="60" t="inlineStr">
        <is>
          <t>color</t>
        </is>
      </c>
      <c r="CJ39" s="60" t="inlineStr">
        <is>
          <t>1.º en coord.</t>
        </is>
      </c>
      <c r="CK39" s="60" t="inlineStr">
        <is>
          <t>etiqueta</t>
        </is>
      </c>
      <c r="CL39" s="60" t="inlineStr">
        <is>
          <t>marca SVG</t>
        </is>
      </c>
      <c r="CM39" s="60" t="inlineStr">
        <is>
          <t>leyenda SVG</t>
        </is>
      </c>
      <c r="CN39" s="60" t="inlineStr">
        <is>
          <t>tick X</t>
        </is>
      </c>
      <c r="CO39" s="60" t="inlineStr">
        <is>
          <t>SVG X</t>
        </is>
      </c>
      <c r="CP39" s="60" t="inlineStr">
        <is>
          <t>tick Y</t>
        </is>
      </c>
      <c r="CQ39" s="60" t="inlineStr">
        <is>
          <t>SVG Y</t>
        </is>
      </c>
      <c r="CT39" s="60" t="inlineStr">
        <is>
          <t>i</t>
        </is>
      </c>
      <c r="CU39" s="60" t="inlineStr">
        <is>
          <t>válido</t>
        </is>
      </c>
      <c r="CV39" s="60" t="inlineStr">
        <is>
          <t>x (dep.)</t>
        </is>
      </c>
      <c r="CW39" s="60" t="inlineStr">
        <is>
          <t>y (inf.)</t>
        </is>
      </c>
      <c r="CX39" s="60" t="inlineStr">
        <is>
          <t>px</t>
        </is>
      </c>
      <c r="CY39" s="60" t="inlineStr">
        <is>
          <t>py</t>
        </is>
      </c>
      <c r="CZ39" s="60" t="inlineStr">
        <is>
          <t>papel</t>
        </is>
      </c>
      <c r="DA39" s="60" t="inlineStr">
        <is>
          <t>color</t>
        </is>
      </c>
      <c r="DB39" s="60" t="inlineStr">
        <is>
          <t>1.º en coord.</t>
        </is>
      </c>
      <c r="DC39" s="60" t="inlineStr">
        <is>
          <t>etiqueta</t>
        </is>
      </c>
      <c r="DD39" s="60" t="inlineStr">
        <is>
          <t>marca SVG</t>
        </is>
      </c>
      <c r="DE39" s="60" t="inlineStr">
        <is>
          <t>leyenda SVG</t>
        </is>
      </c>
      <c r="DF39" s="60" t="inlineStr">
        <is>
          <t>tick X</t>
        </is>
      </c>
      <c r="DG39" s="60" t="inlineStr">
        <is>
          <t>SVG X</t>
        </is>
      </c>
      <c r="DH39" s="60" t="inlineStr">
        <is>
          <t>tick Y</t>
        </is>
      </c>
      <c r="DI39" s="60" t="inlineStr">
        <is>
          <t>SVG Y</t>
        </is>
      </c>
      <c r="DL39" s="58" t="inlineStr">
        <is>
          <t>SVG: flechas</t>
        </is>
      </c>
      <c r="DM39" s="59">
        <f>"&lt;g id='flechas'&gt;"&amp;"&lt;line x1='600' y1='"&amp;SUBSTITUTE(ROUND(IF($DM$5&gt;0,$DM$17,$DM$19)-2,1),",",".")&amp;"' x2='600' y2='"&amp;SUBSTITUTE(ROUND(134+3,1),",",".")&amp;"' stroke='#2A3439' stroke-width='2' marker-end='url(#ah)'/&gt;"&amp;IF($DM$5&gt;0,"&lt;line x1='600' y1='"&amp;SUBSTITUTE(ROUND($DM$19-2,1),",",".")&amp;"' x2='600' y2='"&amp;SUBSTITUTE(ROUND($DM$18+3,1),",",".")&amp;"' stroke='#2A3439' stroke-width='2' marker-end='url(#ah)'/&gt;","")&amp;IF($DM$8&gt;0,"&lt;line x1='600' y1='"&amp;SUBSTITUTE(ROUND($DM$21-2,1),",",".")&amp;"' x2='600' y2='"&amp;SUBSTITUTE(ROUND($DM$20+3,1),",",".")&amp;"' stroke='#2A3439' stroke-width='2' marker-end='url(#ah)'/&gt;",IF($DM$11&gt;0,"&lt;line x1='600' y1='"&amp;SUBSTITUTE(ROUND($DM$23-2,1),",",".")&amp;"' x2='600' y2='"&amp;SUBSTITUTE(ROUND($DM$20+3,1),",",".")&amp;"' stroke='#2A3439' stroke-width='2' marker-end='url(#ah)'/&gt;",""))&amp;IF(AND($DM$8&gt;0,$DM$11&gt;0),"&lt;line x1='600' y1='"&amp;SUBSTITUTE(ROUND($DM$23-2,1),",",".")&amp;"' x2='600' y2='"&amp;SUBSTITUTE(ROUND($DM$22+3,1),",",".")&amp;"' stroke='#2A3439' stroke-width='2' marker-end='url(#ah)'/&gt;","")&amp;"&lt;/g&gt;"</f>
        <v/>
      </c>
    </row>
    <row r="40">
      <c r="A40" s="58" t="n">
        <v>1</v>
      </c>
      <c r="B40" s="58">
        <f>IF($A40&lt;=nVariables,SUBSTITUTE(SUBSTITUTE(SUBSTITUTE(SUBSTITUTE(SUBSTITUTE(SUBSTITUTE(SUBSTITUTE(TRIM(CLEAN(IF(LEN(TRIM(M!$B10))&gt;46,LEFT(TRIM(M!$B10),45)&amp;"…",TRIM(M!$B10)))),"&amp;","&amp;amp;"),"&lt;","&amp;lt;"),"&gt;","&amp;gt;"),CHAR(34),"&amp;quot;"),CHAR(10)," "),CHAR(9)," "),CHAR(13)," "),"")</f>
        <v/>
      </c>
      <c r="C40" s="58">
        <f>IF($A40&lt;=nVariables,$A40&amp;". "&amp;B40,"")</f>
        <v/>
      </c>
      <c r="D40" s="58">
        <f>IF($A40&lt;=nVariables,IF(TRIM(M!$C10)&lt;&gt;"",TRIM(M!$C10),IF(LEN(TRIM(M!$B10))&gt;24,LEFT(TRIM(M!$B10),23)&amp;"…",TRIM(M!$B10))),"")</f>
        <v/>
      </c>
      <c r="E40" s="58">
        <f>IF($A40&lt;=nVariables,TRIM('Árbol de Problemas'!$F19),"")</f>
        <v/>
      </c>
      <c r="H40" s="58" t="n">
        <v>1</v>
      </c>
      <c r="I40" s="58">
        <f>IF(AND($I$4=1,H40&lt;=nVariables),1,0)</f>
        <v/>
      </c>
      <c r="J40" s="58">
        <f>IF(I40=1,'M1'!$F10,"")</f>
        <v/>
      </c>
      <c r="K40" s="58">
        <f>IF(I40=1,'M1'!$E10,"")</f>
        <v/>
      </c>
      <c r="L40" s="58">
        <f>IF(I40=1,90+J40*$I$22,"")</f>
        <v/>
      </c>
      <c r="M40" s="58">
        <f>IF(I40=1,574-K40*$I$23,"")</f>
        <v/>
      </c>
      <c r="N40" s="58">
        <f>IF(I40=1,'M1'!$I10,"")</f>
        <v/>
      </c>
      <c r="O40" s="58">
        <f>IF(I40=1,IF(N40="Motriz","#2A3439",IF(N40="Enlace","#6699CC",IF(N40="Resultado","#FFFFFF","#F5F5F5"))),"")</f>
        <v/>
      </c>
      <c r="P40" s="58">
        <f>IF(I40=1,IF(SUMPRODUCT((J$39:J39=J40)*(K$39:K39=K40))=0,1,0),0)</f>
        <v/>
      </c>
      <c r="Q40" s="58">
        <f>IF(P40=1,1&amp;IF(AND(J41=J40,K41=K40),","&amp;2,"")&amp;IF(AND(J42=J40,K42=K40),","&amp;3,"")&amp;IF(AND(J43=J40,K43=K40),","&amp;4,"")&amp;IF(AND(J44=J40,K44=K40),","&amp;5,"")&amp;IF(AND(J45=J40,K45=K40),","&amp;6,"")&amp;IF(AND(J46=J40,K46=K40),","&amp;7,"")&amp;IF(AND(J47=J40,K47=K40),","&amp;8,"")&amp;IF(AND(J48=J40,K48=K40),","&amp;9,"")&amp;IF(AND(J49=J40,K49=K40),","&amp;10,"")&amp;IF(AND(J50=J40,K50=K40),","&amp;11,"")&amp;IF(AND(J51=J40,K51=K40),","&amp;12,"")&amp;IF(AND(J52=J40,K52=K40),","&amp;13,"")&amp;IF(AND(J53=J40,K53=K40),","&amp;14,"")&amp;IF(AND(J54=J40,K54=K40),","&amp;15,"")&amp;IF(AND(J55=J40,K55=K40),","&amp;16,"")&amp;IF(AND(J56=J40,K56=K40),","&amp;17,"")&amp;IF(AND(J57=J40,K57=K40),","&amp;18,"")&amp;IF(AND(J58=J40,K58=K40),","&amp;19,"")&amp;IF(AND(J59=J40,K59=K40),","&amp;20,"")&amp;IF(AND(J60=J40,K60=K40),","&amp;21,"")&amp;IF(AND(J61=J40,K61=K40),","&amp;22,"")&amp;IF(AND(J62=J40,K62=K40),","&amp;23,"")&amp;IF(AND(J63=J40,K63=K40),","&amp;24,"")&amp;IF(AND(J64=J40,K64=K40),","&amp;25,"")&amp;IF(AND(J65=J40,K65=K40),","&amp;26,"")&amp;IF(AND(J66=J40,K66=K40),","&amp;27,"")&amp;IF(AND(J67=J40,K67=K40),","&amp;28,"")&amp;IF(AND(J68=J40,K68=K40),","&amp;29,"")&amp;IF(AND(J69=J40,K69=K40),","&amp;30,"")&amp;IF(AND(J70=J40,K70=K40),","&amp;31,"")&amp;IF(AND(J71=J40,K71=K40),","&amp;32,"")&amp;IF(AND(J72=J40,K72=K40),","&amp;33,"")&amp;IF(AND(J73=J40,K73=K40),","&amp;34,"")&amp;IF(AND(J74=J40,K74=K40),","&amp;35,"")&amp;IF(AND(J75=J40,K75=K40),","&amp;36,"")&amp;IF(AND(J76=J40,K76=K40),","&amp;37,"")&amp;IF(AND(J77=J40,K77=K40),","&amp;38,"")&amp;IF(AND(J78=J40,K78=K40),","&amp;39,"")&amp;IF(AND(J79=J40,K79=K40),","&amp;40,""),"")</f>
        <v/>
      </c>
      <c r="R40" s="58">
        <f>IF(P40=1,IF(N40="Motriz","&lt;circle cx='"&amp;SUBSTITUTE(ROUND(L40,1),",",".")&amp;"' cy='"&amp;SUBSTITUTE(ROUND(M40,1),",",".")&amp;"' r='6' fill='#2A3439' stroke='#2A3439' stroke-width='1.3'/&gt;",IF(N40="Enlace","&lt;rect x='"&amp;SUBSTITUTE(ROUND((L40)-5.52,1),",",".")&amp;"' y='"&amp;SUBSTITUTE(ROUND((M40)-5.52,1),",",".")&amp;"' width='11.04' height='11.04' fill='#6699CC' stroke='#2A3439' stroke-width='1.3'/&gt;",IF(N40="Resultado","&lt;path d='M"&amp;SUBSTITUTE(ROUND(L40,1),",",".")&amp;" "&amp;SUBSTITUTE(ROUND((M40)-6.9,1),",",".")&amp;"L"&amp;SUBSTITUTE(ROUND((L40)+6.3,1),",",".")&amp;" "&amp;SUBSTITUTE(ROUND((M40)+5.1,1),",",".")&amp;"L"&amp;SUBSTITUTE(ROUND((L40)-6.3,1),",",".")&amp;" "&amp;SUBSTITUTE(ROUND((M40)+5.1,1),",",".")&amp;"Z' fill='#FFFFFF' stroke='#2A3439' stroke-width='1.3'/&gt;","&lt;path d='M"&amp;SUBSTITUTE(ROUND(L40,1),",",".")&amp;" "&amp;SUBSTITUTE(ROUND((M40)-7.5,1),",",".")&amp;"L"&amp;SUBSTITUTE(ROUND((L40)+7.5,1),",",".")&amp;" "&amp;SUBSTITUTE(ROUND(M40,1),",",".")&amp;"L"&amp;SUBSTITUTE(ROUND(L40,1),",",".")&amp;" "&amp;SUBSTITUTE(ROUND((M40)+7.5,1),",",".")&amp;"L"&amp;SUBSTITUTE(ROUND((L40)-7.5,1),",",".")&amp;" "&amp;SUBSTITUTE(ROUND(M40,1),",",".")&amp;"Z' fill='#F5F5F5' stroke='#2A3439' stroke-width='1.3'/&gt;")))&amp;"&lt;text x='"&amp;SUBSTITUTE(ROUND(L40+9,1),",",".")&amp;"' y='"&amp;SUBSTITUTE(ROUND(M40-8,1),",",".")&amp;"'&gt;"&amp;Q40&amp;"&lt;/text&gt;","")</f>
        <v/>
      </c>
      <c r="S40" s="58">
        <f>IF(I40=1,IF(N40="Motriz","&lt;circle cx='"&amp;SUBSTITUTE(ROUND(728,1),",",".")&amp;"' cy='"&amp;SUBSTITUTE(ROUND(120,1),",",".")&amp;"' r='4.3' fill='#2A3439' stroke='#2A3439' stroke-width='1.3'/&gt;",IF(N40="Enlace","&lt;rect x='"&amp;SUBSTITUTE(ROUND((728)-3.96,1),",",".")&amp;"' y='"&amp;SUBSTITUTE(ROUND((120)-3.96,1),",",".")&amp;"' width='7.92' height='7.92' fill='#6699CC' stroke='#2A3439' stroke-width='1.3'/&gt;",IF(N40="Resultado","&lt;path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T40" s="58">
        <f>0*$I$14</f>
        <v/>
      </c>
      <c r="U40" s="58">
        <f>IF(0&lt;=$I$16,"&lt;line x1='"&amp;SUBSTITUTE(ROUND(90+T40*$I$22,1),",",".")&amp;"' y1='84' x2='"&amp;SUBSTITUTE(ROUND(90+T40*$I$22,1),",",".")&amp;"' y2='574' stroke='#FFFFFF'/&gt;&lt;text x='"&amp;SUBSTITUTE(ROUND(90+T40*$I$22,1),",",".")&amp;"' y='590' text-anchor='middle'&gt;"&amp;ROUND(T40*100,2)&amp;" %&lt;/text&gt;","")</f>
        <v/>
      </c>
      <c r="V40" s="58">
        <f>0*$I$19</f>
        <v/>
      </c>
      <c r="W40" s="58">
        <f>IF(0&lt;=$I$21,"&lt;line x1='90' y1='"&amp;SUBSTITUTE(ROUND(574-V40*$I$23,1),",",".")&amp;"' x2='650' y2='"&amp;SUBSTITUTE(ROUND(574-V40*$I$23,1),",",".")&amp;"' stroke='#FFFFFF'/&gt;&lt;text x='84' y='"&amp;SUBSTITUTE(ROUND(574-V40*$I$23+3,1),",",".")&amp;"' text-anchor='end'&gt;"&amp;ROUND(V40*100,2)&amp;" %&lt;/text&gt;","")</f>
        <v/>
      </c>
      <c r="Z40" s="58" t="n">
        <v>1</v>
      </c>
      <c r="AA40" s="58">
        <f>IF(AND($AA$4=1,Z40&lt;=nVariables),1,0)</f>
        <v/>
      </c>
      <c r="AB40" s="58">
        <f>IF(AA40=1,'M2'!$F10,"")</f>
        <v/>
      </c>
      <c r="AC40" s="58">
        <f>IF(AA40=1,'M2'!$E10,"")</f>
        <v/>
      </c>
      <c r="AD40" s="58">
        <f>IF(AA40=1,90+AB40*$AA$22,"")</f>
        <v/>
      </c>
      <c r="AE40" s="58">
        <f>IF(AA40=1,574-AC40*$AA$23,"")</f>
        <v/>
      </c>
      <c r="AF40" s="58">
        <f>IF(AA40=1,'M2'!$I10,"")</f>
        <v/>
      </c>
      <c r="AG40" s="58">
        <f>IF(AA40=1,IF(AF40="Motriz","#2A3439",IF(AF40="Enlace","#6699CC",IF(AF40="Resultado","#FFFFFF","#F5F5F5"))),"")</f>
        <v/>
      </c>
      <c r="AH40" s="58">
        <f>IF(AA40=1,IF(SUMPRODUCT((AB$39:AB39=AB40)*(AC$39:AC39=AC40))=0,1,0),0)</f>
        <v/>
      </c>
      <c r="AI40" s="58">
        <f>IF(AH40=1,1&amp;IF(AND(AB41=AB40,AC41=AC40),","&amp;2,"")&amp;IF(AND(AB42=AB40,AC42=AC40),","&amp;3,"")&amp;IF(AND(AB43=AB40,AC43=AC40),","&amp;4,"")&amp;IF(AND(AB44=AB40,AC44=AC40),","&amp;5,"")&amp;IF(AND(AB45=AB40,AC45=AC40),","&amp;6,"")&amp;IF(AND(AB46=AB40,AC46=AC40),","&amp;7,"")&amp;IF(AND(AB47=AB40,AC47=AC40),","&amp;8,"")&amp;IF(AND(AB48=AB40,AC48=AC40),","&amp;9,"")&amp;IF(AND(AB49=AB40,AC49=AC40),","&amp;10,"")&amp;IF(AND(AB50=AB40,AC50=AC40),","&amp;11,"")&amp;IF(AND(AB51=AB40,AC51=AC40),","&amp;12,"")&amp;IF(AND(AB52=AB40,AC52=AC40),","&amp;13,"")&amp;IF(AND(AB53=AB40,AC53=AC40),","&amp;14,"")&amp;IF(AND(AB54=AB40,AC54=AC40),","&amp;15,"")&amp;IF(AND(AB55=AB40,AC55=AC40),","&amp;16,"")&amp;IF(AND(AB56=AB40,AC56=AC40),","&amp;17,"")&amp;IF(AND(AB57=AB40,AC57=AC40),","&amp;18,"")&amp;IF(AND(AB58=AB40,AC58=AC40),","&amp;19,"")&amp;IF(AND(AB59=AB40,AC59=AC40),","&amp;20,"")&amp;IF(AND(AB60=AB40,AC60=AC40),","&amp;21,"")&amp;IF(AND(AB61=AB40,AC61=AC40),","&amp;22,"")&amp;IF(AND(AB62=AB40,AC62=AC40),","&amp;23,"")&amp;IF(AND(AB63=AB40,AC63=AC40),","&amp;24,"")&amp;IF(AND(AB64=AB40,AC64=AC40),","&amp;25,"")&amp;IF(AND(AB65=AB40,AC65=AC40),","&amp;26,"")&amp;IF(AND(AB66=AB40,AC66=AC40),","&amp;27,"")&amp;IF(AND(AB67=AB40,AC67=AC40),","&amp;28,"")&amp;IF(AND(AB68=AB40,AC68=AC40),","&amp;29,"")&amp;IF(AND(AB69=AB40,AC69=AC40),","&amp;30,"")&amp;IF(AND(AB70=AB40,AC70=AC40),","&amp;31,"")&amp;IF(AND(AB71=AB40,AC71=AC40),","&amp;32,"")&amp;IF(AND(AB72=AB40,AC72=AC40),","&amp;33,"")&amp;IF(AND(AB73=AB40,AC73=AC40),","&amp;34,"")&amp;IF(AND(AB74=AB40,AC74=AC40),","&amp;35,"")&amp;IF(AND(AB75=AB40,AC75=AC40),","&amp;36,"")&amp;IF(AND(AB76=AB40,AC76=AC40),","&amp;37,"")&amp;IF(AND(AB77=AB40,AC77=AC40),","&amp;38,"")&amp;IF(AND(AB78=AB40,AC78=AC40),","&amp;39,"")&amp;IF(AND(AB79=AB40,AC79=AC40),","&amp;40,""),"")</f>
        <v/>
      </c>
      <c r="AJ40" s="58">
        <f>IF(AH40=1,IF(AF40="Motriz","&lt;circle cx='"&amp;SUBSTITUTE(ROUND(AD40,1),",",".")&amp;"' cy='"&amp;SUBSTITUTE(ROUND(AE40,1),",",".")&amp;"' r='6' fill='#2A3439' stroke='#2A3439' stroke-width='1.3'/&gt;",IF(AF40="Enlace","&lt;rect x='"&amp;SUBSTITUTE(ROUND((AD40)-5.52,1),",",".")&amp;"' y='"&amp;SUBSTITUTE(ROUND((AE40)-5.52,1),",",".")&amp;"' width='11.04' height='11.04' fill='#6699CC' stroke='#2A3439' stroke-width='1.3'/&gt;",IF(AF40="Resultado","&lt;path d='M"&amp;SUBSTITUTE(ROUND(AD40,1),",",".")&amp;" "&amp;SUBSTITUTE(ROUND((AE40)-6.9,1),",",".")&amp;"L"&amp;SUBSTITUTE(ROUND((AD40)+6.3,1),",",".")&amp;" "&amp;SUBSTITUTE(ROUND((AE40)+5.1,1),",",".")&amp;"L"&amp;SUBSTITUTE(ROUND((AD40)-6.3,1),",",".")&amp;" "&amp;SUBSTITUTE(ROUND((AE40)+5.1,1),",",".")&amp;"Z' fill='#FFFFFF' stroke='#2A3439' stroke-width='1.3'/&gt;","&lt;path d='M"&amp;SUBSTITUTE(ROUND(AD40,1),",",".")&amp;" "&amp;SUBSTITUTE(ROUND((AE40)-7.5,1),",",".")&amp;"L"&amp;SUBSTITUTE(ROUND((AD40)+7.5,1),",",".")&amp;" "&amp;SUBSTITUTE(ROUND(AE40,1),",",".")&amp;"L"&amp;SUBSTITUTE(ROUND(AD40,1),",",".")&amp;" "&amp;SUBSTITUTE(ROUND((AE40)+7.5,1),",",".")&amp;"L"&amp;SUBSTITUTE(ROUND((AD40)-7.5,1),",",".")&amp;" "&amp;SUBSTITUTE(ROUND(AE40,1),",",".")&amp;"Z' fill='#F5F5F5' stroke='#2A3439' stroke-width='1.3'/&gt;")))&amp;"&lt;text x='"&amp;SUBSTITUTE(ROUND(AD40+9,1),",",".")&amp;"' y='"&amp;SUBSTITUTE(ROUND(AE40-8,1),",",".")&amp;"'&gt;"&amp;AI40&amp;"&lt;/text&gt;","")</f>
        <v/>
      </c>
      <c r="AK40" s="58">
        <f>IF(AA40=1,IF(AF40="Motriz","&lt;circle cx='"&amp;SUBSTITUTE(ROUND(728,1),",",".")&amp;"' cy='"&amp;SUBSTITUTE(ROUND(120,1),",",".")&amp;"' r='4.3' fill='#2A3439' stroke='#2A3439' stroke-width='1.3'/&gt;",IF(AF40="Enlace","&lt;rect x='"&amp;SUBSTITUTE(ROUND((728)-3.96,1),",",".")&amp;"' y='"&amp;SUBSTITUTE(ROUND((120)-3.96,1),",",".")&amp;"' width='7.92' height='7.92' fill='#6699CC' stroke='#2A3439' stroke-width='1.3'/&gt;",IF(AF40="Resultado","&lt;path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AL40" s="58">
        <f>0*$AA$14</f>
        <v/>
      </c>
      <c r="AM40" s="58">
        <f>IF(0&lt;=$AA$16,"&lt;line x1='"&amp;SUBSTITUTE(ROUND(90+AL40*$AA$22,1),",",".")&amp;"' y1='84' x2='"&amp;SUBSTITUTE(ROUND(90+AL40*$AA$22,1),",",".")&amp;"' y2='574' stroke='#FFFFFF'/&gt;&lt;text x='"&amp;SUBSTITUTE(ROUND(90+AL40*$AA$22,1),",",".")&amp;"' y='590' text-anchor='middle'&gt;"&amp;ROUND(AL40*100,2)&amp;" %&lt;/text&gt;","")</f>
        <v/>
      </c>
      <c r="AN40" s="58">
        <f>0*$AA$19</f>
        <v/>
      </c>
      <c r="AO40" s="58">
        <f>IF(0&lt;=$AA$21,"&lt;line x1='90' y1='"&amp;SUBSTITUTE(ROUND(574-AN40*$AA$23,1),",",".")&amp;"' x2='650' y2='"&amp;SUBSTITUTE(ROUND(574-AN40*$AA$23,1),",",".")&amp;"' stroke='#FFFFFF'/&gt;&lt;text x='84' y='"&amp;SUBSTITUTE(ROUND(574-AN40*$AA$23+3,1),",",".")&amp;"' text-anchor='end'&gt;"&amp;ROUND(AN40*100,2)&amp;" %&lt;/text&gt;","")</f>
        <v/>
      </c>
      <c r="AR40" s="58" t="n">
        <v>1</v>
      </c>
      <c r="AS40" s="58">
        <f>IF(AND($AS$4=1,AR40&lt;=nVariables),1,0)</f>
        <v/>
      </c>
      <c r="AT40" s="58">
        <f>IF(AS40=1,'M3'!$F10,"")</f>
        <v/>
      </c>
      <c r="AU40" s="58">
        <f>IF(AS40=1,'M3'!$E10,"")</f>
        <v/>
      </c>
      <c r="AV40" s="58">
        <f>IF(AS40=1,90+AT40*$AS$22,"")</f>
        <v/>
      </c>
      <c r="AW40" s="58">
        <f>IF(AS40=1,574-AU40*$AS$23,"")</f>
        <v/>
      </c>
      <c r="AX40" s="58">
        <f>IF(AS40=1,'M3'!$I10,"")</f>
        <v/>
      </c>
      <c r="AY40" s="58">
        <f>IF(AS40=1,IF(AX40="Motriz","#2A3439",IF(AX40="Enlace","#6699CC",IF(AX40="Resultado","#FFFFFF","#F5F5F5"))),"")</f>
        <v/>
      </c>
      <c r="AZ40" s="58">
        <f>IF(AS40=1,IF(SUMPRODUCT((AT$39:AT39=AT40)*(AU$39:AU39=AU40))=0,1,0),0)</f>
        <v/>
      </c>
      <c r="BA40" s="58">
        <f>IF(AZ40=1,1&amp;IF(AND(AT41=AT40,AU41=AU40),","&amp;2,"")&amp;IF(AND(AT42=AT40,AU42=AU40),","&amp;3,"")&amp;IF(AND(AT43=AT40,AU43=AU40),","&amp;4,"")&amp;IF(AND(AT44=AT40,AU44=AU40),","&amp;5,"")&amp;IF(AND(AT45=AT40,AU45=AU40),","&amp;6,"")&amp;IF(AND(AT46=AT40,AU46=AU40),","&amp;7,"")&amp;IF(AND(AT47=AT40,AU47=AU40),","&amp;8,"")&amp;IF(AND(AT48=AT40,AU48=AU40),","&amp;9,"")&amp;IF(AND(AT49=AT40,AU49=AU40),","&amp;10,"")&amp;IF(AND(AT50=AT40,AU50=AU40),","&amp;11,"")&amp;IF(AND(AT51=AT40,AU51=AU40),","&amp;12,"")&amp;IF(AND(AT52=AT40,AU52=AU40),","&amp;13,"")&amp;IF(AND(AT53=AT40,AU53=AU40),","&amp;14,"")&amp;IF(AND(AT54=AT40,AU54=AU40),","&amp;15,"")&amp;IF(AND(AT55=AT40,AU55=AU40),","&amp;16,"")&amp;IF(AND(AT56=AT40,AU56=AU40),","&amp;17,"")&amp;IF(AND(AT57=AT40,AU57=AU40),","&amp;18,"")&amp;IF(AND(AT58=AT40,AU58=AU40),","&amp;19,"")&amp;IF(AND(AT59=AT40,AU59=AU40),","&amp;20,"")&amp;IF(AND(AT60=AT40,AU60=AU40),","&amp;21,"")&amp;IF(AND(AT61=AT40,AU61=AU40),","&amp;22,"")&amp;IF(AND(AT62=AT40,AU62=AU40),","&amp;23,"")&amp;IF(AND(AT63=AT40,AU63=AU40),","&amp;24,"")&amp;IF(AND(AT64=AT40,AU64=AU40),","&amp;25,"")&amp;IF(AND(AT65=AT40,AU65=AU40),","&amp;26,"")&amp;IF(AND(AT66=AT40,AU66=AU40),","&amp;27,"")&amp;IF(AND(AT67=AT40,AU67=AU40),","&amp;28,"")&amp;IF(AND(AT68=AT40,AU68=AU40),","&amp;29,"")&amp;IF(AND(AT69=AT40,AU69=AU40),","&amp;30,"")&amp;IF(AND(AT70=AT40,AU70=AU40),","&amp;31,"")&amp;IF(AND(AT71=AT40,AU71=AU40),","&amp;32,"")&amp;IF(AND(AT72=AT40,AU72=AU40),","&amp;33,"")&amp;IF(AND(AT73=AT40,AU73=AU40),","&amp;34,"")&amp;IF(AND(AT74=AT40,AU74=AU40),","&amp;35,"")&amp;IF(AND(AT75=AT40,AU75=AU40),","&amp;36,"")&amp;IF(AND(AT76=AT40,AU76=AU40),","&amp;37,"")&amp;IF(AND(AT77=AT40,AU77=AU40),","&amp;38,"")&amp;IF(AND(AT78=AT40,AU78=AU40),","&amp;39,"")&amp;IF(AND(AT79=AT40,AU79=AU40),","&amp;40,""),"")</f>
        <v/>
      </c>
      <c r="BB40" s="58">
        <f>IF(AZ40=1,IF(AX40="Motriz","&lt;circle cx='"&amp;SUBSTITUTE(ROUND(AV40,1),",",".")&amp;"' cy='"&amp;SUBSTITUTE(ROUND(AW40,1),",",".")&amp;"' r='6' fill='#2A3439' stroke='#2A3439' stroke-width='1.3'/&gt;",IF(AX40="Enlace","&lt;rect x='"&amp;SUBSTITUTE(ROUND((AV40)-5.52,1),",",".")&amp;"' y='"&amp;SUBSTITUTE(ROUND((AW40)-5.52,1),",",".")&amp;"' width='11.04' height='11.04' fill='#6699CC' stroke='#2A3439' stroke-width='1.3'/&gt;",IF(AX40="Resultado","&lt;path d='M"&amp;SUBSTITUTE(ROUND(AV40,1),",",".")&amp;" "&amp;SUBSTITUTE(ROUND((AW40)-6.9,1),",",".")&amp;"L"&amp;SUBSTITUTE(ROUND((AV40)+6.3,1),",",".")&amp;" "&amp;SUBSTITUTE(ROUND((AW40)+5.1,1),",",".")&amp;"L"&amp;SUBSTITUTE(ROUND((AV40)-6.3,1),",",".")&amp;" "&amp;SUBSTITUTE(ROUND((AW40)+5.1,1),",",".")&amp;"Z' fill='#FFFFFF' stroke='#2A3439' stroke-width='1.3'/&gt;","&lt;path d='M"&amp;SUBSTITUTE(ROUND(AV40,1),",",".")&amp;" "&amp;SUBSTITUTE(ROUND((AW40)-7.5,1),",",".")&amp;"L"&amp;SUBSTITUTE(ROUND((AV40)+7.5,1),",",".")&amp;" "&amp;SUBSTITUTE(ROUND(AW40,1),",",".")&amp;"L"&amp;SUBSTITUTE(ROUND(AV40,1),",",".")&amp;" "&amp;SUBSTITUTE(ROUND((AW40)+7.5,1),",",".")&amp;"L"&amp;SUBSTITUTE(ROUND((AV40)-7.5,1),",",".")&amp;" "&amp;SUBSTITUTE(ROUND(AW40,1),",",".")&amp;"Z' fill='#F5F5F5' stroke='#2A3439' stroke-width='1.3'/&gt;")))&amp;"&lt;text x='"&amp;SUBSTITUTE(ROUND(AV40+9,1),",",".")&amp;"' y='"&amp;SUBSTITUTE(ROUND(AW40-8,1),",",".")&amp;"'&gt;"&amp;BA40&amp;"&lt;/text&gt;","")</f>
        <v/>
      </c>
      <c r="BC40" s="58">
        <f>IF(AS40=1,IF(AX40="Motriz","&lt;circle cx='"&amp;SUBSTITUTE(ROUND(728,1),",",".")&amp;"' cy='"&amp;SUBSTITUTE(ROUND(120,1),",",".")&amp;"' r='4.3' fill='#2A3439' stroke='#2A3439' stroke-width='1.3'/&gt;",IF(AX40="Enlace","&lt;rect x='"&amp;SUBSTITUTE(ROUND((728)-3.96,1),",",".")&amp;"' y='"&amp;SUBSTITUTE(ROUND((120)-3.96,1),",",".")&amp;"' width='7.92' height='7.92' fill='#6699CC' stroke='#2A3439' stroke-width='1.3'/&gt;",IF(AX40="Resultado","&lt;path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BD40" s="58">
        <f>0*$AS$14</f>
        <v/>
      </c>
      <c r="BE40" s="58">
        <f>IF(0&lt;=$AS$16,"&lt;line x1='"&amp;SUBSTITUTE(ROUND(90+BD40*$AS$22,1),",",".")&amp;"' y1='84' x2='"&amp;SUBSTITUTE(ROUND(90+BD40*$AS$22,1),",",".")&amp;"' y2='574' stroke='#FFFFFF'/&gt;&lt;text x='"&amp;SUBSTITUTE(ROUND(90+BD40*$AS$22,1),",",".")&amp;"' y='590' text-anchor='middle'&gt;"&amp;ROUND(BD40*100,2)&amp;" %&lt;/text&gt;","")</f>
        <v/>
      </c>
      <c r="BF40" s="58">
        <f>0*$AS$19</f>
        <v/>
      </c>
      <c r="BG40" s="58">
        <f>IF(0&lt;=$AS$21,"&lt;line x1='90' y1='"&amp;SUBSTITUTE(ROUND(574-BF40*$AS$23,1),",",".")&amp;"' x2='650' y2='"&amp;SUBSTITUTE(ROUND(574-BF40*$AS$23,1),",",".")&amp;"' stroke='#FFFFFF'/&gt;&lt;text x='84' y='"&amp;SUBSTITUTE(ROUND(574-BF40*$AS$23+3,1),",",".")&amp;"' text-anchor='end'&gt;"&amp;ROUND(BF40*100,2)&amp;" %&lt;/text&gt;","")</f>
        <v/>
      </c>
      <c r="BJ40" s="58" t="n">
        <v>1</v>
      </c>
      <c r="BK40" s="58">
        <f>IF(AND($BK$4=1,BJ40&lt;=nVariables),1,0)</f>
        <v/>
      </c>
      <c r="BL40" s="58">
        <f>IF(BK40=1,'M4'!$F10,"")</f>
        <v/>
      </c>
      <c r="BM40" s="58">
        <f>IF(BK40=1,'M4'!$E10,"")</f>
        <v/>
      </c>
      <c r="BN40" s="58">
        <f>IF(BK40=1,90+BL40*$BK$22,"")</f>
        <v/>
      </c>
      <c r="BO40" s="58">
        <f>IF(BK40=1,574-BM40*$BK$23,"")</f>
        <v/>
      </c>
      <c r="BP40" s="58">
        <f>IF(BK40=1,'M4'!$I10,"")</f>
        <v/>
      </c>
      <c r="BQ40" s="58">
        <f>IF(BK40=1,IF(BP40="Motriz","#2A3439",IF(BP40="Enlace","#6699CC",IF(BP40="Resultado","#FFFFFF","#F5F5F5"))),"")</f>
        <v/>
      </c>
      <c r="BR40" s="58">
        <f>IF(BK40=1,IF(SUMPRODUCT((BL$39:BL39=BL40)*(BM$39:BM39=BM40))=0,1,0),0)</f>
        <v/>
      </c>
      <c r="BS40" s="58">
        <f>IF(BR40=1,1&amp;IF(AND(BL41=BL40,BM41=BM40),","&amp;2,"")&amp;IF(AND(BL42=BL40,BM42=BM40),","&amp;3,"")&amp;IF(AND(BL43=BL40,BM43=BM40),","&amp;4,"")&amp;IF(AND(BL44=BL40,BM44=BM40),","&amp;5,"")&amp;IF(AND(BL45=BL40,BM45=BM40),","&amp;6,"")&amp;IF(AND(BL46=BL40,BM46=BM40),","&amp;7,"")&amp;IF(AND(BL47=BL40,BM47=BM40),","&amp;8,"")&amp;IF(AND(BL48=BL40,BM48=BM40),","&amp;9,"")&amp;IF(AND(BL49=BL40,BM49=BM40),","&amp;10,"")&amp;IF(AND(BL50=BL40,BM50=BM40),","&amp;11,"")&amp;IF(AND(BL51=BL40,BM51=BM40),","&amp;12,"")&amp;IF(AND(BL52=BL40,BM52=BM40),","&amp;13,"")&amp;IF(AND(BL53=BL40,BM53=BM40),","&amp;14,"")&amp;IF(AND(BL54=BL40,BM54=BM40),","&amp;15,"")&amp;IF(AND(BL55=BL40,BM55=BM40),","&amp;16,"")&amp;IF(AND(BL56=BL40,BM56=BM40),","&amp;17,"")&amp;IF(AND(BL57=BL40,BM57=BM40),","&amp;18,"")&amp;IF(AND(BL58=BL40,BM58=BM40),","&amp;19,"")&amp;IF(AND(BL59=BL40,BM59=BM40),","&amp;20,"")&amp;IF(AND(BL60=BL40,BM60=BM40),","&amp;21,"")&amp;IF(AND(BL61=BL40,BM61=BM40),","&amp;22,"")&amp;IF(AND(BL62=BL40,BM62=BM40),","&amp;23,"")&amp;IF(AND(BL63=BL40,BM63=BM40),","&amp;24,"")&amp;IF(AND(BL64=BL40,BM64=BM40),","&amp;25,"")&amp;IF(AND(BL65=BL40,BM65=BM40),","&amp;26,"")&amp;IF(AND(BL66=BL40,BM66=BM40),","&amp;27,"")&amp;IF(AND(BL67=BL40,BM67=BM40),","&amp;28,"")&amp;IF(AND(BL68=BL40,BM68=BM40),","&amp;29,"")&amp;IF(AND(BL69=BL40,BM69=BM40),","&amp;30,"")&amp;IF(AND(BL70=BL40,BM70=BM40),","&amp;31,"")&amp;IF(AND(BL71=BL40,BM71=BM40),","&amp;32,"")&amp;IF(AND(BL72=BL40,BM72=BM40),","&amp;33,"")&amp;IF(AND(BL73=BL40,BM73=BM40),","&amp;34,"")&amp;IF(AND(BL74=BL40,BM74=BM40),","&amp;35,"")&amp;IF(AND(BL75=BL40,BM75=BM40),","&amp;36,"")&amp;IF(AND(BL76=BL40,BM76=BM40),","&amp;37,"")&amp;IF(AND(BL77=BL40,BM77=BM40),","&amp;38,"")&amp;IF(AND(BL78=BL40,BM78=BM40),","&amp;39,"")&amp;IF(AND(BL79=BL40,BM79=BM40),","&amp;40,""),"")</f>
        <v/>
      </c>
      <c r="BT40" s="58">
        <f>IF(BR40=1,IF(BP40="Motriz","&lt;circle cx='"&amp;SUBSTITUTE(ROUND(BN40,1),",",".")&amp;"' cy='"&amp;SUBSTITUTE(ROUND(BO40,1),",",".")&amp;"' r='6' fill='#2A3439' stroke='#2A3439' stroke-width='1.3'/&gt;",IF(BP40="Enlace","&lt;rect x='"&amp;SUBSTITUTE(ROUND((BN40)-5.52,1),",",".")&amp;"' y='"&amp;SUBSTITUTE(ROUND((BO40)-5.52,1),",",".")&amp;"' width='11.04' height='11.04' fill='#6699CC' stroke='#2A3439' stroke-width='1.3'/&gt;",IF(BP40="Resultado","&lt;path d='M"&amp;SUBSTITUTE(ROUND(BN40,1),",",".")&amp;" "&amp;SUBSTITUTE(ROUND((BO40)-6.9,1),",",".")&amp;"L"&amp;SUBSTITUTE(ROUND((BN40)+6.3,1),",",".")&amp;" "&amp;SUBSTITUTE(ROUND((BO40)+5.1,1),",",".")&amp;"L"&amp;SUBSTITUTE(ROUND((BN40)-6.3,1),",",".")&amp;" "&amp;SUBSTITUTE(ROUND((BO40)+5.1,1),",",".")&amp;"Z' fill='#FFFFFF' stroke='#2A3439' stroke-width='1.3'/&gt;","&lt;path d='M"&amp;SUBSTITUTE(ROUND(BN40,1),",",".")&amp;" "&amp;SUBSTITUTE(ROUND((BO40)-7.5,1),",",".")&amp;"L"&amp;SUBSTITUTE(ROUND((BN40)+7.5,1),",",".")&amp;" "&amp;SUBSTITUTE(ROUND(BO40,1),",",".")&amp;"L"&amp;SUBSTITUTE(ROUND(BN40,1),",",".")&amp;" "&amp;SUBSTITUTE(ROUND((BO40)+7.5,1),",",".")&amp;"L"&amp;SUBSTITUTE(ROUND((BN40)-7.5,1),",",".")&amp;" "&amp;SUBSTITUTE(ROUND(BO40,1),",",".")&amp;"Z' fill='#F5F5F5' stroke='#2A3439' stroke-width='1.3'/&gt;")))&amp;"&lt;text x='"&amp;SUBSTITUTE(ROUND(BN40+9,1),",",".")&amp;"' y='"&amp;SUBSTITUTE(ROUND(BO40-8,1),",",".")&amp;"'&gt;"&amp;BS40&amp;"&lt;/text&gt;","")</f>
        <v/>
      </c>
      <c r="BU40" s="58">
        <f>IF(BK40=1,IF(BP40="Motriz","&lt;circle cx='"&amp;SUBSTITUTE(ROUND(728,1),",",".")&amp;"' cy='"&amp;SUBSTITUTE(ROUND(120,1),",",".")&amp;"' r='4.3' fill='#2A3439' stroke='#2A3439' stroke-width='1.3'/&gt;",IF(BP40="Enlace","&lt;rect x='"&amp;SUBSTITUTE(ROUND((728)-3.96,1),",",".")&amp;"' y='"&amp;SUBSTITUTE(ROUND((120)-3.96,1),",",".")&amp;"' width='7.92' height='7.92' fill='#6699CC' stroke='#2A3439' stroke-width='1.3'/&gt;",IF(BP40="Resultado","&lt;path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BV40" s="58">
        <f>0*$BK$14</f>
        <v/>
      </c>
      <c r="BW40" s="58">
        <f>IF(0&lt;=$BK$16,"&lt;line x1='"&amp;SUBSTITUTE(ROUND(90+BV40*$BK$22,1),",",".")&amp;"' y1='84' x2='"&amp;SUBSTITUTE(ROUND(90+BV40*$BK$22,1),",",".")&amp;"' y2='574' stroke='#FFFFFF'/&gt;&lt;text x='"&amp;SUBSTITUTE(ROUND(90+BV40*$BK$22,1),",",".")&amp;"' y='590' text-anchor='middle'&gt;"&amp;ROUND(BV40*100,2)&amp;" %&lt;/text&gt;","")</f>
        <v/>
      </c>
      <c r="BX40" s="58">
        <f>0*$BK$19</f>
        <v/>
      </c>
      <c r="BY40" s="58">
        <f>IF(0&lt;=$BK$21,"&lt;line x1='90' y1='"&amp;SUBSTITUTE(ROUND(574-BX40*$BK$23,1),",",".")&amp;"' x2='650' y2='"&amp;SUBSTITUTE(ROUND(574-BX40*$BK$23,1),",",".")&amp;"' stroke='#FFFFFF'/&gt;&lt;text x='84' y='"&amp;SUBSTITUTE(ROUND(574-BX40*$BK$23+3,1),",",".")&amp;"' text-anchor='end'&gt;"&amp;ROUND(BX40*100,2)&amp;" %&lt;/text&gt;","")</f>
        <v/>
      </c>
      <c r="CB40" s="58" t="n">
        <v>1</v>
      </c>
      <c r="CC40" s="58">
        <f>IF(AND($CC$4=1,CB40&lt;=nVariables),1,0)</f>
        <v/>
      </c>
      <c r="CD40" s="58">
        <f>IF(CC40=1,'M5'!$F10,"")</f>
        <v/>
      </c>
      <c r="CE40" s="58">
        <f>IF(CC40=1,'M5'!$E10,"")</f>
        <v/>
      </c>
      <c r="CF40" s="58">
        <f>IF(CC40=1,90+CD40*$CC$22,"")</f>
        <v/>
      </c>
      <c r="CG40" s="58">
        <f>IF(CC40=1,574-CE40*$CC$23,"")</f>
        <v/>
      </c>
      <c r="CH40" s="58">
        <f>IF(CC40=1,'M5'!$I10,"")</f>
        <v/>
      </c>
      <c r="CI40" s="58">
        <f>IF(CC40=1,IF(CH40="Motriz","#2A3439",IF(CH40="Enlace","#6699CC",IF(CH40="Resultado","#FFFFFF","#F5F5F5"))),"")</f>
        <v/>
      </c>
      <c r="CJ40" s="58">
        <f>IF(CC40=1,IF(SUMPRODUCT((CD$39:CD39=CD40)*(CE$39:CE39=CE40))=0,1,0),0)</f>
        <v/>
      </c>
      <c r="CK40" s="58">
        <f>IF(CJ40=1,1&amp;IF(AND(CD41=CD40,CE41=CE40),","&amp;2,"")&amp;IF(AND(CD42=CD40,CE42=CE40),","&amp;3,"")&amp;IF(AND(CD43=CD40,CE43=CE40),","&amp;4,"")&amp;IF(AND(CD44=CD40,CE44=CE40),","&amp;5,"")&amp;IF(AND(CD45=CD40,CE45=CE40),","&amp;6,"")&amp;IF(AND(CD46=CD40,CE46=CE40),","&amp;7,"")&amp;IF(AND(CD47=CD40,CE47=CE40),","&amp;8,"")&amp;IF(AND(CD48=CD40,CE48=CE40),","&amp;9,"")&amp;IF(AND(CD49=CD40,CE49=CE40),","&amp;10,"")&amp;IF(AND(CD50=CD40,CE50=CE40),","&amp;11,"")&amp;IF(AND(CD51=CD40,CE51=CE40),","&amp;12,"")&amp;IF(AND(CD52=CD40,CE52=CE40),","&amp;13,"")&amp;IF(AND(CD53=CD40,CE53=CE40),","&amp;14,"")&amp;IF(AND(CD54=CD40,CE54=CE40),","&amp;15,"")&amp;IF(AND(CD55=CD40,CE55=CE40),","&amp;16,"")&amp;IF(AND(CD56=CD40,CE56=CE40),","&amp;17,"")&amp;IF(AND(CD57=CD40,CE57=CE40),","&amp;18,"")&amp;IF(AND(CD58=CD40,CE58=CE40),","&amp;19,"")&amp;IF(AND(CD59=CD40,CE59=CE40),","&amp;20,"")&amp;IF(AND(CD60=CD40,CE60=CE40),","&amp;21,"")&amp;IF(AND(CD61=CD40,CE61=CE40),","&amp;22,"")&amp;IF(AND(CD62=CD40,CE62=CE40),","&amp;23,"")&amp;IF(AND(CD63=CD40,CE63=CE40),","&amp;24,"")&amp;IF(AND(CD64=CD40,CE64=CE40),","&amp;25,"")&amp;IF(AND(CD65=CD40,CE65=CE40),","&amp;26,"")&amp;IF(AND(CD66=CD40,CE66=CE40),","&amp;27,"")&amp;IF(AND(CD67=CD40,CE67=CE40),","&amp;28,"")&amp;IF(AND(CD68=CD40,CE68=CE40),","&amp;29,"")&amp;IF(AND(CD69=CD40,CE69=CE40),","&amp;30,"")&amp;IF(AND(CD70=CD40,CE70=CE40),","&amp;31,"")&amp;IF(AND(CD71=CD40,CE71=CE40),","&amp;32,"")&amp;IF(AND(CD72=CD40,CE72=CE40),","&amp;33,"")&amp;IF(AND(CD73=CD40,CE73=CE40),","&amp;34,"")&amp;IF(AND(CD74=CD40,CE74=CE40),","&amp;35,"")&amp;IF(AND(CD75=CD40,CE75=CE40),","&amp;36,"")&amp;IF(AND(CD76=CD40,CE76=CE40),","&amp;37,"")&amp;IF(AND(CD77=CD40,CE77=CE40),","&amp;38,"")&amp;IF(AND(CD78=CD40,CE78=CE40),","&amp;39,"")&amp;IF(AND(CD79=CD40,CE79=CE40),","&amp;40,""),"")</f>
        <v/>
      </c>
      <c r="CL40" s="58">
        <f>IF(CJ40=1,IF(CH40="Motriz","&lt;circle cx='"&amp;SUBSTITUTE(ROUND(CF40,1),",",".")&amp;"' cy='"&amp;SUBSTITUTE(ROUND(CG40,1),",",".")&amp;"' r='6' fill='#2A3439' stroke='#2A3439' stroke-width='1.3'/&gt;",IF(CH40="Enlace","&lt;rect x='"&amp;SUBSTITUTE(ROUND((CF40)-5.52,1),",",".")&amp;"' y='"&amp;SUBSTITUTE(ROUND((CG40)-5.52,1),",",".")&amp;"' width='11.04' height='11.04' fill='#6699CC' stroke='#2A3439' stroke-width='1.3'/&gt;",IF(CH40="Resultado","&lt;path d='M"&amp;SUBSTITUTE(ROUND(CF40,1),",",".")&amp;" "&amp;SUBSTITUTE(ROUND((CG40)-6.9,1),",",".")&amp;"L"&amp;SUBSTITUTE(ROUND((CF40)+6.3,1),",",".")&amp;" "&amp;SUBSTITUTE(ROUND((CG40)+5.1,1),",",".")&amp;"L"&amp;SUBSTITUTE(ROUND((CF40)-6.3,1),",",".")&amp;" "&amp;SUBSTITUTE(ROUND((CG40)+5.1,1),",",".")&amp;"Z' fill='#FFFFFF' stroke='#2A3439' stroke-width='1.3'/&gt;","&lt;path d='M"&amp;SUBSTITUTE(ROUND(CF40,1),",",".")&amp;" "&amp;SUBSTITUTE(ROUND((CG40)-7.5,1),",",".")&amp;"L"&amp;SUBSTITUTE(ROUND((CF40)+7.5,1),",",".")&amp;" "&amp;SUBSTITUTE(ROUND(CG40,1),",",".")&amp;"L"&amp;SUBSTITUTE(ROUND(CF40,1),",",".")&amp;" "&amp;SUBSTITUTE(ROUND((CG40)+7.5,1),",",".")&amp;"L"&amp;SUBSTITUTE(ROUND((CF40)-7.5,1),",",".")&amp;" "&amp;SUBSTITUTE(ROUND(CG40,1),",",".")&amp;"Z' fill='#F5F5F5' stroke='#2A3439' stroke-width='1.3'/&gt;")))&amp;"&lt;text x='"&amp;SUBSTITUTE(ROUND(CF40+9,1),",",".")&amp;"' y='"&amp;SUBSTITUTE(ROUND(CG40-8,1),",",".")&amp;"'&gt;"&amp;CK40&amp;"&lt;/text&gt;","")</f>
        <v/>
      </c>
      <c r="CM40" s="58">
        <f>IF(CC40=1,IF(CH40="Motriz","&lt;circle cx='"&amp;SUBSTITUTE(ROUND(728,1),",",".")&amp;"' cy='"&amp;SUBSTITUTE(ROUND(120,1),",",".")&amp;"' r='4.3' fill='#2A3439' stroke='#2A3439' stroke-width='1.3'/&gt;",IF(CH40="Enlace","&lt;rect x='"&amp;SUBSTITUTE(ROUND((728)-3.96,1),",",".")&amp;"' y='"&amp;SUBSTITUTE(ROUND((120)-3.96,1),",",".")&amp;"' width='7.92' height='7.92' fill='#6699CC' stroke='#2A3439' stroke-width='1.3'/&gt;",IF(CH40="Resultado","&lt;path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CN40" s="58">
        <f>0*$CC$14</f>
        <v/>
      </c>
      <c r="CO40" s="58">
        <f>IF(0&lt;=$CC$16,"&lt;line x1='"&amp;SUBSTITUTE(ROUND(90+CN40*$CC$22,1),",",".")&amp;"' y1='84' x2='"&amp;SUBSTITUTE(ROUND(90+CN40*$CC$22,1),",",".")&amp;"' y2='574' stroke='#FFFFFF'/&gt;&lt;text x='"&amp;SUBSTITUTE(ROUND(90+CN40*$CC$22,1),",",".")&amp;"' y='590' text-anchor='middle'&gt;"&amp;ROUND(CN40*100,2)&amp;" %&lt;/text&gt;","")</f>
        <v/>
      </c>
      <c r="CP40" s="58">
        <f>0*$CC$19</f>
        <v/>
      </c>
      <c r="CQ40" s="58">
        <f>IF(0&lt;=$CC$21,"&lt;line x1='90' y1='"&amp;SUBSTITUTE(ROUND(574-CP40*$CC$23,1),",",".")&amp;"' x2='650' y2='"&amp;SUBSTITUTE(ROUND(574-CP40*$CC$23,1),",",".")&amp;"' stroke='#FFFFFF'/&gt;&lt;text x='84' y='"&amp;SUBSTITUTE(ROUND(574-CP40*$CC$23+3,1),",",".")&amp;"' text-anchor='end'&gt;"&amp;ROUND(CP40*100,2)&amp;" %&lt;/text&gt;","")</f>
        <v/>
      </c>
      <c r="CT40" s="58" t="n">
        <v>1</v>
      </c>
      <c r="CU40" s="58">
        <f>IF(AND($CU$4=1,CT40&lt;=nVariables),1,0)</f>
        <v/>
      </c>
      <c r="CV40" s="58">
        <f>IF(CU40=1,'M6'!$F10,"")</f>
        <v/>
      </c>
      <c r="CW40" s="58">
        <f>IF(CU40=1,'M6'!$E10,"")</f>
        <v/>
      </c>
      <c r="CX40" s="58">
        <f>IF(CU40=1,90+CV40*$CU$22,"")</f>
        <v/>
      </c>
      <c r="CY40" s="58">
        <f>IF(CU40=1,574-CW40*$CU$23,"")</f>
        <v/>
      </c>
      <c r="CZ40" s="58">
        <f>IF(CU40=1,'M6'!$I10,"")</f>
        <v/>
      </c>
      <c r="DA40" s="58">
        <f>IF(CU40=1,IF(CZ40="Motriz","#2A3439",IF(CZ40="Enlace","#6699CC",IF(CZ40="Resultado","#FFFFFF","#F5F5F5"))),"")</f>
        <v/>
      </c>
      <c r="DB40" s="58">
        <f>IF(CU40=1,IF(SUMPRODUCT((CV$39:CV39=CV40)*(CW$39:CW39=CW40))=0,1,0),0)</f>
        <v/>
      </c>
      <c r="DC40" s="58">
        <f>IF(DB40=1,1&amp;IF(AND(CV41=CV40,CW41=CW40),","&amp;2,"")&amp;IF(AND(CV42=CV40,CW42=CW40),","&amp;3,"")&amp;IF(AND(CV43=CV40,CW43=CW40),","&amp;4,"")&amp;IF(AND(CV44=CV40,CW44=CW40),","&amp;5,"")&amp;IF(AND(CV45=CV40,CW45=CW40),","&amp;6,"")&amp;IF(AND(CV46=CV40,CW46=CW40),","&amp;7,"")&amp;IF(AND(CV47=CV40,CW47=CW40),","&amp;8,"")&amp;IF(AND(CV48=CV40,CW48=CW40),","&amp;9,"")&amp;IF(AND(CV49=CV40,CW49=CW40),","&amp;10,"")&amp;IF(AND(CV50=CV40,CW50=CW40),","&amp;11,"")&amp;IF(AND(CV51=CV40,CW51=CW40),","&amp;12,"")&amp;IF(AND(CV52=CV40,CW52=CW40),","&amp;13,"")&amp;IF(AND(CV53=CV40,CW53=CW40),","&amp;14,"")&amp;IF(AND(CV54=CV40,CW54=CW40),","&amp;15,"")&amp;IF(AND(CV55=CV40,CW55=CW40),","&amp;16,"")&amp;IF(AND(CV56=CV40,CW56=CW40),","&amp;17,"")&amp;IF(AND(CV57=CV40,CW57=CW40),","&amp;18,"")&amp;IF(AND(CV58=CV40,CW58=CW40),","&amp;19,"")&amp;IF(AND(CV59=CV40,CW59=CW40),","&amp;20,"")&amp;IF(AND(CV60=CV40,CW60=CW40),","&amp;21,"")&amp;IF(AND(CV61=CV40,CW61=CW40),","&amp;22,"")&amp;IF(AND(CV62=CV40,CW62=CW40),","&amp;23,"")&amp;IF(AND(CV63=CV40,CW63=CW40),","&amp;24,"")&amp;IF(AND(CV64=CV40,CW64=CW40),","&amp;25,"")&amp;IF(AND(CV65=CV40,CW65=CW40),","&amp;26,"")&amp;IF(AND(CV66=CV40,CW66=CW40),","&amp;27,"")&amp;IF(AND(CV67=CV40,CW67=CW40),","&amp;28,"")&amp;IF(AND(CV68=CV40,CW68=CW40),","&amp;29,"")&amp;IF(AND(CV69=CV40,CW69=CW40),","&amp;30,"")&amp;IF(AND(CV70=CV40,CW70=CW40),","&amp;31,"")&amp;IF(AND(CV71=CV40,CW71=CW40),","&amp;32,"")&amp;IF(AND(CV72=CV40,CW72=CW40),","&amp;33,"")&amp;IF(AND(CV73=CV40,CW73=CW40),","&amp;34,"")&amp;IF(AND(CV74=CV40,CW74=CW40),","&amp;35,"")&amp;IF(AND(CV75=CV40,CW75=CW40),","&amp;36,"")&amp;IF(AND(CV76=CV40,CW76=CW40),","&amp;37,"")&amp;IF(AND(CV77=CV40,CW77=CW40),","&amp;38,"")&amp;IF(AND(CV78=CV40,CW78=CW40),","&amp;39,"")&amp;IF(AND(CV79=CV40,CW79=CW40),","&amp;40,""),"")</f>
        <v/>
      </c>
      <c r="DD40" s="58">
        <f>IF(DB40=1,IF(CZ40="Motriz","&lt;circle cx='"&amp;SUBSTITUTE(ROUND(CX40,1),",",".")&amp;"' cy='"&amp;SUBSTITUTE(ROUND(CY40,1),",",".")&amp;"' r='6' fill='#2A3439' stroke='#2A3439' stroke-width='1.3'/&gt;",IF(CZ40="Enlace","&lt;rect x='"&amp;SUBSTITUTE(ROUND((CX40)-5.52,1),",",".")&amp;"' y='"&amp;SUBSTITUTE(ROUND((CY40)-5.52,1),",",".")&amp;"' width='11.04' height='11.04' fill='#6699CC' stroke='#2A3439' stroke-width='1.3'/&gt;",IF(CZ40="Resultado","&lt;path d='M"&amp;SUBSTITUTE(ROUND(CX40,1),",",".")&amp;" "&amp;SUBSTITUTE(ROUND((CY40)-6.9,1),",",".")&amp;"L"&amp;SUBSTITUTE(ROUND((CX40)+6.3,1),",",".")&amp;" "&amp;SUBSTITUTE(ROUND((CY40)+5.1,1),",",".")&amp;"L"&amp;SUBSTITUTE(ROUND((CX40)-6.3,1),",",".")&amp;" "&amp;SUBSTITUTE(ROUND((CY40)+5.1,1),",",".")&amp;"Z' fill='#FFFFFF' stroke='#2A3439' stroke-width='1.3'/&gt;","&lt;path d='M"&amp;SUBSTITUTE(ROUND(CX40,1),",",".")&amp;" "&amp;SUBSTITUTE(ROUND((CY40)-7.5,1),",",".")&amp;"L"&amp;SUBSTITUTE(ROUND((CX40)+7.5,1),",",".")&amp;" "&amp;SUBSTITUTE(ROUND(CY40,1),",",".")&amp;"L"&amp;SUBSTITUTE(ROUND(CX40,1),",",".")&amp;" "&amp;SUBSTITUTE(ROUND((CY40)+7.5,1),",",".")&amp;"L"&amp;SUBSTITUTE(ROUND((CX40)-7.5,1),",",".")&amp;" "&amp;SUBSTITUTE(ROUND(CY40,1),",",".")&amp;"Z' fill='#F5F5F5' stroke='#2A3439' stroke-width='1.3'/&gt;")))&amp;"&lt;text x='"&amp;SUBSTITUTE(ROUND(CX40+9,1),",",".")&amp;"' y='"&amp;SUBSTITUTE(ROUND(CY40-8,1),",",".")&amp;"'&gt;"&amp;DC40&amp;"&lt;/text&gt;","")</f>
        <v/>
      </c>
      <c r="DE40" s="58">
        <f>IF(CU40=1,IF(CZ40="Motriz","&lt;circle cx='"&amp;SUBSTITUTE(ROUND(728,1),",",".")&amp;"' cy='"&amp;SUBSTITUTE(ROUND(120,1),",",".")&amp;"' r='4.3' fill='#2A3439' stroke='#2A3439' stroke-width='1.3'/&gt;",IF(CZ40="Enlace","&lt;rect x='"&amp;SUBSTITUTE(ROUND((728)-3.96,1),",",".")&amp;"' y='"&amp;SUBSTITUTE(ROUND((120)-3.96,1),",",".")&amp;"' width='7.92' height='7.92' fill='#6699CC' stroke='#2A3439' stroke-width='1.3'/&gt;",IF(CZ40="Resultado","&lt;path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DF40" s="58">
        <f>0*$CU$14</f>
        <v/>
      </c>
      <c r="DG40" s="58">
        <f>IF(0&lt;=$CU$16,"&lt;line x1='"&amp;SUBSTITUTE(ROUND(90+DF40*$CU$22,1),",",".")&amp;"' y1='84' x2='"&amp;SUBSTITUTE(ROUND(90+DF40*$CU$22,1),",",".")&amp;"' y2='574' stroke='#FFFFFF'/&gt;&lt;text x='"&amp;SUBSTITUTE(ROUND(90+DF40*$CU$22,1),",",".")&amp;"' y='590' text-anchor='middle'&gt;"&amp;ROUND(DF40*100,2)&amp;" %&lt;/text&gt;","")</f>
        <v/>
      </c>
      <c r="DH40" s="58">
        <f>0*$CU$19</f>
        <v/>
      </c>
      <c r="DI40" s="58">
        <f>IF(0&lt;=$CU$21,"&lt;line x1='90' y1='"&amp;SUBSTITUTE(ROUND(574-DH40*$CU$23,1),",",".")&amp;"' x2='650' y2='"&amp;SUBSTITUTE(ROUND(574-DH40*$CU$23,1),",",".")&amp;"' stroke='#FFFFFF'/&gt;&lt;text x='84' y='"&amp;SUBSTITUTE(ROUND(574-DH40*$CU$23+3,1),",",".")&amp;"' text-anchor='end'&gt;"&amp;ROUND(DH40*100,2)&amp;" %&lt;/text&gt;","")</f>
        <v/>
      </c>
      <c r="DL40" s="58" t="inlineStr">
        <is>
          <t>SVG: efecto final y problema central</t>
        </is>
      </c>
      <c r="DM40" s="59">
        <f>_xlfn._LONGTEXT("&lt;g id='central'&gt;&lt;rect x='280' y='76' width='640' height='58' rx='10' fill='#B9D9EB' stroke='#2A3439' stroke-width='1.5'/&gt;&lt;g fill='#2A3439' text-anchor='middle'&gt;&lt;text x='600' y='94' font-size='12' font-weight='bold'&gt;EFECTO FINAL&lt;/text&gt;&lt;text x='600' y='111'"," font-size='11'&gt;")&amp;SUBSTITUTE(SUBSTITUTE(SUBSTITUTE(SUBSTITUTE(SUBSTITUTE(SUBSTITUTE(SUBSTITUTE(TRIM(CLEAN($DM$32)),"&amp;","&amp;amp;"),"&lt;","&amp;lt;"),"&gt;","&amp;gt;"),CHAR(34),"&amp;quot;"),CHAR(10)," "),CHAR(9)," "),CHAR(13)," ")&amp;"&lt;/text&gt;&lt;text x='600' y='126' font-size='11'&gt;"&amp;SUBSTITUTE(SUBSTITUTE(SUBSTITUTE(SUBSTITUTE(SUBSTITUTE(SUBSTITUTE(SUBSTITUTE(TRIM(CLEAN($DM$33)),"&amp;","&amp;amp;"),"&lt;","&amp;lt;"),"&gt;","&amp;gt;"),CHAR(34),"&amp;quot;"),CHAR(10)," "),CHAR(9)," "),CHAR(13)," ")&amp;"&lt;/text&gt;&lt;/g&gt;&lt;rect x='150' y='"&amp;SUBSTITUTE(ROUND($DM$19,1),",",".")&amp;"' width='900' height='76' rx='10' fill='#2A3439'/&gt;&lt;g fill='#FFFFFF' text-anchor='middle'&gt;&lt;text x='600' y='"&amp;SUBSTITUTE(ROUND($DM$19+20,1),",",".")&amp;"' font-size='12' font-weight='bold'&gt;② PROBLEMA CENTRAL&lt;/text&gt;&lt;text x='600' y='"&amp;SUBSTITUTE(ROUND($DM$19+41,1),",",".")&amp;"' font-size='11'&gt;"&amp;SUBSTITUTE(SUBSTITUTE(SUBSTITUTE(SUBSTITUTE(SUBSTITUTE(SUBSTITUTE(SUBSTITUTE(TRIM(CLEAN($DM$36)),"&amp;","&amp;amp;"),"&lt;","&amp;lt;"),"&gt;","&amp;gt;"),CHAR(34),"&amp;quot;"),CHAR(10)," "),CHAR(9)," "),CHAR(13)," ")&amp;"&lt;/text&gt;&lt;text x='600' y='"&amp;SUBSTITUTE(ROUND($DM$19+58,1),",",".")&amp;"' font-size='11'&gt;"&amp;SUBSTITUTE(SUBSTITUTE(SUBSTITUTE(SUBSTITUTE(SUBSTITUTE(SUBSTITUTE(SUBSTITUTE(TRIM(CLEAN($DM$37)),"&amp;","&amp;amp;"),"&lt;","&amp;lt;"),"&gt;","&amp;gt;"),CHAR(34),"&amp;quot;"),CHAR(10)," "),CHAR(9)," "),CHAR(13)," ")&amp;"&lt;/text&gt;&lt;/g&gt;&lt;/g&gt;"</f>
        <v/>
      </c>
    </row>
    <row r="41">
      <c r="A41" s="58" t="n">
        <v>2</v>
      </c>
      <c r="B41" s="58">
        <f>IF($A41&lt;=nVariables,SUBSTITUTE(SUBSTITUTE(SUBSTITUTE(SUBSTITUTE(SUBSTITUTE(SUBSTITUTE(SUBSTITUTE(TRIM(CLEAN(IF(LEN(TRIM(M!$B11))&gt;46,LEFT(TRIM(M!$B11),45)&amp;"…",TRIM(M!$B11)))),"&amp;","&amp;amp;"),"&lt;","&amp;lt;"),"&gt;","&amp;gt;"),CHAR(34),"&amp;quot;"),CHAR(10)," "),CHAR(9)," "),CHAR(13)," "),"")</f>
        <v/>
      </c>
      <c r="C41" s="58">
        <f>IF($A41&lt;=nVariables,$A41&amp;". "&amp;B41,"")</f>
        <v/>
      </c>
      <c r="D41" s="58">
        <f>IF($A41&lt;=nVariables,IF(TRIM(M!$C11)&lt;&gt;"",TRIM(M!$C11),IF(LEN(TRIM(M!$B11))&gt;24,LEFT(TRIM(M!$B11),23)&amp;"…",TRIM(M!$B11))),"")</f>
        <v/>
      </c>
      <c r="E41" s="58">
        <f>IF($A41&lt;=nVariables,TRIM('Árbol de Problemas'!$F20),"")</f>
        <v/>
      </c>
      <c r="H41" s="58" t="n">
        <v>2</v>
      </c>
      <c r="I41" s="58">
        <f>IF(AND($I$4=1,H41&lt;=nVariables),1,0)</f>
        <v/>
      </c>
      <c r="J41" s="58">
        <f>IF(I41=1,'M1'!$F11,"")</f>
        <v/>
      </c>
      <c r="K41" s="58">
        <f>IF(I41=1,'M1'!$E11,"")</f>
        <v/>
      </c>
      <c r="L41" s="58">
        <f>IF(I41=1,90+J41*$I$22,"")</f>
        <v/>
      </c>
      <c r="M41" s="58">
        <f>IF(I41=1,574-K41*$I$23,"")</f>
        <v/>
      </c>
      <c r="N41" s="58">
        <f>IF(I41=1,'M1'!$I11,"")</f>
        <v/>
      </c>
      <c r="O41" s="58">
        <f>IF(I41=1,IF(N41="Motriz","#2A3439",IF(N41="Enlace","#6699CC",IF(N41="Resultado","#FFFFFF","#F5F5F5"))),"")</f>
        <v/>
      </c>
      <c r="P41" s="58">
        <f>IF(I41=1,IF(SUMPRODUCT((J$39:J40=J41)*(K$39:K40=K41))=0,1,0),0)</f>
        <v/>
      </c>
      <c r="Q41" s="58">
        <f>IF(P41=1,2&amp;IF(AND(J42=J41,K42=K41),","&amp;3,"")&amp;IF(AND(J43=J41,K43=K41),","&amp;4,"")&amp;IF(AND(J44=J41,K44=K41),","&amp;5,"")&amp;IF(AND(J45=J41,K45=K41),","&amp;6,"")&amp;IF(AND(J46=J41,K46=K41),","&amp;7,"")&amp;IF(AND(J47=J41,K47=K41),","&amp;8,"")&amp;IF(AND(J48=J41,K48=K41),","&amp;9,"")&amp;IF(AND(J49=J41,K49=K41),","&amp;10,"")&amp;IF(AND(J50=J41,K50=K41),","&amp;11,"")&amp;IF(AND(J51=J41,K51=K41),","&amp;12,"")&amp;IF(AND(J52=J41,K52=K41),","&amp;13,"")&amp;IF(AND(J53=J41,K53=K41),","&amp;14,"")&amp;IF(AND(J54=J41,K54=K41),","&amp;15,"")&amp;IF(AND(J55=J41,K55=K41),","&amp;16,"")&amp;IF(AND(J56=J41,K56=K41),","&amp;17,"")&amp;IF(AND(J57=J41,K57=K41),","&amp;18,"")&amp;IF(AND(J58=J41,K58=K41),","&amp;19,"")&amp;IF(AND(J59=J41,K59=K41),","&amp;20,"")&amp;IF(AND(J60=J41,K60=K41),","&amp;21,"")&amp;IF(AND(J61=J41,K61=K41),","&amp;22,"")&amp;IF(AND(J62=J41,K62=K41),","&amp;23,"")&amp;IF(AND(J63=J41,K63=K41),","&amp;24,"")&amp;IF(AND(J64=J41,K64=K41),","&amp;25,"")&amp;IF(AND(J65=J41,K65=K41),","&amp;26,"")&amp;IF(AND(J66=J41,K66=K41),","&amp;27,"")&amp;IF(AND(J67=J41,K67=K41),","&amp;28,"")&amp;IF(AND(J68=J41,K68=K41),","&amp;29,"")&amp;IF(AND(J69=J41,K69=K41),","&amp;30,"")&amp;IF(AND(J70=J41,K70=K41),","&amp;31,"")&amp;IF(AND(J71=J41,K71=K41),","&amp;32,"")&amp;IF(AND(J72=J41,K72=K41),","&amp;33,"")&amp;IF(AND(J73=J41,K73=K41),","&amp;34,"")&amp;IF(AND(J74=J41,K74=K41),","&amp;35,"")&amp;IF(AND(J75=J41,K75=K41),","&amp;36,"")&amp;IF(AND(J76=J41,K76=K41),","&amp;37,"")&amp;IF(AND(J77=J41,K77=K41),","&amp;38,"")&amp;IF(AND(J78=J41,K78=K41),","&amp;39,"")&amp;IF(AND(J79=J41,K79=K41),","&amp;40,""),"")</f>
        <v/>
      </c>
      <c r="R41" s="58">
        <f>IF(P41=1,IF(N41="Motriz","&lt;circle cx='"&amp;SUBSTITUTE(ROUND(L41,1),",",".")&amp;"' cy='"&amp;SUBSTITUTE(ROUND(M41,1),",",".")&amp;"' r='6' fill='#2A3439' stroke='#2A3439' stroke-width='1.3'/&gt;",IF(N41="Enlace","&lt;rect x='"&amp;SUBSTITUTE(ROUND((L41)-5.52,1),",",".")&amp;"' y='"&amp;SUBSTITUTE(ROUND((M41)-5.52,1),",",".")&amp;"' width='11.04' height='11.04' fill='#6699CC' stroke='#2A3439' stroke-width='1.3'/&gt;",IF(N41="Resultado","&lt;path d='M"&amp;SUBSTITUTE(ROUND(L41,1),",",".")&amp;" "&amp;SUBSTITUTE(ROUND((M41)-6.9,1),",",".")&amp;"L"&amp;SUBSTITUTE(ROUND((L41)+6.3,1),",",".")&amp;" "&amp;SUBSTITUTE(ROUND((M41)+5.1,1),",",".")&amp;"L"&amp;SUBSTITUTE(ROUND((L41)-6.3,1),",",".")&amp;" "&amp;SUBSTITUTE(ROUND((M41)+5.1,1),",",".")&amp;"Z' fill='#FFFFFF' stroke='#2A3439' stroke-width='1.3'/&gt;","&lt;path d='M"&amp;SUBSTITUTE(ROUND(L41,1),",",".")&amp;" "&amp;SUBSTITUTE(ROUND((M41)-7.5,1),",",".")&amp;"L"&amp;SUBSTITUTE(ROUND((L41)+7.5,1),",",".")&amp;" "&amp;SUBSTITUTE(ROUND(M41,1),",",".")&amp;"L"&amp;SUBSTITUTE(ROUND(L41,1),",",".")&amp;" "&amp;SUBSTITUTE(ROUND((M41)+7.5,1),",",".")&amp;"L"&amp;SUBSTITUTE(ROUND((L41)-7.5,1),",",".")&amp;" "&amp;SUBSTITUTE(ROUND(M41,1),",",".")&amp;"Z' fill='#F5F5F5' stroke='#2A3439' stroke-width='1.3'/&gt;")))&amp;"&lt;text x='"&amp;SUBSTITUTE(ROUND(L41+9,1),",",".")&amp;"' y='"&amp;SUBSTITUTE(ROUND(M41-8,1),",",".")&amp;"'&gt;"&amp;Q41&amp;"&lt;/text&gt;","")</f>
        <v/>
      </c>
      <c r="S41" s="58">
        <f>IF(I41=1,IF(N41="Motriz","&lt;circle cx='"&amp;SUBSTITUTE(ROUND(728,1),",",".")&amp;"' cy='"&amp;SUBSTITUTE(ROUND(134.2,1),",",".")&amp;"' r='4.3' fill='#2A3439' stroke='#2A3439' stroke-width='1.3'/&gt;",IF(N41="Enlace","&lt;rect x='"&amp;SUBSTITUTE(ROUND((728)-3.96,1),",",".")&amp;"' y='"&amp;SUBSTITUTE(ROUND((134.2)-3.96,1),",",".")&amp;"' width='7.92' height='7.92' fill='#6699CC' stroke='#2A3439' stroke-width='1.3'/&gt;",IF(N41="Resultado","&lt;path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T41" s="58">
        <f>1*$I$14</f>
        <v/>
      </c>
      <c r="U41" s="58">
        <f>IF(1&lt;=$I$16,"&lt;line x1='"&amp;SUBSTITUTE(ROUND(90+T41*$I$22,1),",",".")&amp;"' y1='84' x2='"&amp;SUBSTITUTE(ROUND(90+T41*$I$22,1),",",".")&amp;"' y2='574' stroke='#FFFFFF'/&gt;&lt;text x='"&amp;SUBSTITUTE(ROUND(90+T41*$I$22,1),",",".")&amp;"' y='590' text-anchor='middle'&gt;"&amp;ROUND(T41*100,2)&amp;" %&lt;/text&gt;","")</f>
        <v/>
      </c>
      <c r="V41" s="58">
        <f>1*$I$19</f>
        <v/>
      </c>
      <c r="W41" s="58">
        <f>IF(1&lt;=$I$21,"&lt;line x1='90' y1='"&amp;SUBSTITUTE(ROUND(574-V41*$I$23,1),",",".")&amp;"' x2='650' y2='"&amp;SUBSTITUTE(ROUND(574-V41*$I$23,1),",",".")&amp;"' stroke='#FFFFFF'/&gt;&lt;text x='84' y='"&amp;SUBSTITUTE(ROUND(574-V41*$I$23+3,1),",",".")&amp;"' text-anchor='end'&gt;"&amp;ROUND(V41*100,2)&amp;" %&lt;/text&gt;","")</f>
        <v/>
      </c>
      <c r="Z41" s="58" t="n">
        <v>2</v>
      </c>
      <c r="AA41" s="58">
        <f>IF(AND($AA$4=1,Z41&lt;=nVariables),1,0)</f>
        <v/>
      </c>
      <c r="AB41" s="58">
        <f>IF(AA41=1,'M2'!$F11,"")</f>
        <v/>
      </c>
      <c r="AC41" s="58">
        <f>IF(AA41=1,'M2'!$E11,"")</f>
        <v/>
      </c>
      <c r="AD41" s="58">
        <f>IF(AA41=1,90+AB41*$AA$22,"")</f>
        <v/>
      </c>
      <c r="AE41" s="58">
        <f>IF(AA41=1,574-AC41*$AA$23,"")</f>
        <v/>
      </c>
      <c r="AF41" s="58">
        <f>IF(AA41=1,'M2'!$I11,"")</f>
        <v/>
      </c>
      <c r="AG41" s="58">
        <f>IF(AA41=1,IF(AF41="Motriz","#2A3439",IF(AF41="Enlace","#6699CC",IF(AF41="Resultado","#FFFFFF","#F5F5F5"))),"")</f>
        <v/>
      </c>
      <c r="AH41" s="58">
        <f>IF(AA41=1,IF(SUMPRODUCT((AB$39:AB40=AB41)*(AC$39:AC40=AC41))=0,1,0),0)</f>
        <v/>
      </c>
      <c r="AI41" s="58">
        <f>IF(AH41=1,2&amp;IF(AND(AB42=AB41,AC42=AC41),","&amp;3,"")&amp;IF(AND(AB43=AB41,AC43=AC41),","&amp;4,"")&amp;IF(AND(AB44=AB41,AC44=AC41),","&amp;5,"")&amp;IF(AND(AB45=AB41,AC45=AC41),","&amp;6,"")&amp;IF(AND(AB46=AB41,AC46=AC41),","&amp;7,"")&amp;IF(AND(AB47=AB41,AC47=AC41),","&amp;8,"")&amp;IF(AND(AB48=AB41,AC48=AC41),","&amp;9,"")&amp;IF(AND(AB49=AB41,AC49=AC41),","&amp;10,"")&amp;IF(AND(AB50=AB41,AC50=AC41),","&amp;11,"")&amp;IF(AND(AB51=AB41,AC51=AC41),","&amp;12,"")&amp;IF(AND(AB52=AB41,AC52=AC41),","&amp;13,"")&amp;IF(AND(AB53=AB41,AC53=AC41),","&amp;14,"")&amp;IF(AND(AB54=AB41,AC54=AC41),","&amp;15,"")&amp;IF(AND(AB55=AB41,AC55=AC41),","&amp;16,"")&amp;IF(AND(AB56=AB41,AC56=AC41),","&amp;17,"")&amp;IF(AND(AB57=AB41,AC57=AC41),","&amp;18,"")&amp;IF(AND(AB58=AB41,AC58=AC41),","&amp;19,"")&amp;IF(AND(AB59=AB41,AC59=AC41),","&amp;20,"")&amp;IF(AND(AB60=AB41,AC60=AC41),","&amp;21,"")&amp;IF(AND(AB61=AB41,AC61=AC41),","&amp;22,"")&amp;IF(AND(AB62=AB41,AC62=AC41),","&amp;23,"")&amp;IF(AND(AB63=AB41,AC63=AC41),","&amp;24,"")&amp;IF(AND(AB64=AB41,AC64=AC41),","&amp;25,"")&amp;IF(AND(AB65=AB41,AC65=AC41),","&amp;26,"")&amp;IF(AND(AB66=AB41,AC66=AC41),","&amp;27,"")&amp;IF(AND(AB67=AB41,AC67=AC41),","&amp;28,"")&amp;IF(AND(AB68=AB41,AC68=AC41),","&amp;29,"")&amp;IF(AND(AB69=AB41,AC69=AC41),","&amp;30,"")&amp;IF(AND(AB70=AB41,AC70=AC41),","&amp;31,"")&amp;IF(AND(AB71=AB41,AC71=AC41),","&amp;32,"")&amp;IF(AND(AB72=AB41,AC72=AC41),","&amp;33,"")&amp;IF(AND(AB73=AB41,AC73=AC41),","&amp;34,"")&amp;IF(AND(AB74=AB41,AC74=AC41),","&amp;35,"")&amp;IF(AND(AB75=AB41,AC75=AC41),","&amp;36,"")&amp;IF(AND(AB76=AB41,AC76=AC41),","&amp;37,"")&amp;IF(AND(AB77=AB41,AC77=AC41),","&amp;38,"")&amp;IF(AND(AB78=AB41,AC78=AC41),","&amp;39,"")&amp;IF(AND(AB79=AB41,AC79=AC41),","&amp;40,""),"")</f>
        <v/>
      </c>
      <c r="AJ41" s="58">
        <f>IF(AH41=1,IF(AF41="Motriz","&lt;circle cx='"&amp;SUBSTITUTE(ROUND(AD41,1),",",".")&amp;"' cy='"&amp;SUBSTITUTE(ROUND(AE41,1),",",".")&amp;"' r='6' fill='#2A3439' stroke='#2A3439' stroke-width='1.3'/&gt;",IF(AF41="Enlace","&lt;rect x='"&amp;SUBSTITUTE(ROUND((AD41)-5.52,1),",",".")&amp;"' y='"&amp;SUBSTITUTE(ROUND((AE41)-5.52,1),",",".")&amp;"' width='11.04' height='11.04' fill='#6699CC' stroke='#2A3439' stroke-width='1.3'/&gt;",IF(AF41="Resultado","&lt;path d='M"&amp;SUBSTITUTE(ROUND(AD41,1),",",".")&amp;" "&amp;SUBSTITUTE(ROUND((AE41)-6.9,1),",",".")&amp;"L"&amp;SUBSTITUTE(ROUND((AD41)+6.3,1),",",".")&amp;" "&amp;SUBSTITUTE(ROUND((AE41)+5.1,1),",",".")&amp;"L"&amp;SUBSTITUTE(ROUND((AD41)-6.3,1),",",".")&amp;" "&amp;SUBSTITUTE(ROUND((AE41)+5.1,1),",",".")&amp;"Z' fill='#FFFFFF' stroke='#2A3439' stroke-width='1.3'/&gt;","&lt;path d='M"&amp;SUBSTITUTE(ROUND(AD41,1),",",".")&amp;" "&amp;SUBSTITUTE(ROUND((AE41)-7.5,1),",",".")&amp;"L"&amp;SUBSTITUTE(ROUND((AD41)+7.5,1),",",".")&amp;" "&amp;SUBSTITUTE(ROUND(AE41,1),",",".")&amp;"L"&amp;SUBSTITUTE(ROUND(AD41,1),",",".")&amp;" "&amp;SUBSTITUTE(ROUND((AE41)+7.5,1),",",".")&amp;"L"&amp;SUBSTITUTE(ROUND((AD41)-7.5,1),",",".")&amp;" "&amp;SUBSTITUTE(ROUND(AE41,1),",",".")&amp;"Z' fill='#F5F5F5' stroke='#2A3439' stroke-width='1.3'/&gt;")))&amp;"&lt;text x='"&amp;SUBSTITUTE(ROUND(AD41+9,1),",",".")&amp;"' y='"&amp;SUBSTITUTE(ROUND(AE41-8,1),",",".")&amp;"'&gt;"&amp;AI41&amp;"&lt;/text&gt;","")</f>
        <v/>
      </c>
      <c r="AK41" s="58">
        <f>IF(AA41=1,IF(AF41="Motriz","&lt;circle cx='"&amp;SUBSTITUTE(ROUND(728,1),",",".")&amp;"' cy='"&amp;SUBSTITUTE(ROUND(134.2,1),",",".")&amp;"' r='4.3' fill='#2A3439' stroke='#2A3439' stroke-width='1.3'/&gt;",IF(AF41="Enlace","&lt;rect x='"&amp;SUBSTITUTE(ROUND((728)-3.96,1),",",".")&amp;"' y='"&amp;SUBSTITUTE(ROUND((134.2)-3.96,1),",",".")&amp;"' width='7.92' height='7.92' fill='#6699CC' stroke='#2A3439' stroke-width='1.3'/&gt;",IF(AF41="Resultado","&lt;path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AL41" s="58">
        <f>1*$AA$14</f>
        <v/>
      </c>
      <c r="AM41" s="58">
        <f>IF(1&lt;=$AA$16,"&lt;line x1='"&amp;SUBSTITUTE(ROUND(90+AL41*$AA$22,1),",",".")&amp;"' y1='84' x2='"&amp;SUBSTITUTE(ROUND(90+AL41*$AA$22,1),",",".")&amp;"' y2='574' stroke='#FFFFFF'/&gt;&lt;text x='"&amp;SUBSTITUTE(ROUND(90+AL41*$AA$22,1),",",".")&amp;"' y='590' text-anchor='middle'&gt;"&amp;ROUND(AL41*100,2)&amp;" %&lt;/text&gt;","")</f>
        <v/>
      </c>
      <c r="AN41" s="58">
        <f>1*$AA$19</f>
        <v/>
      </c>
      <c r="AO41" s="58">
        <f>IF(1&lt;=$AA$21,"&lt;line x1='90' y1='"&amp;SUBSTITUTE(ROUND(574-AN41*$AA$23,1),",",".")&amp;"' x2='650' y2='"&amp;SUBSTITUTE(ROUND(574-AN41*$AA$23,1),",",".")&amp;"' stroke='#FFFFFF'/&gt;&lt;text x='84' y='"&amp;SUBSTITUTE(ROUND(574-AN41*$AA$23+3,1),",",".")&amp;"' text-anchor='end'&gt;"&amp;ROUND(AN41*100,2)&amp;" %&lt;/text&gt;","")</f>
        <v/>
      </c>
      <c r="AR41" s="58" t="n">
        <v>2</v>
      </c>
      <c r="AS41" s="58">
        <f>IF(AND($AS$4=1,AR41&lt;=nVariables),1,0)</f>
        <v/>
      </c>
      <c r="AT41" s="58">
        <f>IF(AS41=1,'M3'!$F11,"")</f>
        <v/>
      </c>
      <c r="AU41" s="58">
        <f>IF(AS41=1,'M3'!$E11,"")</f>
        <v/>
      </c>
      <c r="AV41" s="58">
        <f>IF(AS41=1,90+AT41*$AS$22,"")</f>
        <v/>
      </c>
      <c r="AW41" s="58">
        <f>IF(AS41=1,574-AU41*$AS$23,"")</f>
        <v/>
      </c>
      <c r="AX41" s="58">
        <f>IF(AS41=1,'M3'!$I11,"")</f>
        <v/>
      </c>
      <c r="AY41" s="58">
        <f>IF(AS41=1,IF(AX41="Motriz","#2A3439",IF(AX41="Enlace","#6699CC",IF(AX41="Resultado","#FFFFFF","#F5F5F5"))),"")</f>
        <v/>
      </c>
      <c r="AZ41" s="58">
        <f>IF(AS41=1,IF(SUMPRODUCT((AT$39:AT40=AT41)*(AU$39:AU40=AU41))=0,1,0),0)</f>
        <v/>
      </c>
      <c r="BA41" s="58">
        <f>IF(AZ41=1,2&amp;IF(AND(AT42=AT41,AU42=AU41),","&amp;3,"")&amp;IF(AND(AT43=AT41,AU43=AU41),","&amp;4,"")&amp;IF(AND(AT44=AT41,AU44=AU41),","&amp;5,"")&amp;IF(AND(AT45=AT41,AU45=AU41),","&amp;6,"")&amp;IF(AND(AT46=AT41,AU46=AU41),","&amp;7,"")&amp;IF(AND(AT47=AT41,AU47=AU41),","&amp;8,"")&amp;IF(AND(AT48=AT41,AU48=AU41),","&amp;9,"")&amp;IF(AND(AT49=AT41,AU49=AU41),","&amp;10,"")&amp;IF(AND(AT50=AT41,AU50=AU41),","&amp;11,"")&amp;IF(AND(AT51=AT41,AU51=AU41),","&amp;12,"")&amp;IF(AND(AT52=AT41,AU52=AU41),","&amp;13,"")&amp;IF(AND(AT53=AT41,AU53=AU41),","&amp;14,"")&amp;IF(AND(AT54=AT41,AU54=AU41),","&amp;15,"")&amp;IF(AND(AT55=AT41,AU55=AU41),","&amp;16,"")&amp;IF(AND(AT56=AT41,AU56=AU41),","&amp;17,"")&amp;IF(AND(AT57=AT41,AU57=AU41),","&amp;18,"")&amp;IF(AND(AT58=AT41,AU58=AU41),","&amp;19,"")&amp;IF(AND(AT59=AT41,AU59=AU41),","&amp;20,"")&amp;IF(AND(AT60=AT41,AU60=AU41),","&amp;21,"")&amp;IF(AND(AT61=AT41,AU61=AU41),","&amp;22,"")&amp;IF(AND(AT62=AT41,AU62=AU41),","&amp;23,"")&amp;IF(AND(AT63=AT41,AU63=AU41),","&amp;24,"")&amp;IF(AND(AT64=AT41,AU64=AU41),","&amp;25,"")&amp;IF(AND(AT65=AT41,AU65=AU41),","&amp;26,"")&amp;IF(AND(AT66=AT41,AU66=AU41),","&amp;27,"")&amp;IF(AND(AT67=AT41,AU67=AU41),","&amp;28,"")&amp;IF(AND(AT68=AT41,AU68=AU41),","&amp;29,"")&amp;IF(AND(AT69=AT41,AU69=AU41),","&amp;30,"")&amp;IF(AND(AT70=AT41,AU70=AU41),","&amp;31,"")&amp;IF(AND(AT71=AT41,AU71=AU41),","&amp;32,"")&amp;IF(AND(AT72=AT41,AU72=AU41),","&amp;33,"")&amp;IF(AND(AT73=AT41,AU73=AU41),","&amp;34,"")&amp;IF(AND(AT74=AT41,AU74=AU41),","&amp;35,"")&amp;IF(AND(AT75=AT41,AU75=AU41),","&amp;36,"")&amp;IF(AND(AT76=AT41,AU76=AU41),","&amp;37,"")&amp;IF(AND(AT77=AT41,AU77=AU41),","&amp;38,"")&amp;IF(AND(AT78=AT41,AU78=AU41),","&amp;39,"")&amp;IF(AND(AT79=AT41,AU79=AU41),","&amp;40,""),"")</f>
        <v/>
      </c>
      <c r="BB41" s="58">
        <f>IF(AZ41=1,IF(AX41="Motriz","&lt;circle cx='"&amp;SUBSTITUTE(ROUND(AV41,1),",",".")&amp;"' cy='"&amp;SUBSTITUTE(ROUND(AW41,1),",",".")&amp;"' r='6' fill='#2A3439' stroke='#2A3439' stroke-width='1.3'/&gt;",IF(AX41="Enlace","&lt;rect x='"&amp;SUBSTITUTE(ROUND((AV41)-5.52,1),",",".")&amp;"' y='"&amp;SUBSTITUTE(ROUND((AW41)-5.52,1),",",".")&amp;"' width='11.04' height='11.04' fill='#6699CC' stroke='#2A3439' stroke-width='1.3'/&gt;",IF(AX41="Resultado","&lt;path d='M"&amp;SUBSTITUTE(ROUND(AV41,1),",",".")&amp;" "&amp;SUBSTITUTE(ROUND((AW41)-6.9,1),",",".")&amp;"L"&amp;SUBSTITUTE(ROUND((AV41)+6.3,1),",",".")&amp;" "&amp;SUBSTITUTE(ROUND((AW41)+5.1,1),",",".")&amp;"L"&amp;SUBSTITUTE(ROUND((AV41)-6.3,1),",",".")&amp;" "&amp;SUBSTITUTE(ROUND((AW41)+5.1,1),",",".")&amp;"Z' fill='#FFFFFF' stroke='#2A3439' stroke-width='1.3'/&gt;","&lt;path d='M"&amp;SUBSTITUTE(ROUND(AV41,1),",",".")&amp;" "&amp;SUBSTITUTE(ROUND((AW41)-7.5,1),",",".")&amp;"L"&amp;SUBSTITUTE(ROUND((AV41)+7.5,1),",",".")&amp;" "&amp;SUBSTITUTE(ROUND(AW41,1),",",".")&amp;"L"&amp;SUBSTITUTE(ROUND(AV41,1),",",".")&amp;" "&amp;SUBSTITUTE(ROUND((AW41)+7.5,1),",",".")&amp;"L"&amp;SUBSTITUTE(ROUND((AV41)-7.5,1),",",".")&amp;" "&amp;SUBSTITUTE(ROUND(AW41,1),",",".")&amp;"Z' fill='#F5F5F5' stroke='#2A3439' stroke-width='1.3'/&gt;")))&amp;"&lt;text x='"&amp;SUBSTITUTE(ROUND(AV41+9,1),",",".")&amp;"' y='"&amp;SUBSTITUTE(ROUND(AW41-8,1),",",".")&amp;"'&gt;"&amp;BA41&amp;"&lt;/text&gt;","")</f>
        <v/>
      </c>
      <c r="BC41" s="58">
        <f>IF(AS41=1,IF(AX41="Motriz","&lt;circle cx='"&amp;SUBSTITUTE(ROUND(728,1),",",".")&amp;"' cy='"&amp;SUBSTITUTE(ROUND(134.2,1),",",".")&amp;"' r='4.3' fill='#2A3439' stroke='#2A3439' stroke-width='1.3'/&gt;",IF(AX41="Enlace","&lt;rect x='"&amp;SUBSTITUTE(ROUND((728)-3.96,1),",",".")&amp;"' y='"&amp;SUBSTITUTE(ROUND((134.2)-3.96,1),",",".")&amp;"' width='7.92' height='7.92' fill='#6699CC' stroke='#2A3439' stroke-width='1.3'/&gt;",IF(AX41="Resultado","&lt;path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BD41" s="58">
        <f>1*$AS$14</f>
        <v/>
      </c>
      <c r="BE41" s="58">
        <f>IF(1&lt;=$AS$16,"&lt;line x1='"&amp;SUBSTITUTE(ROUND(90+BD41*$AS$22,1),",",".")&amp;"' y1='84' x2='"&amp;SUBSTITUTE(ROUND(90+BD41*$AS$22,1),",",".")&amp;"' y2='574' stroke='#FFFFFF'/&gt;&lt;text x='"&amp;SUBSTITUTE(ROUND(90+BD41*$AS$22,1),",",".")&amp;"' y='590' text-anchor='middle'&gt;"&amp;ROUND(BD41*100,2)&amp;" %&lt;/text&gt;","")</f>
        <v/>
      </c>
      <c r="BF41" s="58">
        <f>1*$AS$19</f>
        <v/>
      </c>
      <c r="BG41" s="58">
        <f>IF(1&lt;=$AS$21,"&lt;line x1='90' y1='"&amp;SUBSTITUTE(ROUND(574-BF41*$AS$23,1),",",".")&amp;"' x2='650' y2='"&amp;SUBSTITUTE(ROUND(574-BF41*$AS$23,1),",",".")&amp;"' stroke='#FFFFFF'/&gt;&lt;text x='84' y='"&amp;SUBSTITUTE(ROUND(574-BF41*$AS$23+3,1),",",".")&amp;"' text-anchor='end'&gt;"&amp;ROUND(BF41*100,2)&amp;" %&lt;/text&gt;","")</f>
        <v/>
      </c>
      <c r="BJ41" s="58" t="n">
        <v>2</v>
      </c>
      <c r="BK41" s="58">
        <f>IF(AND($BK$4=1,BJ41&lt;=nVariables),1,0)</f>
        <v/>
      </c>
      <c r="BL41" s="58">
        <f>IF(BK41=1,'M4'!$F11,"")</f>
        <v/>
      </c>
      <c r="BM41" s="58">
        <f>IF(BK41=1,'M4'!$E11,"")</f>
        <v/>
      </c>
      <c r="BN41" s="58">
        <f>IF(BK41=1,90+BL41*$BK$22,"")</f>
        <v/>
      </c>
      <c r="BO41" s="58">
        <f>IF(BK41=1,574-BM41*$BK$23,"")</f>
        <v/>
      </c>
      <c r="BP41" s="58">
        <f>IF(BK41=1,'M4'!$I11,"")</f>
        <v/>
      </c>
      <c r="BQ41" s="58">
        <f>IF(BK41=1,IF(BP41="Motriz","#2A3439",IF(BP41="Enlace","#6699CC",IF(BP41="Resultado","#FFFFFF","#F5F5F5"))),"")</f>
        <v/>
      </c>
      <c r="BR41" s="58">
        <f>IF(BK41=1,IF(SUMPRODUCT((BL$39:BL40=BL41)*(BM$39:BM40=BM41))=0,1,0),0)</f>
        <v/>
      </c>
      <c r="BS41" s="58">
        <f>IF(BR41=1,2&amp;IF(AND(BL42=BL41,BM42=BM41),","&amp;3,"")&amp;IF(AND(BL43=BL41,BM43=BM41),","&amp;4,"")&amp;IF(AND(BL44=BL41,BM44=BM41),","&amp;5,"")&amp;IF(AND(BL45=BL41,BM45=BM41),","&amp;6,"")&amp;IF(AND(BL46=BL41,BM46=BM41),","&amp;7,"")&amp;IF(AND(BL47=BL41,BM47=BM41),","&amp;8,"")&amp;IF(AND(BL48=BL41,BM48=BM41),","&amp;9,"")&amp;IF(AND(BL49=BL41,BM49=BM41),","&amp;10,"")&amp;IF(AND(BL50=BL41,BM50=BM41),","&amp;11,"")&amp;IF(AND(BL51=BL41,BM51=BM41),","&amp;12,"")&amp;IF(AND(BL52=BL41,BM52=BM41),","&amp;13,"")&amp;IF(AND(BL53=BL41,BM53=BM41),","&amp;14,"")&amp;IF(AND(BL54=BL41,BM54=BM41),","&amp;15,"")&amp;IF(AND(BL55=BL41,BM55=BM41),","&amp;16,"")&amp;IF(AND(BL56=BL41,BM56=BM41),","&amp;17,"")&amp;IF(AND(BL57=BL41,BM57=BM41),","&amp;18,"")&amp;IF(AND(BL58=BL41,BM58=BM41),","&amp;19,"")&amp;IF(AND(BL59=BL41,BM59=BM41),","&amp;20,"")&amp;IF(AND(BL60=BL41,BM60=BM41),","&amp;21,"")&amp;IF(AND(BL61=BL41,BM61=BM41),","&amp;22,"")&amp;IF(AND(BL62=BL41,BM62=BM41),","&amp;23,"")&amp;IF(AND(BL63=BL41,BM63=BM41),","&amp;24,"")&amp;IF(AND(BL64=BL41,BM64=BM41),","&amp;25,"")&amp;IF(AND(BL65=BL41,BM65=BM41),","&amp;26,"")&amp;IF(AND(BL66=BL41,BM66=BM41),","&amp;27,"")&amp;IF(AND(BL67=BL41,BM67=BM41),","&amp;28,"")&amp;IF(AND(BL68=BL41,BM68=BM41),","&amp;29,"")&amp;IF(AND(BL69=BL41,BM69=BM41),","&amp;30,"")&amp;IF(AND(BL70=BL41,BM70=BM41),","&amp;31,"")&amp;IF(AND(BL71=BL41,BM71=BM41),","&amp;32,"")&amp;IF(AND(BL72=BL41,BM72=BM41),","&amp;33,"")&amp;IF(AND(BL73=BL41,BM73=BM41),","&amp;34,"")&amp;IF(AND(BL74=BL41,BM74=BM41),","&amp;35,"")&amp;IF(AND(BL75=BL41,BM75=BM41),","&amp;36,"")&amp;IF(AND(BL76=BL41,BM76=BM41),","&amp;37,"")&amp;IF(AND(BL77=BL41,BM77=BM41),","&amp;38,"")&amp;IF(AND(BL78=BL41,BM78=BM41),","&amp;39,"")&amp;IF(AND(BL79=BL41,BM79=BM41),","&amp;40,""),"")</f>
        <v/>
      </c>
      <c r="BT41" s="58">
        <f>IF(BR41=1,IF(BP41="Motriz","&lt;circle cx='"&amp;SUBSTITUTE(ROUND(BN41,1),",",".")&amp;"' cy='"&amp;SUBSTITUTE(ROUND(BO41,1),",",".")&amp;"' r='6' fill='#2A3439' stroke='#2A3439' stroke-width='1.3'/&gt;",IF(BP41="Enlace","&lt;rect x='"&amp;SUBSTITUTE(ROUND((BN41)-5.52,1),",",".")&amp;"' y='"&amp;SUBSTITUTE(ROUND((BO41)-5.52,1),",",".")&amp;"' width='11.04' height='11.04' fill='#6699CC' stroke='#2A3439' stroke-width='1.3'/&gt;",IF(BP41="Resultado","&lt;path d='M"&amp;SUBSTITUTE(ROUND(BN41,1),",",".")&amp;" "&amp;SUBSTITUTE(ROUND((BO41)-6.9,1),",",".")&amp;"L"&amp;SUBSTITUTE(ROUND((BN41)+6.3,1),",",".")&amp;" "&amp;SUBSTITUTE(ROUND((BO41)+5.1,1),",",".")&amp;"L"&amp;SUBSTITUTE(ROUND((BN41)-6.3,1),",",".")&amp;" "&amp;SUBSTITUTE(ROUND((BO41)+5.1,1),",",".")&amp;"Z' fill='#FFFFFF' stroke='#2A3439' stroke-width='1.3'/&gt;","&lt;path d='M"&amp;SUBSTITUTE(ROUND(BN41,1),",",".")&amp;" "&amp;SUBSTITUTE(ROUND((BO41)-7.5,1),",",".")&amp;"L"&amp;SUBSTITUTE(ROUND((BN41)+7.5,1),",",".")&amp;" "&amp;SUBSTITUTE(ROUND(BO41,1),",",".")&amp;"L"&amp;SUBSTITUTE(ROUND(BN41,1),",",".")&amp;" "&amp;SUBSTITUTE(ROUND((BO41)+7.5,1),",",".")&amp;"L"&amp;SUBSTITUTE(ROUND((BN41)-7.5,1),",",".")&amp;" "&amp;SUBSTITUTE(ROUND(BO41,1),",",".")&amp;"Z' fill='#F5F5F5' stroke='#2A3439' stroke-width='1.3'/&gt;")))&amp;"&lt;text x='"&amp;SUBSTITUTE(ROUND(BN41+9,1),",",".")&amp;"' y='"&amp;SUBSTITUTE(ROUND(BO41-8,1),",",".")&amp;"'&gt;"&amp;BS41&amp;"&lt;/text&gt;","")</f>
        <v/>
      </c>
      <c r="BU41" s="58">
        <f>IF(BK41=1,IF(BP41="Motriz","&lt;circle cx='"&amp;SUBSTITUTE(ROUND(728,1),",",".")&amp;"' cy='"&amp;SUBSTITUTE(ROUND(134.2,1),",",".")&amp;"' r='4.3' fill='#2A3439' stroke='#2A3439' stroke-width='1.3'/&gt;",IF(BP41="Enlace","&lt;rect x='"&amp;SUBSTITUTE(ROUND((728)-3.96,1),",",".")&amp;"' y='"&amp;SUBSTITUTE(ROUND((134.2)-3.96,1),",",".")&amp;"' width='7.92' height='7.92' fill='#6699CC' stroke='#2A3439' stroke-width='1.3'/&gt;",IF(BP41="Resultado","&lt;path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BV41" s="58">
        <f>1*$BK$14</f>
        <v/>
      </c>
      <c r="BW41" s="58">
        <f>IF(1&lt;=$BK$16,"&lt;line x1='"&amp;SUBSTITUTE(ROUND(90+BV41*$BK$22,1),",",".")&amp;"' y1='84' x2='"&amp;SUBSTITUTE(ROUND(90+BV41*$BK$22,1),",",".")&amp;"' y2='574' stroke='#FFFFFF'/&gt;&lt;text x='"&amp;SUBSTITUTE(ROUND(90+BV41*$BK$22,1),",",".")&amp;"' y='590' text-anchor='middle'&gt;"&amp;ROUND(BV41*100,2)&amp;" %&lt;/text&gt;","")</f>
        <v/>
      </c>
      <c r="BX41" s="58">
        <f>1*$BK$19</f>
        <v/>
      </c>
      <c r="BY41" s="58">
        <f>IF(1&lt;=$BK$21,"&lt;line x1='90' y1='"&amp;SUBSTITUTE(ROUND(574-BX41*$BK$23,1),",",".")&amp;"' x2='650' y2='"&amp;SUBSTITUTE(ROUND(574-BX41*$BK$23,1),",",".")&amp;"' stroke='#FFFFFF'/&gt;&lt;text x='84' y='"&amp;SUBSTITUTE(ROUND(574-BX41*$BK$23+3,1),",",".")&amp;"' text-anchor='end'&gt;"&amp;ROUND(BX41*100,2)&amp;" %&lt;/text&gt;","")</f>
        <v/>
      </c>
      <c r="CB41" s="58" t="n">
        <v>2</v>
      </c>
      <c r="CC41" s="58">
        <f>IF(AND($CC$4=1,CB41&lt;=nVariables),1,0)</f>
        <v/>
      </c>
      <c r="CD41" s="58">
        <f>IF(CC41=1,'M5'!$F11,"")</f>
        <v/>
      </c>
      <c r="CE41" s="58">
        <f>IF(CC41=1,'M5'!$E11,"")</f>
        <v/>
      </c>
      <c r="CF41" s="58">
        <f>IF(CC41=1,90+CD41*$CC$22,"")</f>
        <v/>
      </c>
      <c r="CG41" s="58">
        <f>IF(CC41=1,574-CE41*$CC$23,"")</f>
        <v/>
      </c>
      <c r="CH41" s="58">
        <f>IF(CC41=1,'M5'!$I11,"")</f>
        <v/>
      </c>
      <c r="CI41" s="58">
        <f>IF(CC41=1,IF(CH41="Motriz","#2A3439",IF(CH41="Enlace","#6699CC",IF(CH41="Resultado","#FFFFFF","#F5F5F5"))),"")</f>
        <v/>
      </c>
      <c r="CJ41" s="58">
        <f>IF(CC41=1,IF(SUMPRODUCT((CD$39:CD40=CD41)*(CE$39:CE40=CE41))=0,1,0),0)</f>
        <v/>
      </c>
      <c r="CK41" s="58">
        <f>IF(CJ41=1,2&amp;IF(AND(CD42=CD41,CE42=CE41),","&amp;3,"")&amp;IF(AND(CD43=CD41,CE43=CE41),","&amp;4,"")&amp;IF(AND(CD44=CD41,CE44=CE41),","&amp;5,"")&amp;IF(AND(CD45=CD41,CE45=CE41),","&amp;6,"")&amp;IF(AND(CD46=CD41,CE46=CE41),","&amp;7,"")&amp;IF(AND(CD47=CD41,CE47=CE41),","&amp;8,"")&amp;IF(AND(CD48=CD41,CE48=CE41),","&amp;9,"")&amp;IF(AND(CD49=CD41,CE49=CE41),","&amp;10,"")&amp;IF(AND(CD50=CD41,CE50=CE41),","&amp;11,"")&amp;IF(AND(CD51=CD41,CE51=CE41),","&amp;12,"")&amp;IF(AND(CD52=CD41,CE52=CE41),","&amp;13,"")&amp;IF(AND(CD53=CD41,CE53=CE41),","&amp;14,"")&amp;IF(AND(CD54=CD41,CE54=CE41),","&amp;15,"")&amp;IF(AND(CD55=CD41,CE55=CE41),","&amp;16,"")&amp;IF(AND(CD56=CD41,CE56=CE41),","&amp;17,"")&amp;IF(AND(CD57=CD41,CE57=CE41),","&amp;18,"")&amp;IF(AND(CD58=CD41,CE58=CE41),","&amp;19,"")&amp;IF(AND(CD59=CD41,CE59=CE41),","&amp;20,"")&amp;IF(AND(CD60=CD41,CE60=CE41),","&amp;21,"")&amp;IF(AND(CD61=CD41,CE61=CE41),","&amp;22,"")&amp;IF(AND(CD62=CD41,CE62=CE41),","&amp;23,"")&amp;IF(AND(CD63=CD41,CE63=CE41),","&amp;24,"")&amp;IF(AND(CD64=CD41,CE64=CE41),","&amp;25,"")&amp;IF(AND(CD65=CD41,CE65=CE41),","&amp;26,"")&amp;IF(AND(CD66=CD41,CE66=CE41),","&amp;27,"")&amp;IF(AND(CD67=CD41,CE67=CE41),","&amp;28,"")&amp;IF(AND(CD68=CD41,CE68=CE41),","&amp;29,"")&amp;IF(AND(CD69=CD41,CE69=CE41),","&amp;30,"")&amp;IF(AND(CD70=CD41,CE70=CE41),","&amp;31,"")&amp;IF(AND(CD71=CD41,CE71=CE41),","&amp;32,"")&amp;IF(AND(CD72=CD41,CE72=CE41),","&amp;33,"")&amp;IF(AND(CD73=CD41,CE73=CE41),","&amp;34,"")&amp;IF(AND(CD74=CD41,CE74=CE41),","&amp;35,"")&amp;IF(AND(CD75=CD41,CE75=CE41),","&amp;36,"")&amp;IF(AND(CD76=CD41,CE76=CE41),","&amp;37,"")&amp;IF(AND(CD77=CD41,CE77=CE41),","&amp;38,"")&amp;IF(AND(CD78=CD41,CE78=CE41),","&amp;39,"")&amp;IF(AND(CD79=CD41,CE79=CE41),","&amp;40,""),"")</f>
        <v/>
      </c>
      <c r="CL41" s="58">
        <f>IF(CJ41=1,IF(CH41="Motriz","&lt;circle cx='"&amp;SUBSTITUTE(ROUND(CF41,1),",",".")&amp;"' cy='"&amp;SUBSTITUTE(ROUND(CG41,1),",",".")&amp;"' r='6' fill='#2A3439' stroke='#2A3439' stroke-width='1.3'/&gt;",IF(CH41="Enlace","&lt;rect x='"&amp;SUBSTITUTE(ROUND((CF41)-5.52,1),",",".")&amp;"' y='"&amp;SUBSTITUTE(ROUND((CG41)-5.52,1),",",".")&amp;"' width='11.04' height='11.04' fill='#6699CC' stroke='#2A3439' stroke-width='1.3'/&gt;",IF(CH41="Resultado","&lt;path d='M"&amp;SUBSTITUTE(ROUND(CF41,1),",",".")&amp;" "&amp;SUBSTITUTE(ROUND((CG41)-6.9,1),",",".")&amp;"L"&amp;SUBSTITUTE(ROUND((CF41)+6.3,1),",",".")&amp;" "&amp;SUBSTITUTE(ROUND((CG41)+5.1,1),",",".")&amp;"L"&amp;SUBSTITUTE(ROUND((CF41)-6.3,1),",",".")&amp;" "&amp;SUBSTITUTE(ROUND((CG41)+5.1,1),",",".")&amp;"Z' fill='#FFFFFF' stroke='#2A3439' stroke-width='1.3'/&gt;","&lt;path d='M"&amp;SUBSTITUTE(ROUND(CF41,1),",",".")&amp;" "&amp;SUBSTITUTE(ROUND((CG41)-7.5,1),",",".")&amp;"L"&amp;SUBSTITUTE(ROUND((CF41)+7.5,1),",",".")&amp;" "&amp;SUBSTITUTE(ROUND(CG41,1),",",".")&amp;"L"&amp;SUBSTITUTE(ROUND(CF41,1),",",".")&amp;" "&amp;SUBSTITUTE(ROUND((CG41)+7.5,1),",",".")&amp;"L"&amp;SUBSTITUTE(ROUND((CF41)-7.5,1),",",".")&amp;" "&amp;SUBSTITUTE(ROUND(CG41,1),",",".")&amp;"Z' fill='#F5F5F5' stroke='#2A3439' stroke-width='1.3'/&gt;")))&amp;"&lt;text x='"&amp;SUBSTITUTE(ROUND(CF41+9,1),",",".")&amp;"' y='"&amp;SUBSTITUTE(ROUND(CG41-8,1),",",".")&amp;"'&gt;"&amp;CK41&amp;"&lt;/text&gt;","")</f>
        <v/>
      </c>
      <c r="CM41" s="58">
        <f>IF(CC41=1,IF(CH41="Motriz","&lt;circle cx='"&amp;SUBSTITUTE(ROUND(728,1),",",".")&amp;"' cy='"&amp;SUBSTITUTE(ROUND(134.2,1),",",".")&amp;"' r='4.3' fill='#2A3439' stroke='#2A3439' stroke-width='1.3'/&gt;",IF(CH41="Enlace","&lt;rect x='"&amp;SUBSTITUTE(ROUND((728)-3.96,1),",",".")&amp;"' y='"&amp;SUBSTITUTE(ROUND((134.2)-3.96,1),",",".")&amp;"' width='7.92' height='7.92' fill='#6699CC' stroke='#2A3439' stroke-width='1.3'/&gt;",IF(CH41="Resultado","&lt;path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CN41" s="58">
        <f>1*$CC$14</f>
        <v/>
      </c>
      <c r="CO41" s="58">
        <f>IF(1&lt;=$CC$16,"&lt;line x1='"&amp;SUBSTITUTE(ROUND(90+CN41*$CC$22,1),",",".")&amp;"' y1='84' x2='"&amp;SUBSTITUTE(ROUND(90+CN41*$CC$22,1),",",".")&amp;"' y2='574' stroke='#FFFFFF'/&gt;&lt;text x='"&amp;SUBSTITUTE(ROUND(90+CN41*$CC$22,1),",",".")&amp;"' y='590' text-anchor='middle'&gt;"&amp;ROUND(CN41*100,2)&amp;" %&lt;/text&gt;","")</f>
        <v/>
      </c>
      <c r="CP41" s="58">
        <f>1*$CC$19</f>
        <v/>
      </c>
      <c r="CQ41" s="58">
        <f>IF(1&lt;=$CC$21,"&lt;line x1='90' y1='"&amp;SUBSTITUTE(ROUND(574-CP41*$CC$23,1),",",".")&amp;"' x2='650' y2='"&amp;SUBSTITUTE(ROUND(574-CP41*$CC$23,1),",",".")&amp;"' stroke='#FFFFFF'/&gt;&lt;text x='84' y='"&amp;SUBSTITUTE(ROUND(574-CP41*$CC$23+3,1),",",".")&amp;"' text-anchor='end'&gt;"&amp;ROUND(CP41*100,2)&amp;" %&lt;/text&gt;","")</f>
        <v/>
      </c>
      <c r="CT41" s="58" t="n">
        <v>2</v>
      </c>
      <c r="CU41" s="58">
        <f>IF(AND($CU$4=1,CT41&lt;=nVariables),1,0)</f>
        <v/>
      </c>
      <c r="CV41" s="58">
        <f>IF(CU41=1,'M6'!$F11,"")</f>
        <v/>
      </c>
      <c r="CW41" s="58">
        <f>IF(CU41=1,'M6'!$E11,"")</f>
        <v/>
      </c>
      <c r="CX41" s="58">
        <f>IF(CU41=1,90+CV41*$CU$22,"")</f>
        <v/>
      </c>
      <c r="CY41" s="58">
        <f>IF(CU41=1,574-CW41*$CU$23,"")</f>
        <v/>
      </c>
      <c r="CZ41" s="58">
        <f>IF(CU41=1,'M6'!$I11,"")</f>
        <v/>
      </c>
      <c r="DA41" s="58">
        <f>IF(CU41=1,IF(CZ41="Motriz","#2A3439",IF(CZ41="Enlace","#6699CC",IF(CZ41="Resultado","#FFFFFF","#F5F5F5"))),"")</f>
        <v/>
      </c>
      <c r="DB41" s="58">
        <f>IF(CU41=1,IF(SUMPRODUCT((CV$39:CV40=CV41)*(CW$39:CW40=CW41))=0,1,0),0)</f>
        <v/>
      </c>
      <c r="DC41" s="58">
        <f>IF(DB41=1,2&amp;IF(AND(CV42=CV41,CW42=CW41),","&amp;3,"")&amp;IF(AND(CV43=CV41,CW43=CW41),","&amp;4,"")&amp;IF(AND(CV44=CV41,CW44=CW41),","&amp;5,"")&amp;IF(AND(CV45=CV41,CW45=CW41),","&amp;6,"")&amp;IF(AND(CV46=CV41,CW46=CW41),","&amp;7,"")&amp;IF(AND(CV47=CV41,CW47=CW41),","&amp;8,"")&amp;IF(AND(CV48=CV41,CW48=CW41),","&amp;9,"")&amp;IF(AND(CV49=CV41,CW49=CW41),","&amp;10,"")&amp;IF(AND(CV50=CV41,CW50=CW41),","&amp;11,"")&amp;IF(AND(CV51=CV41,CW51=CW41),","&amp;12,"")&amp;IF(AND(CV52=CV41,CW52=CW41),","&amp;13,"")&amp;IF(AND(CV53=CV41,CW53=CW41),","&amp;14,"")&amp;IF(AND(CV54=CV41,CW54=CW41),","&amp;15,"")&amp;IF(AND(CV55=CV41,CW55=CW41),","&amp;16,"")&amp;IF(AND(CV56=CV41,CW56=CW41),","&amp;17,"")&amp;IF(AND(CV57=CV41,CW57=CW41),","&amp;18,"")&amp;IF(AND(CV58=CV41,CW58=CW41),","&amp;19,"")&amp;IF(AND(CV59=CV41,CW59=CW41),","&amp;20,"")&amp;IF(AND(CV60=CV41,CW60=CW41),","&amp;21,"")&amp;IF(AND(CV61=CV41,CW61=CW41),","&amp;22,"")&amp;IF(AND(CV62=CV41,CW62=CW41),","&amp;23,"")&amp;IF(AND(CV63=CV41,CW63=CW41),","&amp;24,"")&amp;IF(AND(CV64=CV41,CW64=CW41),","&amp;25,"")&amp;IF(AND(CV65=CV41,CW65=CW41),","&amp;26,"")&amp;IF(AND(CV66=CV41,CW66=CW41),","&amp;27,"")&amp;IF(AND(CV67=CV41,CW67=CW41),","&amp;28,"")&amp;IF(AND(CV68=CV41,CW68=CW41),","&amp;29,"")&amp;IF(AND(CV69=CV41,CW69=CW41),","&amp;30,"")&amp;IF(AND(CV70=CV41,CW70=CW41),","&amp;31,"")&amp;IF(AND(CV71=CV41,CW71=CW41),","&amp;32,"")&amp;IF(AND(CV72=CV41,CW72=CW41),","&amp;33,"")&amp;IF(AND(CV73=CV41,CW73=CW41),","&amp;34,"")&amp;IF(AND(CV74=CV41,CW74=CW41),","&amp;35,"")&amp;IF(AND(CV75=CV41,CW75=CW41),","&amp;36,"")&amp;IF(AND(CV76=CV41,CW76=CW41),","&amp;37,"")&amp;IF(AND(CV77=CV41,CW77=CW41),","&amp;38,"")&amp;IF(AND(CV78=CV41,CW78=CW41),","&amp;39,"")&amp;IF(AND(CV79=CV41,CW79=CW41),","&amp;40,""),"")</f>
        <v/>
      </c>
      <c r="DD41" s="58">
        <f>IF(DB41=1,IF(CZ41="Motriz","&lt;circle cx='"&amp;SUBSTITUTE(ROUND(CX41,1),",",".")&amp;"' cy='"&amp;SUBSTITUTE(ROUND(CY41,1),",",".")&amp;"' r='6' fill='#2A3439' stroke='#2A3439' stroke-width='1.3'/&gt;",IF(CZ41="Enlace","&lt;rect x='"&amp;SUBSTITUTE(ROUND((CX41)-5.52,1),",",".")&amp;"' y='"&amp;SUBSTITUTE(ROUND((CY41)-5.52,1),",",".")&amp;"' width='11.04' height='11.04' fill='#6699CC' stroke='#2A3439' stroke-width='1.3'/&gt;",IF(CZ41="Resultado","&lt;path d='M"&amp;SUBSTITUTE(ROUND(CX41,1),",",".")&amp;" "&amp;SUBSTITUTE(ROUND((CY41)-6.9,1),",",".")&amp;"L"&amp;SUBSTITUTE(ROUND((CX41)+6.3,1),",",".")&amp;" "&amp;SUBSTITUTE(ROUND((CY41)+5.1,1),",",".")&amp;"L"&amp;SUBSTITUTE(ROUND((CX41)-6.3,1),",",".")&amp;" "&amp;SUBSTITUTE(ROUND((CY41)+5.1,1),",",".")&amp;"Z' fill='#FFFFFF' stroke='#2A3439' stroke-width='1.3'/&gt;","&lt;path d='M"&amp;SUBSTITUTE(ROUND(CX41,1),",",".")&amp;" "&amp;SUBSTITUTE(ROUND((CY41)-7.5,1),",",".")&amp;"L"&amp;SUBSTITUTE(ROUND((CX41)+7.5,1),",",".")&amp;" "&amp;SUBSTITUTE(ROUND(CY41,1),",",".")&amp;"L"&amp;SUBSTITUTE(ROUND(CX41,1),",",".")&amp;" "&amp;SUBSTITUTE(ROUND((CY41)+7.5,1),",",".")&amp;"L"&amp;SUBSTITUTE(ROUND((CX41)-7.5,1),",",".")&amp;" "&amp;SUBSTITUTE(ROUND(CY41,1),",",".")&amp;"Z' fill='#F5F5F5' stroke='#2A3439' stroke-width='1.3'/&gt;")))&amp;"&lt;text x='"&amp;SUBSTITUTE(ROUND(CX41+9,1),",",".")&amp;"' y='"&amp;SUBSTITUTE(ROUND(CY41-8,1),",",".")&amp;"'&gt;"&amp;DC41&amp;"&lt;/text&gt;","")</f>
        <v/>
      </c>
      <c r="DE41" s="58">
        <f>IF(CU41=1,IF(CZ41="Motriz","&lt;circle cx='"&amp;SUBSTITUTE(ROUND(728,1),",",".")&amp;"' cy='"&amp;SUBSTITUTE(ROUND(134.2,1),",",".")&amp;"' r='4.3' fill='#2A3439' stroke='#2A3439' stroke-width='1.3'/&gt;",IF(CZ41="Enlace","&lt;rect x='"&amp;SUBSTITUTE(ROUND((728)-3.96,1),",",".")&amp;"' y='"&amp;SUBSTITUTE(ROUND((134.2)-3.96,1),",",".")&amp;"' width='7.92' height='7.92' fill='#6699CC' stroke='#2A3439' stroke-width='1.3'/&gt;",IF(CZ41="Resultado","&lt;path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DF41" s="58">
        <f>1*$CU$14</f>
        <v/>
      </c>
      <c r="DG41" s="58">
        <f>IF(1&lt;=$CU$16,"&lt;line x1='"&amp;SUBSTITUTE(ROUND(90+DF41*$CU$22,1),",",".")&amp;"' y1='84' x2='"&amp;SUBSTITUTE(ROUND(90+DF41*$CU$22,1),",",".")&amp;"' y2='574' stroke='#FFFFFF'/&gt;&lt;text x='"&amp;SUBSTITUTE(ROUND(90+DF41*$CU$22,1),",",".")&amp;"' y='590' text-anchor='middle'&gt;"&amp;ROUND(DF41*100,2)&amp;" %&lt;/text&gt;","")</f>
        <v/>
      </c>
      <c r="DH41" s="58">
        <f>1*$CU$19</f>
        <v/>
      </c>
      <c r="DI41" s="58">
        <f>IF(1&lt;=$CU$21,"&lt;line x1='90' y1='"&amp;SUBSTITUTE(ROUND(574-DH41*$CU$23,1),",",".")&amp;"' x2='650' y2='"&amp;SUBSTITUTE(ROUND(574-DH41*$CU$23,1),",",".")&amp;"' stroke='#FFFFFF'/&gt;&lt;text x='84' y='"&amp;SUBSTITUTE(ROUND(574-DH41*$CU$23+3,1),",",".")&amp;"' text-anchor='end'&gt;"&amp;ROUND(DH41*100,2)&amp;" %&lt;/text&gt;","")</f>
        <v/>
      </c>
      <c r="DL41" s="58" t="inlineStr">
        <is>
          <t>SVG: cabecera</t>
        </is>
      </c>
      <c r="DM41" s="59">
        <f>"&lt;svg xmlns='http://www.w3.org/2000/svg' viewBox='0 0 1200 "&amp;SUBSTITUTE(ROUND($DM$27,1),",",".")&amp;"' width='1200' height='"&amp;SUBSTITUTE(ROUND($DM$27,1),",",".")&amp;_xlfn._LONGTEXT("' font-family='Arial,Helvetica,sans-serif'&gt;&lt;defs&gt;&lt;marker id='ah' viewBox='0 0 10 10' refX='8' refY='5' markerWidth='7' markerHeight='7' orient='auto'&gt;&lt;path d='M0,0 L10,5 L0,10 z' fill='#2A3439'/&gt;&lt;/marker&gt;&lt;/defs&gt;&lt;text x='24' y='30' font-size='18' font-weig","ht='bold' fill='#2A3439'&gt;")&amp;SUBSTITUTE(SUBSTITUTE(SUBSTITUTE(SUBSTITUTE(SUBSTITUTE(SUBSTITUTE(SUBSTITUTE(TRIM(CLEAN($DM$3)),"&amp;","&amp;amp;"),"&lt;","&amp;lt;"),"&gt;","&amp;gt;"),CHAR(34),"&amp;quot;"),CHAR(10)," "),CHAR(9)," "),CHAR(13)," ")&amp;"&lt;/text&gt;&lt;text x='24' y='50' font-size='11' fill='#2A3439'&gt;Efectos arriba, problema central al medio y causas abajo. La posición de cada variable proviene de su cuadrante en M6.&lt;/text&gt;"</f>
        <v/>
      </c>
    </row>
    <row r="42">
      <c r="A42" s="58" t="n">
        <v>3</v>
      </c>
      <c r="B42" s="58">
        <f>IF($A42&lt;=nVariables,SUBSTITUTE(SUBSTITUTE(SUBSTITUTE(SUBSTITUTE(SUBSTITUTE(SUBSTITUTE(SUBSTITUTE(TRIM(CLEAN(IF(LEN(TRIM(M!$B12))&gt;46,LEFT(TRIM(M!$B12),45)&amp;"…",TRIM(M!$B12)))),"&amp;","&amp;amp;"),"&lt;","&amp;lt;"),"&gt;","&amp;gt;"),CHAR(34),"&amp;quot;"),CHAR(10)," "),CHAR(9)," "),CHAR(13)," "),"")</f>
        <v/>
      </c>
      <c r="C42" s="58">
        <f>IF($A42&lt;=nVariables,$A42&amp;". "&amp;B42,"")</f>
        <v/>
      </c>
      <c r="D42" s="58">
        <f>IF($A42&lt;=nVariables,IF(TRIM(M!$C12)&lt;&gt;"",TRIM(M!$C12),IF(LEN(TRIM(M!$B12))&gt;24,LEFT(TRIM(M!$B12),23)&amp;"…",TRIM(M!$B12))),"")</f>
        <v/>
      </c>
      <c r="E42" s="58">
        <f>IF($A42&lt;=nVariables,TRIM('Árbol de Problemas'!$F21),"")</f>
        <v/>
      </c>
      <c r="H42" s="58" t="n">
        <v>3</v>
      </c>
      <c r="I42" s="58">
        <f>IF(AND($I$4=1,H42&lt;=nVariables),1,0)</f>
        <v/>
      </c>
      <c r="J42" s="58">
        <f>IF(I42=1,'M1'!$F12,"")</f>
        <v/>
      </c>
      <c r="K42" s="58">
        <f>IF(I42=1,'M1'!$E12,"")</f>
        <v/>
      </c>
      <c r="L42" s="58">
        <f>IF(I42=1,90+J42*$I$22,"")</f>
        <v/>
      </c>
      <c r="M42" s="58">
        <f>IF(I42=1,574-K42*$I$23,"")</f>
        <v/>
      </c>
      <c r="N42" s="58">
        <f>IF(I42=1,'M1'!$I12,"")</f>
        <v/>
      </c>
      <c r="O42" s="58">
        <f>IF(I42=1,IF(N42="Motriz","#2A3439",IF(N42="Enlace","#6699CC",IF(N42="Resultado","#FFFFFF","#F5F5F5"))),"")</f>
        <v/>
      </c>
      <c r="P42" s="58">
        <f>IF(I42=1,IF(SUMPRODUCT((J$39:J41=J42)*(K$39:K41=K42))=0,1,0),0)</f>
        <v/>
      </c>
      <c r="Q42" s="58">
        <f>IF(P42=1,3&amp;IF(AND(J43=J42,K43=K42),","&amp;4,"")&amp;IF(AND(J44=J42,K44=K42),","&amp;5,"")&amp;IF(AND(J45=J42,K45=K42),","&amp;6,"")&amp;IF(AND(J46=J42,K46=K42),","&amp;7,"")&amp;IF(AND(J47=J42,K47=K42),","&amp;8,"")&amp;IF(AND(J48=J42,K48=K42),","&amp;9,"")&amp;IF(AND(J49=J42,K49=K42),","&amp;10,"")&amp;IF(AND(J50=J42,K50=K42),","&amp;11,"")&amp;IF(AND(J51=J42,K51=K42),","&amp;12,"")&amp;IF(AND(J52=J42,K52=K42),","&amp;13,"")&amp;IF(AND(J53=J42,K53=K42),","&amp;14,"")&amp;IF(AND(J54=J42,K54=K42),","&amp;15,"")&amp;IF(AND(J55=J42,K55=K42),","&amp;16,"")&amp;IF(AND(J56=J42,K56=K42),","&amp;17,"")&amp;IF(AND(J57=J42,K57=K42),","&amp;18,"")&amp;IF(AND(J58=J42,K58=K42),","&amp;19,"")&amp;IF(AND(J59=J42,K59=K42),","&amp;20,"")&amp;IF(AND(J60=J42,K60=K42),","&amp;21,"")&amp;IF(AND(J61=J42,K61=K42),","&amp;22,"")&amp;IF(AND(J62=J42,K62=K42),","&amp;23,"")&amp;IF(AND(J63=J42,K63=K42),","&amp;24,"")&amp;IF(AND(J64=J42,K64=K42),","&amp;25,"")&amp;IF(AND(J65=J42,K65=K42),","&amp;26,"")&amp;IF(AND(J66=J42,K66=K42),","&amp;27,"")&amp;IF(AND(J67=J42,K67=K42),","&amp;28,"")&amp;IF(AND(J68=J42,K68=K42),","&amp;29,"")&amp;IF(AND(J69=J42,K69=K42),","&amp;30,"")&amp;IF(AND(J70=J42,K70=K42),","&amp;31,"")&amp;IF(AND(J71=J42,K71=K42),","&amp;32,"")&amp;IF(AND(J72=J42,K72=K42),","&amp;33,"")&amp;IF(AND(J73=J42,K73=K42),","&amp;34,"")&amp;IF(AND(J74=J42,K74=K42),","&amp;35,"")&amp;IF(AND(J75=J42,K75=K42),","&amp;36,"")&amp;IF(AND(J76=J42,K76=K42),","&amp;37,"")&amp;IF(AND(J77=J42,K77=K42),","&amp;38,"")&amp;IF(AND(J78=J42,K78=K42),","&amp;39,"")&amp;IF(AND(J79=J42,K79=K42),","&amp;40,""),"")</f>
        <v/>
      </c>
      <c r="R42" s="58">
        <f>IF(P42=1,IF(N42="Motriz","&lt;circle cx='"&amp;SUBSTITUTE(ROUND(L42,1),",",".")&amp;"' cy='"&amp;SUBSTITUTE(ROUND(M42,1),",",".")&amp;"' r='6' fill='#2A3439' stroke='#2A3439' stroke-width='1.3'/&gt;",IF(N42="Enlace","&lt;rect x='"&amp;SUBSTITUTE(ROUND((L42)-5.52,1),",",".")&amp;"' y='"&amp;SUBSTITUTE(ROUND((M42)-5.52,1),",",".")&amp;"' width='11.04' height='11.04' fill='#6699CC' stroke='#2A3439' stroke-width='1.3'/&gt;",IF(N42="Resultado","&lt;path d='M"&amp;SUBSTITUTE(ROUND(L42,1),",",".")&amp;" "&amp;SUBSTITUTE(ROUND((M42)-6.9,1),",",".")&amp;"L"&amp;SUBSTITUTE(ROUND((L42)+6.3,1),",",".")&amp;" "&amp;SUBSTITUTE(ROUND((M42)+5.1,1),",",".")&amp;"L"&amp;SUBSTITUTE(ROUND((L42)-6.3,1),",",".")&amp;" "&amp;SUBSTITUTE(ROUND((M42)+5.1,1),",",".")&amp;"Z' fill='#FFFFFF' stroke='#2A3439' stroke-width='1.3'/&gt;","&lt;path d='M"&amp;SUBSTITUTE(ROUND(L42,1),",",".")&amp;" "&amp;SUBSTITUTE(ROUND((M42)-7.5,1),",",".")&amp;"L"&amp;SUBSTITUTE(ROUND((L42)+7.5,1),",",".")&amp;" "&amp;SUBSTITUTE(ROUND(M42,1),",",".")&amp;"L"&amp;SUBSTITUTE(ROUND(L42,1),",",".")&amp;" "&amp;SUBSTITUTE(ROUND((M42)+7.5,1),",",".")&amp;"L"&amp;SUBSTITUTE(ROUND((L42)-7.5,1),",",".")&amp;" "&amp;SUBSTITUTE(ROUND(M42,1),",",".")&amp;"Z' fill='#F5F5F5' stroke='#2A3439' stroke-width='1.3'/&gt;")))&amp;"&lt;text x='"&amp;SUBSTITUTE(ROUND(L42+9,1),",",".")&amp;"' y='"&amp;SUBSTITUTE(ROUND(M42-8,1),",",".")&amp;"'&gt;"&amp;Q42&amp;"&lt;/text&gt;","")</f>
        <v/>
      </c>
      <c r="S42" s="58">
        <f>IF(I42=1,IF(N42="Motriz","&lt;circle cx='"&amp;SUBSTITUTE(ROUND(728,1),",",".")&amp;"' cy='"&amp;SUBSTITUTE(ROUND(148.4,1),",",".")&amp;"' r='4.3' fill='#2A3439' stroke='#2A3439' stroke-width='1.3'/&gt;",IF(N42="Enlace","&lt;rect x='"&amp;SUBSTITUTE(ROUND((728)-3.96,1),",",".")&amp;"' y='"&amp;SUBSTITUTE(ROUND((148.4)-3.96,1),",",".")&amp;"' width='7.92' height='7.92' fill='#6699CC' stroke='#2A3439' stroke-width='1.3'/&gt;",IF(N42="Resultado","&lt;path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T42" s="58">
        <f>2*$I$14</f>
        <v/>
      </c>
      <c r="U42" s="58">
        <f>IF(2&lt;=$I$16,"&lt;line x1='"&amp;SUBSTITUTE(ROUND(90+T42*$I$22,1),",",".")&amp;"' y1='84' x2='"&amp;SUBSTITUTE(ROUND(90+T42*$I$22,1),",",".")&amp;"' y2='574' stroke='#FFFFFF'/&gt;&lt;text x='"&amp;SUBSTITUTE(ROUND(90+T42*$I$22,1),",",".")&amp;"' y='590' text-anchor='middle'&gt;"&amp;ROUND(T42*100,2)&amp;" %&lt;/text&gt;","")</f>
        <v/>
      </c>
      <c r="V42" s="58">
        <f>2*$I$19</f>
        <v/>
      </c>
      <c r="W42" s="58">
        <f>IF(2&lt;=$I$21,"&lt;line x1='90' y1='"&amp;SUBSTITUTE(ROUND(574-V42*$I$23,1),",",".")&amp;"' x2='650' y2='"&amp;SUBSTITUTE(ROUND(574-V42*$I$23,1),",",".")&amp;"' stroke='#FFFFFF'/&gt;&lt;text x='84' y='"&amp;SUBSTITUTE(ROUND(574-V42*$I$23+3,1),",",".")&amp;"' text-anchor='end'&gt;"&amp;ROUND(V42*100,2)&amp;" %&lt;/text&gt;","")</f>
        <v/>
      </c>
      <c r="Z42" s="58" t="n">
        <v>3</v>
      </c>
      <c r="AA42" s="58">
        <f>IF(AND($AA$4=1,Z42&lt;=nVariables),1,0)</f>
        <v/>
      </c>
      <c r="AB42" s="58">
        <f>IF(AA42=1,'M2'!$F12,"")</f>
        <v/>
      </c>
      <c r="AC42" s="58">
        <f>IF(AA42=1,'M2'!$E12,"")</f>
        <v/>
      </c>
      <c r="AD42" s="58">
        <f>IF(AA42=1,90+AB42*$AA$22,"")</f>
        <v/>
      </c>
      <c r="AE42" s="58">
        <f>IF(AA42=1,574-AC42*$AA$23,"")</f>
        <v/>
      </c>
      <c r="AF42" s="58">
        <f>IF(AA42=1,'M2'!$I12,"")</f>
        <v/>
      </c>
      <c r="AG42" s="58">
        <f>IF(AA42=1,IF(AF42="Motriz","#2A3439",IF(AF42="Enlace","#6699CC",IF(AF42="Resultado","#FFFFFF","#F5F5F5"))),"")</f>
        <v/>
      </c>
      <c r="AH42" s="58">
        <f>IF(AA42=1,IF(SUMPRODUCT((AB$39:AB41=AB42)*(AC$39:AC41=AC42))=0,1,0),0)</f>
        <v/>
      </c>
      <c r="AI42" s="58">
        <f>IF(AH42=1,3&amp;IF(AND(AB43=AB42,AC43=AC42),","&amp;4,"")&amp;IF(AND(AB44=AB42,AC44=AC42),","&amp;5,"")&amp;IF(AND(AB45=AB42,AC45=AC42),","&amp;6,"")&amp;IF(AND(AB46=AB42,AC46=AC42),","&amp;7,"")&amp;IF(AND(AB47=AB42,AC47=AC42),","&amp;8,"")&amp;IF(AND(AB48=AB42,AC48=AC42),","&amp;9,"")&amp;IF(AND(AB49=AB42,AC49=AC42),","&amp;10,"")&amp;IF(AND(AB50=AB42,AC50=AC42),","&amp;11,"")&amp;IF(AND(AB51=AB42,AC51=AC42),","&amp;12,"")&amp;IF(AND(AB52=AB42,AC52=AC42),","&amp;13,"")&amp;IF(AND(AB53=AB42,AC53=AC42),","&amp;14,"")&amp;IF(AND(AB54=AB42,AC54=AC42),","&amp;15,"")&amp;IF(AND(AB55=AB42,AC55=AC42),","&amp;16,"")&amp;IF(AND(AB56=AB42,AC56=AC42),","&amp;17,"")&amp;IF(AND(AB57=AB42,AC57=AC42),","&amp;18,"")&amp;IF(AND(AB58=AB42,AC58=AC42),","&amp;19,"")&amp;IF(AND(AB59=AB42,AC59=AC42),","&amp;20,"")&amp;IF(AND(AB60=AB42,AC60=AC42),","&amp;21,"")&amp;IF(AND(AB61=AB42,AC61=AC42),","&amp;22,"")&amp;IF(AND(AB62=AB42,AC62=AC42),","&amp;23,"")&amp;IF(AND(AB63=AB42,AC63=AC42),","&amp;24,"")&amp;IF(AND(AB64=AB42,AC64=AC42),","&amp;25,"")&amp;IF(AND(AB65=AB42,AC65=AC42),","&amp;26,"")&amp;IF(AND(AB66=AB42,AC66=AC42),","&amp;27,"")&amp;IF(AND(AB67=AB42,AC67=AC42),","&amp;28,"")&amp;IF(AND(AB68=AB42,AC68=AC42),","&amp;29,"")&amp;IF(AND(AB69=AB42,AC69=AC42),","&amp;30,"")&amp;IF(AND(AB70=AB42,AC70=AC42),","&amp;31,"")&amp;IF(AND(AB71=AB42,AC71=AC42),","&amp;32,"")&amp;IF(AND(AB72=AB42,AC72=AC42),","&amp;33,"")&amp;IF(AND(AB73=AB42,AC73=AC42),","&amp;34,"")&amp;IF(AND(AB74=AB42,AC74=AC42),","&amp;35,"")&amp;IF(AND(AB75=AB42,AC75=AC42),","&amp;36,"")&amp;IF(AND(AB76=AB42,AC76=AC42),","&amp;37,"")&amp;IF(AND(AB77=AB42,AC77=AC42),","&amp;38,"")&amp;IF(AND(AB78=AB42,AC78=AC42),","&amp;39,"")&amp;IF(AND(AB79=AB42,AC79=AC42),","&amp;40,""),"")</f>
        <v/>
      </c>
      <c r="AJ42" s="58">
        <f>IF(AH42=1,IF(AF42="Motriz","&lt;circle cx='"&amp;SUBSTITUTE(ROUND(AD42,1),",",".")&amp;"' cy='"&amp;SUBSTITUTE(ROUND(AE42,1),",",".")&amp;"' r='6' fill='#2A3439' stroke='#2A3439' stroke-width='1.3'/&gt;",IF(AF42="Enlace","&lt;rect x='"&amp;SUBSTITUTE(ROUND((AD42)-5.52,1),",",".")&amp;"' y='"&amp;SUBSTITUTE(ROUND((AE42)-5.52,1),",",".")&amp;"' width='11.04' height='11.04' fill='#6699CC' stroke='#2A3439' stroke-width='1.3'/&gt;",IF(AF42="Resultado","&lt;path d='M"&amp;SUBSTITUTE(ROUND(AD42,1),",",".")&amp;" "&amp;SUBSTITUTE(ROUND((AE42)-6.9,1),",",".")&amp;"L"&amp;SUBSTITUTE(ROUND((AD42)+6.3,1),",",".")&amp;" "&amp;SUBSTITUTE(ROUND((AE42)+5.1,1),",",".")&amp;"L"&amp;SUBSTITUTE(ROUND((AD42)-6.3,1),",",".")&amp;" "&amp;SUBSTITUTE(ROUND((AE42)+5.1,1),",",".")&amp;"Z' fill='#FFFFFF' stroke='#2A3439' stroke-width='1.3'/&gt;","&lt;path d='M"&amp;SUBSTITUTE(ROUND(AD42,1),",",".")&amp;" "&amp;SUBSTITUTE(ROUND((AE42)-7.5,1),",",".")&amp;"L"&amp;SUBSTITUTE(ROUND((AD42)+7.5,1),",",".")&amp;" "&amp;SUBSTITUTE(ROUND(AE42,1),",",".")&amp;"L"&amp;SUBSTITUTE(ROUND(AD42,1),",",".")&amp;" "&amp;SUBSTITUTE(ROUND((AE42)+7.5,1),",",".")&amp;"L"&amp;SUBSTITUTE(ROUND((AD42)-7.5,1),",",".")&amp;" "&amp;SUBSTITUTE(ROUND(AE42,1),",",".")&amp;"Z' fill='#F5F5F5' stroke='#2A3439' stroke-width='1.3'/&gt;")))&amp;"&lt;text x='"&amp;SUBSTITUTE(ROUND(AD42+9,1),",",".")&amp;"' y='"&amp;SUBSTITUTE(ROUND(AE42-8,1),",",".")&amp;"'&gt;"&amp;AI42&amp;"&lt;/text&gt;","")</f>
        <v/>
      </c>
      <c r="AK42" s="58">
        <f>IF(AA42=1,IF(AF42="Motriz","&lt;circle cx='"&amp;SUBSTITUTE(ROUND(728,1),",",".")&amp;"' cy='"&amp;SUBSTITUTE(ROUND(148.4,1),",",".")&amp;"' r='4.3' fill='#2A3439' stroke='#2A3439' stroke-width='1.3'/&gt;",IF(AF42="Enlace","&lt;rect x='"&amp;SUBSTITUTE(ROUND((728)-3.96,1),",",".")&amp;"' y='"&amp;SUBSTITUTE(ROUND((148.4)-3.96,1),",",".")&amp;"' width='7.92' height='7.92' fill='#6699CC' stroke='#2A3439' stroke-width='1.3'/&gt;",IF(AF42="Resultado","&lt;path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AL42" s="58">
        <f>2*$AA$14</f>
        <v/>
      </c>
      <c r="AM42" s="58">
        <f>IF(2&lt;=$AA$16,"&lt;line x1='"&amp;SUBSTITUTE(ROUND(90+AL42*$AA$22,1),",",".")&amp;"' y1='84' x2='"&amp;SUBSTITUTE(ROUND(90+AL42*$AA$22,1),",",".")&amp;"' y2='574' stroke='#FFFFFF'/&gt;&lt;text x='"&amp;SUBSTITUTE(ROUND(90+AL42*$AA$22,1),",",".")&amp;"' y='590' text-anchor='middle'&gt;"&amp;ROUND(AL42*100,2)&amp;" %&lt;/text&gt;","")</f>
        <v/>
      </c>
      <c r="AN42" s="58">
        <f>2*$AA$19</f>
        <v/>
      </c>
      <c r="AO42" s="58">
        <f>IF(2&lt;=$AA$21,"&lt;line x1='90' y1='"&amp;SUBSTITUTE(ROUND(574-AN42*$AA$23,1),",",".")&amp;"' x2='650' y2='"&amp;SUBSTITUTE(ROUND(574-AN42*$AA$23,1),",",".")&amp;"' stroke='#FFFFFF'/&gt;&lt;text x='84' y='"&amp;SUBSTITUTE(ROUND(574-AN42*$AA$23+3,1),",",".")&amp;"' text-anchor='end'&gt;"&amp;ROUND(AN42*100,2)&amp;" %&lt;/text&gt;","")</f>
        <v/>
      </c>
      <c r="AR42" s="58" t="n">
        <v>3</v>
      </c>
      <c r="AS42" s="58">
        <f>IF(AND($AS$4=1,AR42&lt;=nVariables),1,0)</f>
        <v/>
      </c>
      <c r="AT42" s="58">
        <f>IF(AS42=1,'M3'!$F12,"")</f>
        <v/>
      </c>
      <c r="AU42" s="58">
        <f>IF(AS42=1,'M3'!$E12,"")</f>
        <v/>
      </c>
      <c r="AV42" s="58">
        <f>IF(AS42=1,90+AT42*$AS$22,"")</f>
        <v/>
      </c>
      <c r="AW42" s="58">
        <f>IF(AS42=1,574-AU42*$AS$23,"")</f>
        <v/>
      </c>
      <c r="AX42" s="58">
        <f>IF(AS42=1,'M3'!$I12,"")</f>
        <v/>
      </c>
      <c r="AY42" s="58">
        <f>IF(AS42=1,IF(AX42="Motriz","#2A3439",IF(AX42="Enlace","#6699CC",IF(AX42="Resultado","#FFFFFF","#F5F5F5"))),"")</f>
        <v/>
      </c>
      <c r="AZ42" s="58">
        <f>IF(AS42=1,IF(SUMPRODUCT((AT$39:AT41=AT42)*(AU$39:AU41=AU42))=0,1,0),0)</f>
        <v/>
      </c>
      <c r="BA42" s="58">
        <f>IF(AZ42=1,3&amp;IF(AND(AT43=AT42,AU43=AU42),","&amp;4,"")&amp;IF(AND(AT44=AT42,AU44=AU42),","&amp;5,"")&amp;IF(AND(AT45=AT42,AU45=AU42),","&amp;6,"")&amp;IF(AND(AT46=AT42,AU46=AU42),","&amp;7,"")&amp;IF(AND(AT47=AT42,AU47=AU42),","&amp;8,"")&amp;IF(AND(AT48=AT42,AU48=AU42),","&amp;9,"")&amp;IF(AND(AT49=AT42,AU49=AU42),","&amp;10,"")&amp;IF(AND(AT50=AT42,AU50=AU42),","&amp;11,"")&amp;IF(AND(AT51=AT42,AU51=AU42),","&amp;12,"")&amp;IF(AND(AT52=AT42,AU52=AU42),","&amp;13,"")&amp;IF(AND(AT53=AT42,AU53=AU42),","&amp;14,"")&amp;IF(AND(AT54=AT42,AU54=AU42),","&amp;15,"")&amp;IF(AND(AT55=AT42,AU55=AU42),","&amp;16,"")&amp;IF(AND(AT56=AT42,AU56=AU42),","&amp;17,"")&amp;IF(AND(AT57=AT42,AU57=AU42),","&amp;18,"")&amp;IF(AND(AT58=AT42,AU58=AU42),","&amp;19,"")&amp;IF(AND(AT59=AT42,AU59=AU42),","&amp;20,"")&amp;IF(AND(AT60=AT42,AU60=AU42),","&amp;21,"")&amp;IF(AND(AT61=AT42,AU61=AU42),","&amp;22,"")&amp;IF(AND(AT62=AT42,AU62=AU42),","&amp;23,"")&amp;IF(AND(AT63=AT42,AU63=AU42),","&amp;24,"")&amp;IF(AND(AT64=AT42,AU64=AU42),","&amp;25,"")&amp;IF(AND(AT65=AT42,AU65=AU42),","&amp;26,"")&amp;IF(AND(AT66=AT42,AU66=AU42),","&amp;27,"")&amp;IF(AND(AT67=AT42,AU67=AU42),","&amp;28,"")&amp;IF(AND(AT68=AT42,AU68=AU42),","&amp;29,"")&amp;IF(AND(AT69=AT42,AU69=AU42),","&amp;30,"")&amp;IF(AND(AT70=AT42,AU70=AU42),","&amp;31,"")&amp;IF(AND(AT71=AT42,AU71=AU42),","&amp;32,"")&amp;IF(AND(AT72=AT42,AU72=AU42),","&amp;33,"")&amp;IF(AND(AT73=AT42,AU73=AU42),","&amp;34,"")&amp;IF(AND(AT74=AT42,AU74=AU42),","&amp;35,"")&amp;IF(AND(AT75=AT42,AU75=AU42),","&amp;36,"")&amp;IF(AND(AT76=AT42,AU76=AU42),","&amp;37,"")&amp;IF(AND(AT77=AT42,AU77=AU42),","&amp;38,"")&amp;IF(AND(AT78=AT42,AU78=AU42),","&amp;39,"")&amp;IF(AND(AT79=AT42,AU79=AU42),","&amp;40,""),"")</f>
        <v/>
      </c>
      <c r="BB42" s="58">
        <f>IF(AZ42=1,IF(AX42="Motriz","&lt;circle cx='"&amp;SUBSTITUTE(ROUND(AV42,1),",",".")&amp;"' cy='"&amp;SUBSTITUTE(ROUND(AW42,1),",",".")&amp;"' r='6' fill='#2A3439' stroke='#2A3439' stroke-width='1.3'/&gt;",IF(AX42="Enlace","&lt;rect x='"&amp;SUBSTITUTE(ROUND((AV42)-5.52,1),",",".")&amp;"' y='"&amp;SUBSTITUTE(ROUND((AW42)-5.52,1),",",".")&amp;"' width='11.04' height='11.04' fill='#6699CC' stroke='#2A3439' stroke-width='1.3'/&gt;",IF(AX42="Resultado","&lt;path d='M"&amp;SUBSTITUTE(ROUND(AV42,1),",",".")&amp;" "&amp;SUBSTITUTE(ROUND((AW42)-6.9,1),",",".")&amp;"L"&amp;SUBSTITUTE(ROUND((AV42)+6.3,1),",",".")&amp;" "&amp;SUBSTITUTE(ROUND((AW42)+5.1,1),",",".")&amp;"L"&amp;SUBSTITUTE(ROUND((AV42)-6.3,1),",",".")&amp;" "&amp;SUBSTITUTE(ROUND((AW42)+5.1,1),",",".")&amp;"Z' fill='#FFFFFF' stroke='#2A3439' stroke-width='1.3'/&gt;","&lt;path d='M"&amp;SUBSTITUTE(ROUND(AV42,1),",",".")&amp;" "&amp;SUBSTITUTE(ROUND((AW42)-7.5,1),",",".")&amp;"L"&amp;SUBSTITUTE(ROUND((AV42)+7.5,1),",",".")&amp;" "&amp;SUBSTITUTE(ROUND(AW42,1),",",".")&amp;"L"&amp;SUBSTITUTE(ROUND(AV42,1),",",".")&amp;" "&amp;SUBSTITUTE(ROUND((AW42)+7.5,1),",",".")&amp;"L"&amp;SUBSTITUTE(ROUND((AV42)-7.5,1),",",".")&amp;" "&amp;SUBSTITUTE(ROUND(AW42,1),",",".")&amp;"Z' fill='#F5F5F5' stroke='#2A3439' stroke-width='1.3'/&gt;")))&amp;"&lt;text x='"&amp;SUBSTITUTE(ROUND(AV42+9,1),",",".")&amp;"' y='"&amp;SUBSTITUTE(ROUND(AW42-8,1),",",".")&amp;"'&gt;"&amp;BA42&amp;"&lt;/text&gt;","")</f>
        <v/>
      </c>
      <c r="BC42" s="58">
        <f>IF(AS42=1,IF(AX42="Motriz","&lt;circle cx='"&amp;SUBSTITUTE(ROUND(728,1),",",".")&amp;"' cy='"&amp;SUBSTITUTE(ROUND(148.4,1),",",".")&amp;"' r='4.3' fill='#2A3439' stroke='#2A3439' stroke-width='1.3'/&gt;",IF(AX42="Enlace","&lt;rect x='"&amp;SUBSTITUTE(ROUND((728)-3.96,1),",",".")&amp;"' y='"&amp;SUBSTITUTE(ROUND((148.4)-3.96,1),",",".")&amp;"' width='7.92' height='7.92' fill='#6699CC' stroke='#2A3439' stroke-width='1.3'/&gt;",IF(AX42="Resultado","&lt;path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BD42" s="58">
        <f>2*$AS$14</f>
        <v/>
      </c>
      <c r="BE42" s="58">
        <f>IF(2&lt;=$AS$16,"&lt;line x1='"&amp;SUBSTITUTE(ROUND(90+BD42*$AS$22,1),",",".")&amp;"' y1='84' x2='"&amp;SUBSTITUTE(ROUND(90+BD42*$AS$22,1),",",".")&amp;"' y2='574' stroke='#FFFFFF'/&gt;&lt;text x='"&amp;SUBSTITUTE(ROUND(90+BD42*$AS$22,1),",",".")&amp;"' y='590' text-anchor='middle'&gt;"&amp;ROUND(BD42*100,2)&amp;" %&lt;/text&gt;","")</f>
        <v/>
      </c>
      <c r="BF42" s="58">
        <f>2*$AS$19</f>
        <v/>
      </c>
      <c r="BG42" s="58">
        <f>IF(2&lt;=$AS$21,"&lt;line x1='90' y1='"&amp;SUBSTITUTE(ROUND(574-BF42*$AS$23,1),",",".")&amp;"' x2='650' y2='"&amp;SUBSTITUTE(ROUND(574-BF42*$AS$23,1),",",".")&amp;"' stroke='#FFFFFF'/&gt;&lt;text x='84' y='"&amp;SUBSTITUTE(ROUND(574-BF42*$AS$23+3,1),",",".")&amp;"' text-anchor='end'&gt;"&amp;ROUND(BF42*100,2)&amp;" %&lt;/text&gt;","")</f>
        <v/>
      </c>
      <c r="BJ42" s="58" t="n">
        <v>3</v>
      </c>
      <c r="BK42" s="58">
        <f>IF(AND($BK$4=1,BJ42&lt;=nVariables),1,0)</f>
        <v/>
      </c>
      <c r="BL42" s="58">
        <f>IF(BK42=1,'M4'!$F12,"")</f>
        <v/>
      </c>
      <c r="BM42" s="58">
        <f>IF(BK42=1,'M4'!$E12,"")</f>
        <v/>
      </c>
      <c r="BN42" s="58">
        <f>IF(BK42=1,90+BL42*$BK$22,"")</f>
        <v/>
      </c>
      <c r="BO42" s="58">
        <f>IF(BK42=1,574-BM42*$BK$23,"")</f>
        <v/>
      </c>
      <c r="BP42" s="58">
        <f>IF(BK42=1,'M4'!$I12,"")</f>
        <v/>
      </c>
      <c r="BQ42" s="58">
        <f>IF(BK42=1,IF(BP42="Motriz","#2A3439",IF(BP42="Enlace","#6699CC",IF(BP42="Resultado","#FFFFFF","#F5F5F5"))),"")</f>
        <v/>
      </c>
      <c r="BR42" s="58">
        <f>IF(BK42=1,IF(SUMPRODUCT((BL$39:BL41=BL42)*(BM$39:BM41=BM42))=0,1,0),0)</f>
        <v/>
      </c>
      <c r="BS42" s="58">
        <f>IF(BR42=1,3&amp;IF(AND(BL43=BL42,BM43=BM42),","&amp;4,"")&amp;IF(AND(BL44=BL42,BM44=BM42),","&amp;5,"")&amp;IF(AND(BL45=BL42,BM45=BM42),","&amp;6,"")&amp;IF(AND(BL46=BL42,BM46=BM42),","&amp;7,"")&amp;IF(AND(BL47=BL42,BM47=BM42),","&amp;8,"")&amp;IF(AND(BL48=BL42,BM48=BM42),","&amp;9,"")&amp;IF(AND(BL49=BL42,BM49=BM42),","&amp;10,"")&amp;IF(AND(BL50=BL42,BM50=BM42),","&amp;11,"")&amp;IF(AND(BL51=BL42,BM51=BM42),","&amp;12,"")&amp;IF(AND(BL52=BL42,BM52=BM42),","&amp;13,"")&amp;IF(AND(BL53=BL42,BM53=BM42),","&amp;14,"")&amp;IF(AND(BL54=BL42,BM54=BM42),","&amp;15,"")&amp;IF(AND(BL55=BL42,BM55=BM42),","&amp;16,"")&amp;IF(AND(BL56=BL42,BM56=BM42),","&amp;17,"")&amp;IF(AND(BL57=BL42,BM57=BM42),","&amp;18,"")&amp;IF(AND(BL58=BL42,BM58=BM42),","&amp;19,"")&amp;IF(AND(BL59=BL42,BM59=BM42),","&amp;20,"")&amp;IF(AND(BL60=BL42,BM60=BM42),","&amp;21,"")&amp;IF(AND(BL61=BL42,BM61=BM42),","&amp;22,"")&amp;IF(AND(BL62=BL42,BM62=BM42),","&amp;23,"")&amp;IF(AND(BL63=BL42,BM63=BM42),","&amp;24,"")&amp;IF(AND(BL64=BL42,BM64=BM42),","&amp;25,"")&amp;IF(AND(BL65=BL42,BM65=BM42),","&amp;26,"")&amp;IF(AND(BL66=BL42,BM66=BM42),","&amp;27,"")&amp;IF(AND(BL67=BL42,BM67=BM42),","&amp;28,"")&amp;IF(AND(BL68=BL42,BM68=BM42),","&amp;29,"")&amp;IF(AND(BL69=BL42,BM69=BM42),","&amp;30,"")&amp;IF(AND(BL70=BL42,BM70=BM42),","&amp;31,"")&amp;IF(AND(BL71=BL42,BM71=BM42),","&amp;32,"")&amp;IF(AND(BL72=BL42,BM72=BM42),","&amp;33,"")&amp;IF(AND(BL73=BL42,BM73=BM42),","&amp;34,"")&amp;IF(AND(BL74=BL42,BM74=BM42),","&amp;35,"")&amp;IF(AND(BL75=BL42,BM75=BM42),","&amp;36,"")&amp;IF(AND(BL76=BL42,BM76=BM42),","&amp;37,"")&amp;IF(AND(BL77=BL42,BM77=BM42),","&amp;38,"")&amp;IF(AND(BL78=BL42,BM78=BM42),","&amp;39,"")&amp;IF(AND(BL79=BL42,BM79=BM42),","&amp;40,""),"")</f>
        <v/>
      </c>
      <c r="BT42" s="58">
        <f>IF(BR42=1,IF(BP42="Motriz","&lt;circle cx='"&amp;SUBSTITUTE(ROUND(BN42,1),",",".")&amp;"' cy='"&amp;SUBSTITUTE(ROUND(BO42,1),",",".")&amp;"' r='6' fill='#2A3439' stroke='#2A3439' stroke-width='1.3'/&gt;",IF(BP42="Enlace","&lt;rect x='"&amp;SUBSTITUTE(ROUND((BN42)-5.52,1),",",".")&amp;"' y='"&amp;SUBSTITUTE(ROUND((BO42)-5.52,1),",",".")&amp;"' width='11.04' height='11.04' fill='#6699CC' stroke='#2A3439' stroke-width='1.3'/&gt;",IF(BP42="Resultado","&lt;path d='M"&amp;SUBSTITUTE(ROUND(BN42,1),",",".")&amp;" "&amp;SUBSTITUTE(ROUND((BO42)-6.9,1),",",".")&amp;"L"&amp;SUBSTITUTE(ROUND((BN42)+6.3,1),",",".")&amp;" "&amp;SUBSTITUTE(ROUND((BO42)+5.1,1),",",".")&amp;"L"&amp;SUBSTITUTE(ROUND((BN42)-6.3,1),",",".")&amp;" "&amp;SUBSTITUTE(ROUND((BO42)+5.1,1),",",".")&amp;"Z' fill='#FFFFFF' stroke='#2A3439' stroke-width='1.3'/&gt;","&lt;path d='M"&amp;SUBSTITUTE(ROUND(BN42,1),",",".")&amp;" "&amp;SUBSTITUTE(ROUND((BO42)-7.5,1),",",".")&amp;"L"&amp;SUBSTITUTE(ROUND((BN42)+7.5,1),",",".")&amp;" "&amp;SUBSTITUTE(ROUND(BO42,1),",",".")&amp;"L"&amp;SUBSTITUTE(ROUND(BN42,1),",",".")&amp;" "&amp;SUBSTITUTE(ROUND((BO42)+7.5,1),",",".")&amp;"L"&amp;SUBSTITUTE(ROUND((BN42)-7.5,1),",",".")&amp;" "&amp;SUBSTITUTE(ROUND(BO42,1),",",".")&amp;"Z' fill='#F5F5F5' stroke='#2A3439' stroke-width='1.3'/&gt;")))&amp;"&lt;text x='"&amp;SUBSTITUTE(ROUND(BN42+9,1),",",".")&amp;"' y='"&amp;SUBSTITUTE(ROUND(BO42-8,1),",",".")&amp;"'&gt;"&amp;BS42&amp;"&lt;/text&gt;","")</f>
        <v/>
      </c>
      <c r="BU42" s="58">
        <f>IF(BK42=1,IF(BP42="Motriz","&lt;circle cx='"&amp;SUBSTITUTE(ROUND(728,1),",",".")&amp;"' cy='"&amp;SUBSTITUTE(ROUND(148.4,1),",",".")&amp;"' r='4.3' fill='#2A3439' stroke='#2A3439' stroke-width='1.3'/&gt;",IF(BP42="Enlace","&lt;rect x='"&amp;SUBSTITUTE(ROUND((728)-3.96,1),",",".")&amp;"' y='"&amp;SUBSTITUTE(ROUND((148.4)-3.96,1),",",".")&amp;"' width='7.92' height='7.92' fill='#6699CC' stroke='#2A3439' stroke-width='1.3'/&gt;",IF(BP42="Resultado","&lt;path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BV42" s="58">
        <f>2*$BK$14</f>
        <v/>
      </c>
      <c r="BW42" s="58">
        <f>IF(2&lt;=$BK$16,"&lt;line x1='"&amp;SUBSTITUTE(ROUND(90+BV42*$BK$22,1),",",".")&amp;"' y1='84' x2='"&amp;SUBSTITUTE(ROUND(90+BV42*$BK$22,1),",",".")&amp;"' y2='574' stroke='#FFFFFF'/&gt;&lt;text x='"&amp;SUBSTITUTE(ROUND(90+BV42*$BK$22,1),",",".")&amp;"' y='590' text-anchor='middle'&gt;"&amp;ROUND(BV42*100,2)&amp;" %&lt;/text&gt;","")</f>
        <v/>
      </c>
      <c r="BX42" s="58">
        <f>2*$BK$19</f>
        <v/>
      </c>
      <c r="BY42" s="58">
        <f>IF(2&lt;=$BK$21,"&lt;line x1='90' y1='"&amp;SUBSTITUTE(ROUND(574-BX42*$BK$23,1),",",".")&amp;"' x2='650' y2='"&amp;SUBSTITUTE(ROUND(574-BX42*$BK$23,1),",",".")&amp;"' stroke='#FFFFFF'/&gt;&lt;text x='84' y='"&amp;SUBSTITUTE(ROUND(574-BX42*$BK$23+3,1),",",".")&amp;"' text-anchor='end'&gt;"&amp;ROUND(BX42*100,2)&amp;" %&lt;/text&gt;","")</f>
        <v/>
      </c>
      <c r="CB42" s="58" t="n">
        <v>3</v>
      </c>
      <c r="CC42" s="58">
        <f>IF(AND($CC$4=1,CB42&lt;=nVariables),1,0)</f>
        <v/>
      </c>
      <c r="CD42" s="58">
        <f>IF(CC42=1,'M5'!$F12,"")</f>
        <v/>
      </c>
      <c r="CE42" s="58">
        <f>IF(CC42=1,'M5'!$E12,"")</f>
        <v/>
      </c>
      <c r="CF42" s="58">
        <f>IF(CC42=1,90+CD42*$CC$22,"")</f>
        <v/>
      </c>
      <c r="CG42" s="58">
        <f>IF(CC42=1,574-CE42*$CC$23,"")</f>
        <v/>
      </c>
      <c r="CH42" s="58">
        <f>IF(CC42=1,'M5'!$I12,"")</f>
        <v/>
      </c>
      <c r="CI42" s="58">
        <f>IF(CC42=1,IF(CH42="Motriz","#2A3439",IF(CH42="Enlace","#6699CC",IF(CH42="Resultado","#FFFFFF","#F5F5F5"))),"")</f>
        <v/>
      </c>
      <c r="CJ42" s="58">
        <f>IF(CC42=1,IF(SUMPRODUCT((CD$39:CD41=CD42)*(CE$39:CE41=CE42))=0,1,0),0)</f>
        <v/>
      </c>
      <c r="CK42" s="58">
        <f>IF(CJ42=1,3&amp;IF(AND(CD43=CD42,CE43=CE42),","&amp;4,"")&amp;IF(AND(CD44=CD42,CE44=CE42),","&amp;5,"")&amp;IF(AND(CD45=CD42,CE45=CE42),","&amp;6,"")&amp;IF(AND(CD46=CD42,CE46=CE42),","&amp;7,"")&amp;IF(AND(CD47=CD42,CE47=CE42),","&amp;8,"")&amp;IF(AND(CD48=CD42,CE48=CE42),","&amp;9,"")&amp;IF(AND(CD49=CD42,CE49=CE42),","&amp;10,"")&amp;IF(AND(CD50=CD42,CE50=CE42),","&amp;11,"")&amp;IF(AND(CD51=CD42,CE51=CE42),","&amp;12,"")&amp;IF(AND(CD52=CD42,CE52=CE42),","&amp;13,"")&amp;IF(AND(CD53=CD42,CE53=CE42),","&amp;14,"")&amp;IF(AND(CD54=CD42,CE54=CE42),","&amp;15,"")&amp;IF(AND(CD55=CD42,CE55=CE42),","&amp;16,"")&amp;IF(AND(CD56=CD42,CE56=CE42),","&amp;17,"")&amp;IF(AND(CD57=CD42,CE57=CE42),","&amp;18,"")&amp;IF(AND(CD58=CD42,CE58=CE42),","&amp;19,"")&amp;IF(AND(CD59=CD42,CE59=CE42),","&amp;20,"")&amp;IF(AND(CD60=CD42,CE60=CE42),","&amp;21,"")&amp;IF(AND(CD61=CD42,CE61=CE42),","&amp;22,"")&amp;IF(AND(CD62=CD42,CE62=CE42),","&amp;23,"")&amp;IF(AND(CD63=CD42,CE63=CE42),","&amp;24,"")&amp;IF(AND(CD64=CD42,CE64=CE42),","&amp;25,"")&amp;IF(AND(CD65=CD42,CE65=CE42),","&amp;26,"")&amp;IF(AND(CD66=CD42,CE66=CE42),","&amp;27,"")&amp;IF(AND(CD67=CD42,CE67=CE42),","&amp;28,"")&amp;IF(AND(CD68=CD42,CE68=CE42),","&amp;29,"")&amp;IF(AND(CD69=CD42,CE69=CE42),","&amp;30,"")&amp;IF(AND(CD70=CD42,CE70=CE42),","&amp;31,"")&amp;IF(AND(CD71=CD42,CE71=CE42),","&amp;32,"")&amp;IF(AND(CD72=CD42,CE72=CE42),","&amp;33,"")&amp;IF(AND(CD73=CD42,CE73=CE42),","&amp;34,"")&amp;IF(AND(CD74=CD42,CE74=CE42),","&amp;35,"")&amp;IF(AND(CD75=CD42,CE75=CE42),","&amp;36,"")&amp;IF(AND(CD76=CD42,CE76=CE42),","&amp;37,"")&amp;IF(AND(CD77=CD42,CE77=CE42),","&amp;38,"")&amp;IF(AND(CD78=CD42,CE78=CE42),","&amp;39,"")&amp;IF(AND(CD79=CD42,CE79=CE42),","&amp;40,""),"")</f>
        <v/>
      </c>
      <c r="CL42" s="58">
        <f>IF(CJ42=1,IF(CH42="Motriz","&lt;circle cx='"&amp;SUBSTITUTE(ROUND(CF42,1),",",".")&amp;"' cy='"&amp;SUBSTITUTE(ROUND(CG42,1),",",".")&amp;"' r='6' fill='#2A3439' stroke='#2A3439' stroke-width='1.3'/&gt;",IF(CH42="Enlace","&lt;rect x='"&amp;SUBSTITUTE(ROUND((CF42)-5.52,1),",",".")&amp;"' y='"&amp;SUBSTITUTE(ROUND((CG42)-5.52,1),",",".")&amp;"' width='11.04' height='11.04' fill='#6699CC' stroke='#2A3439' stroke-width='1.3'/&gt;",IF(CH42="Resultado","&lt;path d='M"&amp;SUBSTITUTE(ROUND(CF42,1),",",".")&amp;" "&amp;SUBSTITUTE(ROUND((CG42)-6.9,1),",",".")&amp;"L"&amp;SUBSTITUTE(ROUND((CF42)+6.3,1),",",".")&amp;" "&amp;SUBSTITUTE(ROUND((CG42)+5.1,1),",",".")&amp;"L"&amp;SUBSTITUTE(ROUND((CF42)-6.3,1),",",".")&amp;" "&amp;SUBSTITUTE(ROUND((CG42)+5.1,1),",",".")&amp;"Z' fill='#FFFFFF' stroke='#2A3439' stroke-width='1.3'/&gt;","&lt;path d='M"&amp;SUBSTITUTE(ROUND(CF42,1),",",".")&amp;" "&amp;SUBSTITUTE(ROUND((CG42)-7.5,1),",",".")&amp;"L"&amp;SUBSTITUTE(ROUND((CF42)+7.5,1),",",".")&amp;" "&amp;SUBSTITUTE(ROUND(CG42,1),",",".")&amp;"L"&amp;SUBSTITUTE(ROUND(CF42,1),",",".")&amp;" "&amp;SUBSTITUTE(ROUND((CG42)+7.5,1),",",".")&amp;"L"&amp;SUBSTITUTE(ROUND((CF42)-7.5,1),",",".")&amp;" "&amp;SUBSTITUTE(ROUND(CG42,1),",",".")&amp;"Z' fill='#F5F5F5' stroke='#2A3439' stroke-width='1.3'/&gt;")))&amp;"&lt;text x='"&amp;SUBSTITUTE(ROUND(CF42+9,1),",",".")&amp;"' y='"&amp;SUBSTITUTE(ROUND(CG42-8,1),",",".")&amp;"'&gt;"&amp;CK42&amp;"&lt;/text&gt;","")</f>
        <v/>
      </c>
      <c r="CM42" s="58">
        <f>IF(CC42=1,IF(CH42="Motriz","&lt;circle cx='"&amp;SUBSTITUTE(ROUND(728,1),",",".")&amp;"' cy='"&amp;SUBSTITUTE(ROUND(148.4,1),",",".")&amp;"' r='4.3' fill='#2A3439' stroke='#2A3439' stroke-width='1.3'/&gt;",IF(CH42="Enlace","&lt;rect x='"&amp;SUBSTITUTE(ROUND((728)-3.96,1),",",".")&amp;"' y='"&amp;SUBSTITUTE(ROUND((148.4)-3.96,1),",",".")&amp;"' width='7.92' height='7.92' fill='#6699CC' stroke='#2A3439' stroke-width='1.3'/&gt;",IF(CH42="Resultado","&lt;path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CN42" s="58">
        <f>2*$CC$14</f>
        <v/>
      </c>
      <c r="CO42" s="58">
        <f>IF(2&lt;=$CC$16,"&lt;line x1='"&amp;SUBSTITUTE(ROUND(90+CN42*$CC$22,1),",",".")&amp;"' y1='84' x2='"&amp;SUBSTITUTE(ROUND(90+CN42*$CC$22,1),",",".")&amp;"' y2='574' stroke='#FFFFFF'/&gt;&lt;text x='"&amp;SUBSTITUTE(ROUND(90+CN42*$CC$22,1),",",".")&amp;"' y='590' text-anchor='middle'&gt;"&amp;ROUND(CN42*100,2)&amp;" %&lt;/text&gt;","")</f>
        <v/>
      </c>
      <c r="CP42" s="58">
        <f>2*$CC$19</f>
        <v/>
      </c>
      <c r="CQ42" s="58">
        <f>IF(2&lt;=$CC$21,"&lt;line x1='90' y1='"&amp;SUBSTITUTE(ROUND(574-CP42*$CC$23,1),",",".")&amp;"' x2='650' y2='"&amp;SUBSTITUTE(ROUND(574-CP42*$CC$23,1),",",".")&amp;"' stroke='#FFFFFF'/&gt;&lt;text x='84' y='"&amp;SUBSTITUTE(ROUND(574-CP42*$CC$23+3,1),",",".")&amp;"' text-anchor='end'&gt;"&amp;ROUND(CP42*100,2)&amp;" %&lt;/text&gt;","")</f>
        <v/>
      </c>
      <c r="CT42" s="58" t="n">
        <v>3</v>
      </c>
      <c r="CU42" s="58">
        <f>IF(AND($CU$4=1,CT42&lt;=nVariables),1,0)</f>
        <v/>
      </c>
      <c r="CV42" s="58">
        <f>IF(CU42=1,'M6'!$F12,"")</f>
        <v/>
      </c>
      <c r="CW42" s="58">
        <f>IF(CU42=1,'M6'!$E12,"")</f>
        <v/>
      </c>
      <c r="CX42" s="58">
        <f>IF(CU42=1,90+CV42*$CU$22,"")</f>
        <v/>
      </c>
      <c r="CY42" s="58">
        <f>IF(CU42=1,574-CW42*$CU$23,"")</f>
        <v/>
      </c>
      <c r="CZ42" s="58">
        <f>IF(CU42=1,'M6'!$I12,"")</f>
        <v/>
      </c>
      <c r="DA42" s="58">
        <f>IF(CU42=1,IF(CZ42="Motriz","#2A3439",IF(CZ42="Enlace","#6699CC",IF(CZ42="Resultado","#FFFFFF","#F5F5F5"))),"")</f>
        <v/>
      </c>
      <c r="DB42" s="58">
        <f>IF(CU42=1,IF(SUMPRODUCT((CV$39:CV41=CV42)*(CW$39:CW41=CW42))=0,1,0),0)</f>
        <v/>
      </c>
      <c r="DC42" s="58">
        <f>IF(DB42=1,3&amp;IF(AND(CV43=CV42,CW43=CW42),","&amp;4,"")&amp;IF(AND(CV44=CV42,CW44=CW42),","&amp;5,"")&amp;IF(AND(CV45=CV42,CW45=CW42),","&amp;6,"")&amp;IF(AND(CV46=CV42,CW46=CW42),","&amp;7,"")&amp;IF(AND(CV47=CV42,CW47=CW42),","&amp;8,"")&amp;IF(AND(CV48=CV42,CW48=CW42),","&amp;9,"")&amp;IF(AND(CV49=CV42,CW49=CW42),","&amp;10,"")&amp;IF(AND(CV50=CV42,CW50=CW42),","&amp;11,"")&amp;IF(AND(CV51=CV42,CW51=CW42),","&amp;12,"")&amp;IF(AND(CV52=CV42,CW52=CW42),","&amp;13,"")&amp;IF(AND(CV53=CV42,CW53=CW42),","&amp;14,"")&amp;IF(AND(CV54=CV42,CW54=CW42),","&amp;15,"")&amp;IF(AND(CV55=CV42,CW55=CW42),","&amp;16,"")&amp;IF(AND(CV56=CV42,CW56=CW42),","&amp;17,"")&amp;IF(AND(CV57=CV42,CW57=CW42),","&amp;18,"")&amp;IF(AND(CV58=CV42,CW58=CW42),","&amp;19,"")&amp;IF(AND(CV59=CV42,CW59=CW42),","&amp;20,"")&amp;IF(AND(CV60=CV42,CW60=CW42),","&amp;21,"")&amp;IF(AND(CV61=CV42,CW61=CW42),","&amp;22,"")&amp;IF(AND(CV62=CV42,CW62=CW42),","&amp;23,"")&amp;IF(AND(CV63=CV42,CW63=CW42),","&amp;24,"")&amp;IF(AND(CV64=CV42,CW64=CW42),","&amp;25,"")&amp;IF(AND(CV65=CV42,CW65=CW42),","&amp;26,"")&amp;IF(AND(CV66=CV42,CW66=CW42),","&amp;27,"")&amp;IF(AND(CV67=CV42,CW67=CW42),","&amp;28,"")&amp;IF(AND(CV68=CV42,CW68=CW42),","&amp;29,"")&amp;IF(AND(CV69=CV42,CW69=CW42),","&amp;30,"")&amp;IF(AND(CV70=CV42,CW70=CW42),","&amp;31,"")&amp;IF(AND(CV71=CV42,CW71=CW42),","&amp;32,"")&amp;IF(AND(CV72=CV42,CW72=CW42),","&amp;33,"")&amp;IF(AND(CV73=CV42,CW73=CW42),","&amp;34,"")&amp;IF(AND(CV74=CV42,CW74=CW42),","&amp;35,"")&amp;IF(AND(CV75=CV42,CW75=CW42),","&amp;36,"")&amp;IF(AND(CV76=CV42,CW76=CW42),","&amp;37,"")&amp;IF(AND(CV77=CV42,CW77=CW42),","&amp;38,"")&amp;IF(AND(CV78=CV42,CW78=CW42),","&amp;39,"")&amp;IF(AND(CV79=CV42,CW79=CW42),","&amp;40,""),"")</f>
        <v/>
      </c>
      <c r="DD42" s="58">
        <f>IF(DB42=1,IF(CZ42="Motriz","&lt;circle cx='"&amp;SUBSTITUTE(ROUND(CX42,1),",",".")&amp;"' cy='"&amp;SUBSTITUTE(ROUND(CY42,1),",",".")&amp;"' r='6' fill='#2A3439' stroke='#2A3439' stroke-width='1.3'/&gt;",IF(CZ42="Enlace","&lt;rect x='"&amp;SUBSTITUTE(ROUND((CX42)-5.52,1),",",".")&amp;"' y='"&amp;SUBSTITUTE(ROUND((CY42)-5.52,1),",",".")&amp;"' width='11.04' height='11.04' fill='#6699CC' stroke='#2A3439' stroke-width='1.3'/&gt;",IF(CZ42="Resultado","&lt;path d='M"&amp;SUBSTITUTE(ROUND(CX42,1),",",".")&amp;" "&amp;SUBSTITUTE(ROUND((CY42)-6.9,1),",",".")&amp;"L"&amp;SUBSTITUTE(ROUND((CX42)+6.3,1),",",".")&amp;" "&amp;SUBSTITUTE(ROUND((CY42)+5.1,1),",",".")&amp;"L"&amp;SUBSTITUTE(ROUND((CX42)-6.3,1),",",".")&amp;" "&amp;SUBSTITUTE(ROUND((CY42)+5.1,1),",",".")&amp;"Z' fill='#FFFFFF' stroke='#2A3439' stroke-width='1.3'/&gt;","&lt;path d='M"&amp;SUBSTITUTE(ROUND(CX42,1),",",".")&amp;" "&amp;SUBSTITUTE(ROUND((CY42)-7.5,1),",",".")&amp;"L"&amp;SUBSTITUTE(ROUND((CX42)+7.5,1),",",".")&amp;" "&amp;SUBSTITUTE(ROUND(CY42,1),",",".")&amp;"L"&amp;SUBSTITUTE(ROUND(CX42,1),",",".")&amp;" "&amp;SUBSTITUTE(ROUND((CY42)+7.5,1),",",".")&amp;"L"&amp;SUBSTITUTE(ROUND((CX42)-7.5,1),",",".")&amp;" "&amp;SUBSTITUTE(ROUND(CY42,1),",",".")&amp;"Z' fill='#F5F5F5' stroke='#2A3439' stroke-width='1.3'/&gt;")))&amp;"&lt;text x='"&amp;SUBSTITUTE(ROUND(CX42+9,1),",",".")&amp;"' y='"&amp;SUBSTITUTE(ROUND(CY42-8,1),",",".")&amp;"'&gt;"&amp;DC42&amp;"&lt;/text&gt;","")</f>
        <v/>
      </c>
      <c r="DE42" s="58">
        <f>IF(CU42=1,IF(CZ42="Motriz","&lt;circle cx='"&amp;SUBSTITUTE(ROUND(728,1),",",".")&amp;"' cy='"&amp;SUBSTITUTE(ROUND(148.4,1),",",".")&amp;"' r='4.3' fill='#2A3439' stroke='#2A3439' stroke-width='1.3'/&gt;",IF(CZ42="Enlace","&lt;rect x='"&amp;SUBSTITUTE(ROUND((728)-3.96,1),",",".")&amp;"' y='"&amp;SUBSTITUTE(ROUND((148.4)-3.96,1),",",".")&amp;"' width='7.92' height='7.92' fill='#6699CC' stroke='#2A3439' stroke-width='1.3'/&gt;",IF(CZ42="Resultado","&lt;path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DF42" s="58">
        <f>2*$CU$14</f>
        <v/>
      </c>
      <c r="DG42" s="58">
        <f>IF(2&lt;=$CU$16,"&lt;line x1='"&amp;SUBSTITUTE(ROUND(90+DF42*$CU$22,1),",",".")&amp;"' y1='84' x2='"&amp;SUBSTITUTE(ROUND(90+DF42*$CU$22,1),",",".")&amp;"' y2='574' stroke='#FFFFFF'/&gt;&lt;text x='"&amp;SUBSTITUTE(ROUND(90+DF42*$CU$22,1),",",".")&amp;"' y='590' text-anchor='middle'&gt;"&amp;ROUND(DF42*100,2)&amp;" %&lt;/text&gt;","")</f>
        <v/>
      </c>
      <c r="DH42" s="58">
        <f>2*$CU$19</f>
        <v/>
      </c>
      <c r="DI42" s="58">
        <f>IF(2&lt;=$CU$21,"&lt;line x1='90' y1='"&amp;SUBSTITUTE(ROUND(574-DH42*$CU$23,1),",",".")&amp;"' x2='650' y2='"&amp;SUBSTITUTE(ROUND(574-DH42*$CU$23,1),",",".")&amp;"' stroke='#FFFFFF'/&gt;&lt;text x='84' y='"&amp;SUBSTITUTE(ROUND(574-DH42*$CU$23+3,1),",",".")&amp;"' text-anchor='end'&gt;"&amp;ROUND(DH42*100,2)&amp;" %&lt;/text&gt;","")</f>
        <v/>
      </c>
      <c r="DL42" s="58" t="inlineStr">
        <is>
          <t>SVG: cajas</t>
        </is>
      </c>
      <c r="DM42" s="59">
        <f>"&lt;g id='variables' fill='#2A3439' text-anchor='middle'&gt;"&amp;DW52&amp;DW53&amp;DW54&amp;DW55&amp;DW56&amp;DW57&amp;DW58&amp;DW59&amp;DW60&amp;DW61&amp;DW62&amp;DW63&amp;DW64&amp;DW65&amp;DW66&amp;DW67&amp;DW68&amp;DW69&amp;DW70&amp;DW71&amp;DW72&amp;DW73&amp;DW74&amp;DW75&amp;DW76&amp;DW77&amp;DW78&amp;DW79&amp;DW80&amp;DW81&amp;DW82&amp;DW83&amp;DW84&amp;DW85&amp;DW86&amp;DW87&amp;DW88&amp;DW89&amp;DW90&amp;DW91&amp;"&lt;/g&gt;&lt;/svg&gt;"</f>
        <v/>
      </c>
    </row>
    <row r="43">
      <c r="A43" s="58" t="n">
        <v>4</v>
      </c>
      <c r="B43" s="58">
        <f>IF($A43&lt;=nVariables,SUBSTITUTE(SUBSTITUTE(SUBSTITUTE(SUBSTITUTE(SUBSTITUTE(SUBSTITUTE(SUBSTITUTE(TRIM(CLEAN(IF(LEN(TRIM(M!$B13))&gt;46,LEFT(TRIM(M!$B13),45)&amp;"…",TRIM(M!$B13)))),"&amp;","&amp;amp;"),"&lt;","&amp;lt;"),"&gt;","&amp;gt;"),CHAR(34),"&amp;quot;"),CHAR(10)," "),CHAR(9)," "),CHAR(13)," "),"")</f>
        <v/>
      </c>
      <c r="C43" s="58">
        <f>IF($A43&lt;=nVariables,$A43&amp;". "&amp;B43,"")</f>
        <v/>
      </c>
      <c r="D43" s="58">
        <f>IF($A43&lt;=nVariables,IF(TRIM(M!$C13)&lt;&gt;"",TRIM(M!$C13),IF(LEN(TRIM(M!$B13))&gt;24,LEFT(TRIM(M!$B13),23)&amp;"…",TRIM(M!$B13))),"")</f>
        <v/>
      </c>
      <c r="E43" s="58">
        <f>IF($A43&lt;=nVariables,TRIM('Árbol de Problemas'!$F22),"")</f>
        <v/>
      </c>
      <c r="H43" s="58" t="n">
        <v>4</v>
      </c>
      <c r="I43" s="58">
        <f>IF(AND($I$4=1,H43&lt;=nVariables),1,0)</f>
        <v/>
      </c>
      <c r="J43" s="58">
        <f>IF(I43=1,'M1'!$F13,"")</f>
        <v/>
      </c>
      <c r="K43" s="58">
        <f>IF(I43=1,'M1'!$E13,"")</f>
        <v/>
      </c>
      <c r="L43" s="58">
        <f>IF(I43=1,90+J43*$I$22,"")</f>
        <v/>
      </c>
      <c r="M43" s="58">
        <f>IF(I43=1,574-K43*$I$23,"")</f>
        <v/>
      </c>
      <c r="N43" s="58">
        <f>IF(I43=1,'M1'!$I13,"")</f>
        <v/>
      </c>
      <c r="O43" s="58">
        <f>IF(I43=1,IF(N43="Motriz","#2A3439",IF(N43="Enlace","#6699CC",IF(N43="Resultado","#FFFFFF","#F5F5F5"))),"")</f>
        <v/>
      </c>
      <c r="P43" s="58">
        <f>IF(I43=1,IF(SUMPRODUCT((J$39:J42=J43)*(K$39:K42=K43))=0,1,0),0)</f>
        <v/>
      </c>
      <c r="Q43" s="58">
        <f>IF(P43=1,4&amp;IF(AND(J44=J43,K44=K43),","&amp;5,"")&amp;IF(AND(J45=J43,K45=K43),","&amp;6,"")&amp;IF(AND(J46=J43,K46=K43),","&amp;7,"")&amp;IF(AND(J47=J43,K47=K43),","&amp;8,"")&amp;IF(AND(J48=J43,K48=K43),","&amp;9,"")&amp;IF(AND(J49=J43,K49=K43),","&amp;10,"")&amp;IF(AND(J50=J43,K50=K43),","&amp;11,"")&amp;IF(AND(J51=J43,K51=K43),","&amp;12,"")&amp;IF(AND(J52=J43,K52=K43),","&amp;13,"")&amp;IF(AND(J53=J43,K53=K43),","&amp;14,"")&amp;IF(AND(J54=J43,K54=K43),","&amp;15,"")&amp;IF(AND(J55=J43,K55=K43),","&amp;16,"")&amp;IF(AND(J56=J43,K56=K43),","&amp;17,"")&amp;IF(AND(J57=J43,K57=K43),","&amp;18,"")&amp;IF(AND(J58=J43,K58=K43),","&amp;19,"")&amp;IF(AND(J59=J43,K59=K43),","&amp;20,"")&amp;IF(AND(J60=J43,K60=K43),","&amp;21,"")&amp;IF(AND(J61=J43,K61=K43),","&amp;22,"")&amp;IF(AND(J62=J43,K62=K43),","&amp;23,"")&amp;IF(AND(J63=J43,K63=K43),","&amp;24,"")&amp;IF(AND(J64=J43,K64=K43),","&amp;25,"")&amp;IF(AND(J65=J43,K65=K43),","&amp;26,"")&amp;IF(AND(J66=J43,K66=K43),","&amp;27,"")&amp;IF(AND(J67=J43,K67=K43),","&amp;28,"")&amp;IF(AND(J68=J43,K68=K43),","&amp;29,"")&amp;IF(AND(J69=J43,K69=K43),","&amp;30,"")&amp;IF(AND(J70=J43,K70=K43),","&amp;31,"")&amp;IF(AND(J71=J43,K71=K43),","&amp;32,"")&amp;IF(AND(J72=J43,K72=K43),","&amp;33,"")&amp;IF(AND(J73=J43,K73=K43),","&amp;34,"")&amp;IF(AND(J74=J43,K74=K43),","&amp;35,"")&amp;IF(AND(J75=J43,K75=K43),","&amp;36,"")&amp;IF(AND(J76=J43,K76=K43),","&amp;37,"")&amp;IF(AND(J77=J43,K77=K43),","&amp;38,"")&amp;IF(AND(J78=J43,K78=K43),","&amp;39,"")&amp;IF(AND(J79=J43,K79=K43),","&amp;40,""),"")</f>
        <v/>
      </c>
      <c r="R43" s="58">
        <f>IF(P43=1,IF(N43="Motriz","&lt;circle cx='"&amp;SUBSTITUTE(ROUND(L43,1),",",".")&amp;"' cy='"&amp;SUBSTITUTE(ROUND(M43,1),",",".")&amp;"' r='6' fill='#2A3439' stroke='#2A3439' stroke-width='1.3'/&gt;",IF(N43="Enlace","&lt;rect x='"&amp;SUBSTITUTE(ROUND((L43)-5.52,1),",",".")&amp;"' y='"&amp;SUBSTITUTE(ROUND((M43)-5.52,1),",",".")&amp;"' width='11.04' height='11.04' fill='#6699CC' stroke='#2A3439' stroke-width='1.3'/&gt;",IF(N43="Resultado","&lt;path d='M"&amp;SUBSTITUTE(ROUND(L43,1),",",".")&amp;" "&amp;SUBSTITUTE(ROUND((M43)-6.9,1),",",".")&amp;"L"&amp;SUBSTITUTE(ROUND((L43)+6.3,1),",",".")&amp;" "&amp;SUBSTITUTE(ROUND((M43)+5.1,1),",",".")&amp;"L"&amp;SUBSTITUTE(ROUND((L43)-6.3,1),",",".")&amp;" "&amp;SUBSTITUTE(ROUND((M43)+5.1,1),",",".")&amp;"Z' fill='#FFFFFF' stroke='#2A3439' stroke-width='1.3'/&gt;","&lt;path d='M"&amp;SUBSTITUTE(ROUND(L43,1),",",".")&amp;" "&amp;SUBSTITUTE(ROUND((M43)-7.5,1),",",".")&amp;"L"&amp;SUBSTITUTE(ROUND((L43)+7.5,1),",",".")&amp;" "&amp;SUBSTITUTE(ROUND(M43,1),",",".")&amp;"L"&amp;SUBSTITUTE(ROUND(L43,1),",",".")&amp;" "&amp;SUBSTITUTE(ROUND((M43)+7.5,1),",",".")&amp;"L"&amp;SUBSTITUTE(ROUND((L43)-7.5,1),",",".")&amp;" "&amp;SUBSTITUTE(ROUND(M43,1),",",".")&amp;"Z' fill='#F5F5F5' stroke='#2A3439' stroke-width='1.3'/&gt;")))&amp;"&lt;text x='"&amp;SUBSTITUTE(ROUND(L43+9,1),",",".")&amp;"' y='"&amp;SUBSTITUTE(ROUND(M43-8,1),",",".")&amp;"'&gt;"&amp;Q43&amp;"&lt;/text&gt;","")</f>
        <v/>
      </c>
      <c r="S43" s="58">
        <f>IF(I43=1,IF(N43="Motriz","&lt;circle cx='"&amp;SUBSTITUTE(ROUND(728,1),",",".")&amp;"' cy='"&amp;SUBSTITUTE(ROUND(162.6,1),",",".")&amp;"' r='4.3' fill='#2A3439' stroke='#2A3439' stroke-width='1.3'/&gt;",IF(N43="Enlace","&lt;rect x='"&amp;SUBSTITUTE(ROUND((728)-3.96,1),",",".")&amp;"' y='"&amp;SUBSTITUTE(ROUND((162.6)-3.96,1),",",".")&amp;"' width='7.92' height='7.92' fill='#6699CC' stroke='#2A3439' stroke-width='1.3'/&gt;",IF(N43="Resultado","&lt;path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T43" s="58">
        <f>3*$I$14</f>
        <v/>
      </c>
      <c r="U43" s="58">
        <f>IF(3&lt;=$I$16,"&lt;line x1='"&amp;SUBSTITUTE(ROUND(90+T43*$I$22,1),",",".")&amp;"' y1='84' x2='"&amp;SUBSTITUTE(ROUND(90+T43*$I$22,1),",",".")&amp;"' y2='574' stroke='#FFFFFF'/&gt;&lt;text x='"&amp;SUBSTITUTE(ROUND(90+T43*$I$22,1),",",".")&amp;"' y='590' text-anchor='middle'&gt;"&amp;ROUND(T43*100,2)&amp;" %&lt;/text&gt;","")</f>
        <v/>
      </c>
      <c r="V43" s="58">
        <f>3*$I$19</f>
        <v/>
      </c>
      <c r="W43" s="58">
        <f>IF(3&lt;=$I$21,"&lt;line x1='90' y1='"&amp;SUBSTITUTE(ROUND(574-V43*$I$23,1),",",".")&amp;"' x2='650' y2='"&amp;SUBSTITUTE(ROUND(574-V43*$I$23,1),",",".")&amp;"' stroke='#FFFFFF'/&gt;&lt;text x='84' y='"&amp;SUBSTITUTE(ROUND(574-V43*$I$23+3,1),",",".")&amp;"' text-anchor='end'&gt;"&amp;ROUND(V43*100,2)&amp;" %&lt;/text&gt;","")</f>
        <v/>
      </c>
      <c r="Z43" s="58" t="n">
        <v>4</v>
      </c>
      <c r="AA43" s="58">
        <f>IF(AND($AA$4=1,Z43&lt;=nVariables),1,0)</f>
        <v/>
      </c>
      <c r="AB43" s="58">
        <f>IF(AA43=1,'M2'!$F13,"")</f>
        <v/>
      </c>
      <c r="AC43" s="58">
        <f>IF(AA43=1,'M2'!$E13,"")</f>
        <v/>
      </c>
      <c r="AD43" s="58">
        <f>IF(AA43=1,90+AB43*$AA$22,"")</f>
        <v/>
      </c>
      <c r="AE43" s="58">
        <f>IF(AA43=1,574-AC43*$AA$23,"")</f>
        <v/>
      </c>
      <c r="AF43" s="58">
        <f>IF(AA43=1,'M2'!$I13,"")</f>
        <v/>
      </c>
      <c r="AG43" s="58">
        <f>IF(AA43=1,IF(AF43="Motriz","#2A3439",IF(AF43="Enlace","#6699CC",IF(AF43="Resultado","#FFFFFF","#F5F5F5"))),"")</f>
        <v/>
      </c>
      <c r="AH43" s="58">
        <f>IF(AA43=1,IF(SUMPRODUCT((AB$39:AB42=AB43)*(AC$39:AC42=AC43))=0,1,0),0)</f>
        <v/>
      </c>
      <c r="AI43" s="58">
        <f>IF(AH43=1,4&amp;IF(AND(AB44=AB43,AC44=AC43),","&amp;5,"")&amp;IF(AND(AB45=AB43,AC45=AC43),","&amp;6,"")&amp;IF(AND(AB46=AB43,AC46=AC43),","&amp;7,"")&amp;IF(AND(AB47=AB43,AC47=AC43),","&amp;8,"")&amp;IF(AND(AB48=AB43,AC48=AC43),","&amp;9,"")&amp;IF(AND(AB49=AB43,AC49=AC43),","&amp;10,"")&amp;IF(AND(AB50=AB43,AC50=AC43),","&amp;11,"")&amp;IF(AND(AB51=AB43,AC51=AC43),","&amp;12,"")&amp;IF(AND(AB52=AB43,AC52=AC43),","&amp;13,"")&amp;IF(AND(AB53=AB43,AC53=AC43),","&amp;14,"")&amp;IF(AND(AB54=AB43,AC54=AC43),","&amp;15,"")&amp;IF(AND(AB55=AB43,AC55=AC43),","&amp;16,"")&amp;IF(AND(AB56=AB43,AC56=AC43),","&amp;17,"")&amp;IF(AND(AB57=AB43,AC57=AC43),","&amp;18,"")&amp;IF(AND(AB58=AB43,AC58=AC43),","&amp;19,"")&amp;IF(AND(AB59=AB43,AC59=AC43),","&amp;20,"")&amp;IF(AND(AB60=AB43,AC60=AC43),","&amp;21,"")&amp;IF(AND(AB61=AB43,AC61=AC43),","&amp;22,"")&amp;IF(AND(AB62=AB43,AC62=AC43),","&amp;23,"")&amp;IF(AND(AB63=AB43,AC63=AC43),","&amp;24,"")&amp;IF(AND(AB64=AB43,AC64=AC43),","&amp;25,"")&amp;IF(AND(AB65=AB43,AC65=AC43),","&amp;26,"")&amp;IF(AND(AB66=AB43,AC66=AC43),","&amp;27,"")&amp;IF(AND(AB67=AB43,AC67=AC43),","&amp;28,"")&amp;IF(AND(AB68=AB43,AC68=AC43),","&amp;29,"")&amp;IF(AND(AB69=AB43,AC69=AC43),","&amp;30,"")&amp;IF(AND(AB70=AB43,AC70=AC43),","&amp;31,"")&amp;IF(AND(AB71=AB43,AC71=AC43),","&amp;32,"")&amp;IF(AND(AB72=AB43,AC72=AC43),","&amp;33,"")&amp;IF(AND(AB73=AB43,AC73=AC43),","&amp;34,"")&amp;IF(AND(AB74=AB43,AC74=AC43),","&amp;35,"")&amp;IF(AND(AB75=AB43,AC75=AC43),","&amp;36,"")&amp;IF(AND(AB76=AB43,AC76=AC43),","&amp;37,"")&amp;IF(AND(AB77=AB43,AC77=AC43),","&amp;38,"")&amp;IF(AND(AB78=AB43,AC78=AC43),","&amp;39,"")&amp;IF(AND(AB79=AB43,AC79=AC43),","&amp;40,""),"")</f>
        <v/>
      </c>
      <c r="AJ43" s="58">
        <f>IF(AH43=1,IF(AF43="Motriz","&lt;circle cx='"&amp;SUBSTITUTE(ROUND(AD43,1),",",".")&amp;"' cy='"&amp;SUBSTITUTE(ROUND(AE43,1),",",".")&amp;"' r='6' fill='#2A3439' stroke='#2A3439' stroke-width='1.3'/&gt;",IF(AF43="Enlace","&lt;rect x='"&amp;SUBSTITUTE(ROUND((AD43)-5.52,1),",",".")&amp;"' y='"&amp;SUBSTITUTE(ROUND((AE43)-5.52,1),",",".")&amp;"' width='11.04' height='11.04' fill='#6699CC' stroke='#2A3439' stroke-width='1.3'/&gt;",IF(AF43="Resultado","&lt;path d='M"&amp;SUBSTITUTE(ROUND(AD43,1),",",".")&amp;" "&amp;SUBSTITUTE(ROUND((AE43)-6.9,1),",",".")&amp;"L"&amp;SUBSTITUTE(ROUND((AD43)+6.3,1),",",".")&amp;" "&amp;SUBSTITUTE(ROUND((AE43)+5.1,1),",",".")&amp;"L"&amp;SUBSTITUTE(ROUND((AD43)-6.3,1),",",".")&amp;" "&amp;SUBSTITUTE(ROUND((AE43)+5.1,1),",",".")&amp;"Z' fill='#FFFFFF' stroke='#2A3439' stroke-width='1.3'/&gt;","&lt;path d='M"&amp;SUBSTITUTE(ROUND(AD43,1),",",".")&amp;" "&amp;SUBSTITUTE(ROUND((AE43)-7.5,1),",",".")&amp;"L"&amp;SUBSTITUTE(ROUND((AD43)+7.5,1),",",".")&amp;" "&amp;SUBSTITUTE(ROUND(AE43,1),",",".")&amp;"L"&amp;SUBSTITUTE(ROUND(AD43,1),",",".")&amp;" "&amp;SUBSTITUTE(ROUND((AE43)+7.5,1),",",".")&amp;"L"&amp;SUBSTITUTE(ROUND((AD43)-7.5,1),",",".")&amp;" "&amp;SUBSTITUTE(ROUND(AE43,1),",",".")&amp;"Z' fill='#F5F5F5' stroke='#2A3439' stroke-width='1.3'/&gt;")))&amp;"&lt;text x='"&amp;SUBSTITUTE(ROUND(AD43+9,1),",",".")&amp;"' y='"&amp;SUBSTITUTE(ROUND(AE43-8,1),",",".")&amp;"'&gt;"&amp;AI43&amp;"&lt;/text&gt;","")</f>
        <v/>
      </c>
      <c r="AK43" s="58">
        <f>IF(AA43=1,IF(AF43="Motriz","&lt;circle cx='"&amp;SUBSTITUTE(ROUND(728,1),",",".")&amp;"' cy='"&amp;SUBSTITUTE(ROUND(162.6,1),",",".")&amp;"' r='4.3' fill='#2A3439' stroke='#2A3439' stroke-width='1.3'/&gt;",IF(AF43="Enlace","&lt;rect x='"&amp;SUBSTITUTE(ROUND((728)-3.96,1),",",".")&amp;"' y='"&amp;SUBSTITUTE(ROUND((162.6)-3.96,1),",",".")&amp;"' width='7.92' height='7.92' fill='#6699CC' stroke='#2A3439' stroke-width='1.3'/&gt;",IF(AF43="Resultado","&lt;path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AL43" s="58">
        <f>3*$AA$14</f>
        <v/>
      </c>
      <c r="AM43" s="58">
        <f>IF(3&lt;=$AA$16,"&lt;line x1='"&amp;SUBSTITUTE(ROUND(90+AL43*$AA$22,1),",",".")&amp;"' y1='84' x2='"&amp;SUBSTITUTE(ROUND(90+AL43*$AA$22,1),",",".")&amp;"' y2='574' stroke='#FFFFFF'/&gt;&lt;text x='"&amp;SUBSTITUTE(ROUND(90+AL43*$AA$22,1),",",".")&amp;"' y='590' text-anchor='middle'&gt;"&amp;ROUND(AL43*100,2)&amp;" %&lt;/text&gt;","")</f>
        <v/>
      </c>
      <c r="AN43" s="58">
        <f>3*$AA$19</f>
        <v/>
      </c>
      <c r="AO43" s="58">
        <f>IF(3&lt;=$AA$21,"&lt;line x1='90' y1='"&amp;SUBSTITUTE(ROUND(574-AN43*$AA$23,1),",",".")&amp;"' x2='650' y2='"&amp;SUBSTITUTE(ROUND(574-AN43*$AA$23,1),",",".")&amp;"' stroke='#FFFFFF'/&gt;&lt;text x='84' y='"&amp;SUBSTITUTE(ROUND(574-AN43*$AA$23+3,1),",",".")&amp;"' text-anchor='end'&gt;"&amp;ROUND(AN43*100,2)&amp;" %&lt;/text&gt;","")</f>
        <v/>
      </c>
      <c r="AR43" s="58" t="n">
        <v>4</v>
      </c>
      <c r="AS43" s="58">
        <f>IF(AND($AS$4=1,AR43&lt;=nVariables),1,0)</f>
        <v/>
      </c>
      <c r="AT43" s="58">
        <f>IF(AS43=1,'M3'!$F13,"")</f>
        <v/>
      </c>
      <c r="AU43" s="58">
        <f>IF(AS43=1,'M3'!$E13,"")</f>
        <v/>
      </c>
      <c r="AV43" s="58">
        <f>IF(AS43=1,90+AT43*$AS$22,"")</f>
        <v/>
      </c>
      <c r="AW43" s="58">
        <f>IF(AS43=1,574-AU43*$AS$23,"")</f>
        <v/>
      </c>
      <c r="AX43" s="58">
        <f>IF(AS43=1,'M3'!$I13,"")</f>
        <v/>
      </c>
      <c r="AY43" s="58">
        <f>IF(AS43=1,IF(AX43="Motriz","#2A3439",IF(AX43="Enlace","#6699CC",IF(AX43="Resultado","#FFFFFF","#F5F5F5"))),"")</f>
        <v/>
      </c>
      <c r="AZ43" s="58">
        <f>IF(AS43=1,IF(SUMPRODUCT((AT$39:AT42=AT43)*(AU$39:AU42=AU43))=0,1,0),0)</f>
        <v/>
      </c>
      <c r="BA43" s="58">
        <f>IF(AZ43=1,4&amp;IF(AND(AT44=AT43,AU44=AU43),","&amp;5,"")&amp;IF(AND(AT45=AT43,AU45=AU43),","&amp;6,"")&amp;IF(AND(AT46=AT43,AU46=AU43),","&amp;7,"")&amp;IF(AND(AT47=AT43,AU47=AU43),","&amp;8,"")&amp;IF(AND(AT48=AT43,AU48=AU43),","&amp;9,"")&amp;IF(AND(AT49=AT43,AU49=AU43),","&amp;10,"")&amp;IF(AND(AT50=AT43,AU50=AU43),","&amp;11,"")&amp;IF(AND(AT51=AT43,AU51=AU43),","&amp;12,"")&amp;IF(AND(AT52=AT43,AU52=AU43),","&amp;13,"")&amp;IF(AND(AT53=AT43,AU53=AU43),","&amp;14,"")&amp;IF(AND(AT54=AT43,AU54=AU43),","&amp;15,"")&amp;IF(AND(AT55=AT43,AU55=AU43),","&amp;16,"")&amp;IF(AND(AT56=AT43,AU56=AU43),","&amp;17,"")&amp;IF(AND(AT57=AT43,AU57=AU43),","&amp;18,"")&amp;IF(AND(AT58=AT43,AU58=AU43),","&amp;19,"")&amp;IF(AND(AT59=AT43,AU59=AU43),","&amp;20,"")&amp;IF(AND(AT60=AT43,AU60=AU43),","&amp;21,"")&amp;IF(AND(AT61=AT43,AU61=AU43),","&amp;22,"")&amp;IF(AND(AT62=AT43,AU62=AU43),","&amp;23,"")&amp;IF(AND(AT63=AT43,AU63=AU43),","&amp;24,"")&amp;IF(AND(AT64=AT43,AU64=AU43),","&amp;25,"")&amp;IF(AND(AT65=AT43,AU65=AU43),","&amp;26,"")&amp;IF(AND(AT66=AT43,AU66=AU43),","&amp;27,"")&amp;IF(AND(AT67=AT43,AU67=AU43),","&amp;28,"")&amp;IF(AND(AT68=AT43,AU68=AU43),","&amp;29,"")&amp;IF(AND(AT69=AT43,AU69=AU43),","&amp;30,"")&amp;IF(AND(AT70=AT43,AU70=AU43),","&amp;31,"")&amp;IF(AND(AT71=AT43,AU71=AU43),","&amp;32,"")&amp;IF(AND(AT72=AT43,AU72=AU43),","&amp;33,"")&amp;IF(AND(AT73=AT43,AU73=AU43),","&amp;34,"")&amp;IF(AND(AT74=AT43,AU74=AU43),","&amp;35,"")&amp;IF(AND(AT75=AT43,AU75=AU43),","&amp;36,"")&amp;IF(AND(AT76=AT43,AU76=AU43),","&amp;37,"")&amp;IF(AND(AT77=AT43,AU77=AU43),","&amp;38,"")&amp;IF(AND(AT78=AT43,AU78=AU43),","&amp;39,"")&amp;IF(AND(AT79=AT43,AU79=AU43),","&amp;40,""),"")</f>
        <v/>
      </c>
      <c r="BB43" s="58">
        <f>IF(AZ43=1,IF(AX43="Motriz","&lt;circle cx='"&amp;SUBSTITUTE(ROUND(AV43,1),",",".")&amp;"' cy='"&amp;SUBSTITUTE(ROUND(AW43,1),",",".")&amp;"' r='6' fill='#2A3439' stroke='#2A3439' stroke-width='1.3'/&gt;",IF(AX43="Enlace","&lt;rect x='"&amp;SUBSTITUTE(ROUND((AV43)-5.52,1),",",".")&amp;"' y='"&amp;SUBSTITUTE(ROUND((AW43)-5.52,1),",",".")&amp;"' width='11.04' height='11.04' fill='#6699CC' stroke='#2A3439' stroke-width='1.3'/&gt;",IF(AX43="Resultado","&lt;path d='M"&amp;SUBSTITUTE(ROUND(AV43,1),",",".")&amp;" "&amp;SUBSTITUTE(ROUND((AW43)-6.9,1),",",".")&amp;"L"&amp;SUBSTITUTE(ROUND((AV43)+6.3,1),",",".")&amp;" "&amp;SUBSTITUTE(ROUND((AW43)+5.1,1),",",".")&amp;"L"&amp;SUBSTITUTE(ROUND((AV43)-6.3,1),",",".")&amp;" "&amp;SUBSTITUTE(ROUND((AW43)+5.1,1),",",".")&amp;"Z' fill='#FFFFFF' stroke='#2A3439' stroke-width='1.3'/&gt;","&lt;path d='M"&amp;SUBSTITUTE(ROUND(AV43,1),",",".")&amp;" "&amp;SUBSTITUTE(ROUND((AW43)-7.5,1),",",".")&amp;"L"&amp;SUBSTITUTE(ROUND((AV43)+7.5,1),",",".")&amp;" "&amp;SUBSTITUTE(ROUND(AW43,1),",",".")&amp;"L"&amp;SUBSTITUTE(ROUND(AV43,1),",",".")&amp;" "&amp;SUBSTITUTE(ROUND((AW43)+7.5,1),",",".")&amp;"L"&amp;SUBSTITUTE(ROUND((AV43)-7.5,1),",",".")&amp;" "&amp;SUBSTITUTE(ROUND(AW43,1),",",".")&amp;"Z' fill='#F5F5F5' stroke='#2A3439' stroke-width='1.3'/&gt;")))&amp;"&lt;text x='"&amp;SUBSTITUTE(ROUND(AV43+9,1),",",".")&amp;"' y='"&amp;SUBSTITUTE(ROUND(AW43-8,1),",",".")&amp;"'&gt;"&amp;BA43&amp;"&lt;/text&gt;","")</f>
        <v/>
      </c>
      <c r="BC43" s="58">
        <f>IF(AS43=1,IF(AX43="Motriz","&lt;circle cx='"&amp;SUBSTITUTE(ROUND(728,1),",",".")&amp;"' cy='"&amp;SUBSTITUTE(ROUND(162.6,1),",",".")&amp;"' r='4.3' fill='#2A3439' stroke='#2A3439' stroke-width='1.3'/&gt;",IF(AX43="Enlace","&lt;rect x='"&amp;SUBSTITUTE(ROUND((728)-3.96,1),",",".")&amp;"' y='"&amp;SUBSTITUTE(ROUND((162.6)-3.96,1),",",".")&amp;"' width='7.92' height='7.92' fill='#6699CC' stroke='#2A3439' stroke-width='1.3'/&gt;",IF(AX43="Resultado","&lt;path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BD43" s="58">
        <f>3*$AS$14</f>
        <v/>
      </c>
      <c r="BE43" s="58">
        <f>IF(3&lt;=$AS$16,"&lt;line x1='"&amp;SUBSTITUTE(ROUND(90+BD43*$AS$22,1),",",".")&amp;"' y1='84' x2='"&amp;SUBSTITUTE(ROUND(90+BD43*$AS$22,1),",",".")&amp;"' y2='574' stroke='#FFFFFF'/&gt;&lt;text x='"&amp;SUBSTITUTE(ROUND(90+BD43*$AS$22,1),",",".")&amp;"' y='590' text-anchor='middle'&gt;"&amp;ROUND(BD43*100,2)&amp;" %&lt;/text&gt;","")</f>
        <v/>
      </c>
      <c r="BF43" s="58">
        <f>3*$AS$19</f>
        <v/>
      </c>
      <c r="BG43" s="58">
        <f>IF(3&lt;=$AS$21,"&lt;line x1='90' y1='"&amp;SUBSTITUTE(ROUND(574-BF43*$AS$23,1),",",".")&amp;"' x2='650' y2='"&amp;SUBSTITUTE(ROUND(574-BF43*$AS$23,1),",",".")&amp;"' stroke='#FFFFFF'/&gt;&lt;text x='84' y='"&amp;SUBSTITUTE(ROUND(574-BF43*$AS$23+3,1),",",".")&amp;"' text-anchor='end'&gt;"&amp;ROUND(BF43*100,2)&amp;" %&lt;/text&gt;","")</f>
        <v/>
      </c>
      <c r="BJ43" s="58" t="n">
        <v>4</v>
      </c>
      <c r="BK43" s="58">
        <f>IF(AND($BK$4=1,BJ43&lt;=nVariables),1,0)</f>
        <v/>
      </c>
      <c r="BL43" s="58">
        <f>IF(BK43=1,'M4'!$F13,"")</f>
        <v/>
      </c>
      <c r="BM43" s="58">
        <f>IF(BK43=1,'M4'!$E13,"")</f>
        <v/>
      </c>
      <c r="BN43" s="58">
        <f>IF(BK43=1,90+BL43*$BK$22,"")</f>
        <v/>
      </c>
      <c r="BO43" s="58">
        <f>IF(BK43=1,574-BM43*$BK$23,"")</f>
        <v/>
      </c>
      <c r="BP43" s="58">
        <f>IF(BK43=1,'M4'!$I13,"")</f>
        <v/>
      </c>
      <c r="BQ43" s="58">
        <f>IF(BK43=1,IF(BP43="Motriz","#2A3439",IF(BP43="Enlace","#6699CC",IF(BP43="Resultado","#FFFFFF","#F5F5F5"))),"")</f>
        <v/>
      </c>
      <c r="BR43" s="58">
        <f>IF(BK43=1,IF(SUMPRODUCT((BL$39:BL42=BL43)*(BM$39:BM42=BM43))=0,1,0),0)</f>
        <v/>
      </c>
      <c r="BS43" s="58">
        <f>IF(BR43=1,4&amp;IF(AND(BL44=BL43,BM44=BM43),","&amp;5,"")&amp;IF(AND(BL45=BL43,BM45=BM43),","&amp;6,"")&amp;IF(AND(BL46=BL43,BM46=BM43),","&amp;7,"")&amp;IF(AND(BL47=BL43,BM47=BM43),","&amp;8,"")&amp;IF(AND(BL48=BL43,BM48=BM43),","&amp;9,"")&amp;IF(AND(BL49=BL43,BM49=BM43),","&amp;10,"")&amp;IF(AND(BL50=BL43,BM50=BM43),","&amp;11,"")&amp;IF(AND(BL51=BL43,BM51=BM43),","&amp;12,"")&amp;IF(AND(BL52=BL43,BM52=BM43),","&amp;13,"")&amp;IF(AND(BL53=BL43,BM53=BM43),","&amp;14,"")&amp;IF(AND(BL54=BL43,BM54=BM43),","&amp;15,"")&amp;IF(AND(BL55=BL43,BM55=BM43),","&amp;16,"")&amp;IF(AND(BL56=BL43,BM56=BM43),","&amp;17,"")&amp;IF(AND(BL57=BL43,BM57=BM43),","&amp;18,"")&amp;IF(AND(BL58=BL43,BM58=BM43),","&amp;19,"")&amp;IF(AND(BL59=BL43,BM59=BM43),","&amp;20,"")&amp;IF(AND(BL60=BL43,BM60=BM43),","&amp;21,"")&amp;IF(AND(BL61=BL43,BM61=BM43),","&amp;22,"")&amp;IF(AND(BL62=BL43,BM62=BM43),","&amp;23,"")&amp;IF(AND(BL63=BL43,BM63=BM43),","&amp;24,"")&amp;IF(AND(BL64=BL43,BM64=BM43),","&amp;25,"")&amp;IF(AND(BL65=BL43,BM65=BM43),","&amp;26,"")&amp;IF(AND(BL66=BL43,BM66=BM43),","&amp;27,"")&amp;IF(AND(BL67=BL43,BM67=BM43),","&amp;28,"")&amp;IF(AND(BL68=BL43,BM68=BM43),","&amp;29,"")&amp;IF(AND(BL69=BL43,BM69=BM43),","&amp;30,"")&amp;IF(AND(BL70=BL43,BM70=BM43),","&amp;31,"")&amp;IF(AND(BL71=BL43,BM71=BM43),","&amp;32,"")&amp;IF(AND(BL72=BL43,BM72=BM43),","&amp;33,"")&amp;IF(AND(BL73=BL43,BM73=BM43),","&amp;34,"")&amp;IF(AND(BL74=BL43,BM74=BM43),","&amp;35,"")&amp;IF(AND(BL75=BL43,BM75=BM43),","&amp;36,"")&amp;IF(AND(BL76=BL43,BM76=BM43),","&amp;37,"")&amp;IF(AND(BL77=BL43,BM77=BM43),","&amp;38,"")&amp;IF(AND(BL78=BL43,BM78=BM43),","&amp;39,"")&amp;IF(AND(BL79=BL43,BM79=BM43),","&amp;40,""),"")</f>
        <v/>
      </c>
      <c r="BT43" s="58">
        <f>IF(BR43=1,IF(BP43="Motriz","&lt;circle cx='"&amp;SUBSTITUTE(ROUND(BN43,1),",",".")&amp;"' cy='"&amp;SUBSTITUTE(ROUND(BO43,1),",",".")&amp;"' r='6' fill='#2A3439' stroke='#2A3439' stroke-width='1.3'/&gt;",IF(BP43="Enlace","&lt;rect x='"&amp;SUBSTITUTE(ROUND((BN43)-5.52,1),",",".")&amp;"' y='"&amp;SUBSTITUTE(ROUND((BO43)-5.52,1),",",".")&amp;"' width='11.04' height='11.04' fill='#6699CC' stroke='#2A3439' stroke-width='1.3'/&gt;",IF(BP43="Resultado","&lt;path d='M"&amp;SUBSTITUTE(ROUND(BN43,1),",",".")&amp;" "&amp;SUBSTITUTE(ROUND((BO43)-6.9,1),",",".")&amp;"L"&amp;SUBSTITUTE(ROUND((BN43)+6.3,1),",",".")&amp;" "&amp;SUBSTITUTE(ROUND((BO43)+5.1,1),",",".")&amp;"L"&amp;SUBSTITUTE(ROUND((BN43)-6.3,1),",",".")&amp;" "&amp;SUBSTITUTE(ROUND((BO43)+5.1,1),",",".")&amp;"Z' fill='#FFFFFF' stroke='#2A3439' stroke-width='1.3'/&gt;","&lt;path d='M"&amp;SUBSTITUTE(ROUND(BN43,1),",",".")&amp;" "&amp;SUBSTITUTE(ROUND((BO43)-7.5,1),",",".")&amp;"L"&amp;SUBSTITUTE(ROUND((BN43)+7.5,1),",",".")&amp;" "&amp;SUBSTITUTE(ROUND(BO43,1),",",".")&amp;"L"&amp;SUBSTITUTE(ROUND(BN43,1),",",".")&amp;" "&amp;SUBSTITUTE(ROUND((BO43)+7.5,1),",",".")&amp;"L"&amp;SUBSTITUTE(ROUND((BN43)-7.5,1),",",".")&amp;" "&amp;SUBSTITUTE(ROUND(BO43,1),",",".")&amp;"Z' fill='#F5F5F5' stroke='#2A3439' stroke-width='1.3'/&gt;")))&amp;"&lt;text x='"&amp;SUBSTITUTE(ROUND(BN43+9,1),",",".")&amp;"' y='"&amp;SUBSTITUTE(ROUND(BO43-8,1),",",".")&amp;"'&gt;"&amp;BS43&amp;"&lt;/text&gt;","")</f>
        <v/>
      </c>
      <c r="BU43" s="58">
        <f>IF(BK43=1,IF(BP43="Motriz","&lt;circle cx='"&amp;SUBSTITUTE(ROUND(728,1),",",".")&amp;"' cy='"&amp;SUBSTITUTE(ROUND(162.6,1),",",".")&amp;"' r='4.3' fill='#2A3439' stroke='#2A3439' stroke-width='1.3'/&gt;",IF(BP43="Enlace","&lt;rect x='"&amp;SUBSTITUTE(ROUND((728)-3.96,1),",",".")&amp;"' y='"&amp;SUBSTITUTE(ROUND((162.6)-3.96,1),",",".")&amp;"' width='7.92' height='7.92' fill='#6699CC' stroke='#2A3439' stroke-width='1.3'/&gt;",IF(BP43="Resultado","&lt;path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BV43" s="58">
        <f>3*$BK$14</f>
        <v/>
      </c>
      <c r="BW43" s="58">
        <f>IF(3&lt;=$BK$16,"&lt;line x1='"&amp;SUBSTITUTE(ROUND(90+BV43*$BK$22,1),",",".")&amp;"' y1='84' x2='"&amp;SUBSTITUTE(ROUND(90+BV43*$BK$22,1),",",".")&amp;"' y2='574' stroke='#FFFFFF'/&gt;&lt;text x='"&amp;SUBSTITUTE(ROUND(90+BV43*$BK$22,1),",",".")&amp;"' y='590' text-anchor='middle'&gt;"&amp;ROUND(BV43*100,2)&amp;" %&lt;/text&gt;","")</f>
        <v/>
      </c>
      <c r="BX43" s="58">
        <f>3*$BK$19</f>
        <v/>
      </c>
      <c r="BY43" s="58">
        <f>IF(3&lt;=$BK$21,"&lt;line x1='90' y1='"&amp;SUBSTITUTE(ROUND(574-BX43*$BK$23,1),",",".")&amp;"' x2='650' y2='"&amp;SUBSTITUTE(ROUND(574-BX43*$BK$23,1),",",".")&amp;"' stroke='#FFFFFF'/&gt;&lt;text x='84' y='"&amp;SUBSTITUTE(ROUND(574-BX43*$BK$23+3,1),",",".")&amp;"' text-anchor='end'&gt;"&amp;ROUND(BX43*100,2)&amp;" %&lt;/text&gt;","")</f>
        <v/>
      </c>
      <c r="CB43" s="58" t="n">
        <v>4</v>
      </c>
      <c r="CC43" s="58">
        <f>IF(AND($CC$4=1,CB43&lt;=nVariables),1,0)</f>
        <v/>
      </c>
      <c r="CD43" s="58">
        <f>IF(CC43=1,'M5'!$F13,"")</f>
        <v/>
      </c>
      <c r="CE43" s="58">
        <f>IF(CC43=1,'M5'!$E13,"")</f>
        <v/>
      </c>
      <c r="CF43" s="58">
        <f>IF(CC43=1,90+CD43*$CC$22,"")</f>
        <v/>
      </c>
      <c r="CG43" s="58">
        <f>IF(CC43=1,574-CE43*$CC$23,"")</f>
        <v/>
      </c>
      <c r="CH43" s="58">
        <f>IF(CC43=1,'M5'!$I13,"")</f>
        <v/>
      </c>
      <c r="CI43" s="58">
        <f>IF(CC43=1,IF(CH43="Motriz","#2A3439",IF(CH43="Enlace","#6699CC",IF(CH43="Resultado","#FFFFFF","#F5F5F5"))),"")</f>
        <v/>
      </c>
      <c r="CJ43" s="58">
        <f>IF(CC43=1,IF(SUMPRODUCT((CD$39:CD42=CD43)*(CE$39:CE42=CE43))=0,1,0),0)</f>
        <v/>
      </c>
      <c r="CK43" s="58">
        <f>IF(CJ43=1,4&amp;IF(AND(CD44=CD43,CE44=CE43),","&amp;5,"")&amp;IF(AND(CD45=CD43,CE45=CE43),","&amp;6,"")&amp;IF(AND(CD46=CD43,CE46=CE43),","&amp;7,"")&amp;IF(AND(CD47=CD43,CE47=CE43),","&amp;8,"")&amp;IF(AND(CD48=CD43,CE48=CE43),","&amp;9,"")&amp;IF(AND(CD49=CD43,CE49=CE43),","&amp;10,"")&amp;IF(AND(CD50=CD43,CE50=CE43),","&amp;11,"")&amp;IF(AND(CD51=CD43,CE51=CE43),","&amp;12,"")&amp;IF(AND(CD52=CD43,CE52=CE43),","&amp;13,"")&amp;IF(AND(CD53=CD43,CE53=CE43),","&amp;14,"")&amp;IF(AND(CD54=CD43,CE54=CE43),","&amp;15,"")&amp;IF(AND(CD55=CD43,CE55=CE43),","&amp;16,"")&amp;IF(AND(CD56=CD43,CE56=CE43),","&amp;17,"")&amp;IF(AND(CD57=CD43,CE57=CE43),","&amp;18,"")&amp;IF(AND(CD58=CD43,CE58=CE43),","&amp;19,"")&amp;IF(AND(CD59=CD43,CE59=CE43),","&amp;20,"")&amp;IF(AND(CD60=CD43,CE60=CE43),","&amp;21,"")&amp;IF(AND(CD61=CD43,CE61=CE43),","&amp;22,"")&amp;IF(AND(CD62=CD43,CE62=CE43),","&amp;23,"")&amp;IF(AND(CD63=CD43,CE63=CE43),","&amp;24,"")&amp;IF(AND(CD64=CD43,CE64=CE43),","&amp;25,"")&amp;IF(AND(CD65=CD43,CE65=CE43),","&amp;26,"")&amp;IF(AND(CD66=CD43,CE66=CE43),","&amp;27,"")&amp;IF(AND(CD67=CD43,CE67=CE43),","&amp;28,"")&amp;IF(AND(CD68=CD43,CE68=CE43),","&amp;29,"")&amp;IF(AND(CD69=CD43,CE69=CE43),","&amp;30,"")&amp;IF(AND(CD70=CD43,CE70=CE43),","&amp;31,"")&amp;IF(AND(CD71=CD43,CE71=CE43),","&amp;32,"")&amp;IF(AND(CD72=CD43,CE72=CE43),","&amp;33,"")&amp;IF(AND(CD73=CD43,CE73=CE43),","&amp;34,"")&amp;IF(AND(CD74=CD43,CE74=CE43),","&amp;35,"")&amp;IF(AND(CD75=CD43,CE75=CE43),","&amp;36,"")&amp;IF(AND(CD76=CD43,CE76=CE43),","&amp;37,"")&amp;IF(AND(CD77=CD43,CE77=CE43),","&amp;38,"")&amp;IF(AND(CD78=CD43,CE78=CE43),","&amp;39,"")&amp;IF(AND(CD79=CD43,CE79=CE43),","&amp;40,""),"")</f>
        <v/>
      </c>
      <c r="CL43" s="58">
        <f>IF(CJ43=1,IF(CH43="Motriz","&lt;circle cx='"&amp;SUBSTITUTE(ROUND(CF43,1),",",".")&amp;"' cy='"&amp;SUBSTITUTE(ROUND(CG43,1),",",".")&amp;"' r='6' fill='#2A3439' stroke='#2A3439' stroke-width='1.3'/&gt;",IF(CH43="Enlace","&lt;rect x='"&amp;SUBSTITUTE(ROUND((CF43)-5.52,1),",",".")&amp;"' y='"&amp;SUBSTITUTE(ROUND((CG43)-5.52,1),",",".")&amp;"' width='11.04' height='11.04' fill='#6699CC' stroke='#2A3439' stroke-width='1.3'/&gt;",IF(CH43="Resultado","&lt;path d='M"&amp;SUBSTITUTE(ROUND(CF43,1),",",".")&amp;" "&amp;SUBSTITUTE(ROUND((CG43)-6.9,1),",",".")&amp;"L"&amp;SUBSTITUTE(ROUND((CF43)+6.3,1),",",".")&amp;" "&amp;SUBSTITUTE(ROUND((CG43)+5.1,1),",",".")&amp;"L"&amp;SUBSTITUTE(ROUND((CF43)-6.3,1),",",".")&amp;" "&amp;SUBSTITUTE(ROUND((CG43)+5.1,1),",",".")&amp;"Z' fill='#FFFFFF' stroke='#2A3439' stroke-width='1.3'/&gt;","&lt;path d='M"&amp;SUBSTITUTE(ROUND(CF43,1),",",".")&amp;" "&amp;SUBSTITUTE(ROUND((CG43)-7.5,1),",",".")&amp;"L"&amp;SUBSTITUTE(ROUND((CF43)+7.5,1),",",".")&amp;" "&amp;SUBSTITUTE(ROUND(CG43,1),",",".")&amp;"L"&amp;SUBSTITUTE(ROUND(CF43,1),",",".")&amp;" "&amp;SUBSTITUTE(ROUND((CG43)+7.5,1),",",".")&amp;"L"&amp;SUBSTITUTE(ROUND((CF43)-7.5,1),",",".")&amp;" "&amp;SUBSTITUTE(ROUND(CG43,1),",",".")&amp;"Z' fill='#F5F5F5' stroke='#2A3439' stroke-width='1.3'/&gt;")))&amp;"&lt;text x='"&amp;SUBSTITUTE(ROUND(CF43+9,1),",",".")&amp;"' y='"&amp;SUBSTITUTE(ROUND(CG43-8,1),",",".")&amp;"'&gt;"&amp;CK43&amp;"&lt;/text&gt;","")</f>
        <v/>
      </c>
      <c r="CM43" s="58">
        <f>IF(CC43=1,IF(CH43="Motriz","&lt;circle cx='"&amp;SUBSTITUTE(ROUND(728,1),",",".")&amp;"' cy='"&amp;SUBSTITUTE(ROUND(162.6,1),",",".")&amp;"' r='4.3' fill='#2A3439' stroke='#2A3439' stroke-width='1.3'/&gt;",IF(CH43="Enlace","&lt;rect x='"&amp;SUBSTITUTE(ROUND((728)-3.96,1),",",".")&amp;"' y='"&amp;SUBSTITUTE(ROUND((162.6)-3.96,1),",",".")&amp;"' width='7.92' height='7.92' fill='#6699CC' stroke='#2A3439' stroke-width='1.3'/&gt;",IF(CH43="Resultado","&lt;path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CN43" s="58">
        <f>3*$CC$14</f>
        <v/>
      </c>
      <c r="CO43" s="58">
        <f>IF(3&lt;=$CC$16,"&lt;line x1='"&amp;SUBSTITUTE(ROUND(90+CN43*$CC$22,1),",",".")&amp;"' y1='84' x2='"&amp;SUBSTITUTE(ROUND(90+CN43*$CC$22,1),",",".")&amp;"' y2='574' stroke='#FFFFFF'/&gt;&lt;text x='"&amp;SUBSTITUTE(ROUND(90+CN43*$CC$22,1),",",".")&amp;"' y='590' text-anchor='middle'&gt;"&amp;ROUND(CN43*100,2)&amp;" %&lt;/text&gt;","")</f>
        <v/>
      </c>
      <c r="CP43" s="58">
        <f>3*$CC$19</f>
        <v/>
      </c>
      <c r="CQ43" s="58">
        <f>IF(3&lt;=$CC$21,"&lt;line x1='90' y1='"&amp;SUBSTITUTE(ROUND(574-CP43*$CC$23,1),",",".")&amp;"' x2='650' y2='"&amp;SUBSTITUTE(ROUND(574-CP43*$CC$23,1),",",".")&amp;"' stroke='#FFFFFF'/&gt;&lt;text x='84' y='"&amp;SUBSTITUTE(ROUND(574-CP43*$CC$23+3,1),",",".")&amp;"' text-anchor='end'&gt;"&amp;ROUND(CP43*100,2)&amp;" %&lt;/text&gt;","")</f>
        <v/>
      </c>
      <c r="CT43" s="58" t="n">
        <v>4</v>
      </c>
      <c r="CU43" s="58">
        <f>IF(AND($CU$4=1,CT43&lt;=nVariables),1,0)</f>
        <v/>
      </c>
      <c r="CV43" s="58">
        <f>IF(CU43=1,'M6'!$F13,"")</f>
        <v/>
      </c>
      <c r="CW43" s="58">
        <f>IF(CU43=1,'M6'!$E13,"")</f>
        <v/>
      </c>
      <c r="CX43" s="58">
        <f>IF(CU43=1,90+CV43*$CU$22,"")</f>
        <v/>
      </c>
      <c r="CY43" s="58">
        <f>IF(CU43=1,574-CW43*$CU$23,"")</f>
        <v/>
      </c>
      <c r="CZ43" s="58">
        <f>IF(CU43=1,'M6'!$I13,"")</f>
        <v/>
      </c>
      <c r="DA43" s="58">
        <f>IF(CU43=1,IF(CZ43="Motriz","#2A3439",IF(CZ43="Enlace","#6699CC",IF(CZ43="Resultado","#FFFFFF","#F5F5F5"))),"")</f>
        <v/>
      </c>
      <c r="DB43" s="58">
        <f>IF(CU43=1,IF(SUMPRODUCT((CV$39:CV42=CV43)*(CW$39:CW42=CW43))=0,1,0),0)</f>
        <v/>
      </c>
      <c r="DC43" s="58">
        <f>IF(DB43=1,4&amp;IF(AND(CV44=CV43,CW44=CW43),","&amp;5,"")&amp;IF(AND(CV45=CV43,CW45=CW43),","&amp;6,"")&amp;IF(AND(CV46=CV43,CW46=CW43),","&amp;7,"")&amp;IF(AND(CV47=CV43,CW47=CW43),","&amp;8,"")&amp;IF(AND(CV48=CV43,CW48=CW43),","&amp;9,"")&amp;IF(AND(CV49=CV43,CW49=CW43),","&amp;10,"")&amp;IF(AND(CV50=CV43,CW50=CW43),","&amp;11,"")&amp;IF(AND(CV51=CV43,CW51=CW43),","&amp;12,"")&amp;IF(AND(CV52=CV43,CW52=CW43),","&amp;13,"")&amp;IF(AND(CV53=CV43,CW53=CW43),","&amp;14,"")&amp;IF(AND(CV54=CV43,CW54=CW43),","&amp;15,"")&amp;IF(AND(CV55=CV43,CW55=CW43),","&amp;16,"")&amp;IF(AND(CV56=CV43,CW56=CW43),","&amp;17,"")&amp;IF(AND(CV57=CV43,CW57=CW43),","&amp;18,"")&amp;IF(AND(CV58=CV43,CW58=CW43),","&amp;19,"")&amp;IF(AND(CV59=CV43,CW59=CW43),","&amp;20,"")&amp;IF(AND(CV60=CV43,CW60=CW43),","&amp;21,"")&amp;IF(AND(CV61=CV43,CW61=CW43),","&amp;22,"")&amp;IF(AND(CV62=CV43,CW62=CW43),","&amp;23,"")&amp;IF(AND(CV63=CV43,CW63=CW43),","&amp;24,"")&amp;IF(AND(CV64=CV43,CW64=CW43),","&amp;25,"")&amp;IF(AND(CV65=CV43,CW65=CW43),","&amp;26,"")&amp;IF(AND(CV66=CV43,CW66=CW43),","&amp;27,"")&amp;IF(AND(CV67=CV43,CW67=CW43),","&amp;28,"")&amp;IF(AND(CV68=CV43,CW68=CW43),","&amp;29,"")&amp;IF(AND(CV69=CV43,CW69=CW43),","&amp;30,"")&amp;IF(AND(CV70=CV43,CW70=CW43),","&amp;31,"")&amp;IF(AND(CV71=CV43,CW71=CW43),","&amp;32,"")&amp;IF(AND(CV72=CV43,CW72=CW43),","&amp;33,"")&amp;IF(AND(CV73=CV43,CW73=CW43),","&amp;34,"")&amp;IF(AND(CV74=CV43,CW74=CW43),","&amp;35,"")&amp;IF(AND(CV75=CV43,CW75=CW43),","&amp;36,"")&amp;IF(AND(CV76=CV43,CW76=CW43),","&amp;37,"")&amp;IF(AND(CV77=CV43,CW77=CW43),","&amp;38,"")&amp;IF(AND(CV78=CV43,CW78=CW43),","&amp;39,"")&amp;IF(AND(CV79=CV43,CW79=CW43),","&amp;40,""),"")</f>
        <v/>
      </c>
      <c r="DD43" s="58">
        <f>IF(DB43=1,IF(CZ43="Motriz","&lt;circle cx='"&amp;SUBSTITUTE(ROUND(CX43,1),",",".")&amp;"' cy='"&amp;SUBSTITUTE(ROUND(CY43,1),",",".")&amp;"' r='6' fill='#2A3439' stroke='#2A3439' stroke-width='1.3'/&gt;",IF(CZ43="Enlace","&lt;rect x='"&amp;SUBSTITUTE(ROUND((CX43)-5.52,1),",",".")&amp;"' y='"&amp;SUBSTITUTE(ROUND((CY43)-5.52,1),",",".")&amp;"' width='11.04' height='11.04' fill='#6699CC' stroke='#2A3439' stroke-width='1.3'/&gt;",IF(CZ43="Resultado","&lt;path d='M"&amp;SUBSTITUTE(ROUND(CX43,1),",",".")&amp;" "&amp;SUBSTITUTE(ROUND((CY43)-6.9,1),",",".")&amp;"L"&amp;SUBSTITUTE(ROUND((CX43)+6.3,1),",",".")&amp;" "&amp;SUBSTITUTE(ROUND((CY43)+5.1,1),",",".")&amp;"L"&amp;SUBSTITUTE(ROUND((CX43)-6.3,1),",",".")&amp;" "&amp;SUBSTITUTE(ROUND((CY43)+5.1,1),",",".")&amp;"Z' fill='#FFFFFF' stroke='#2A3439' stroke-width='1.3'/&gt;","&lt;path d='M"&amp;SUBSTITUTE(ROUND(CX43,1),",",".")&amp;" "&amp;SUBSTITUTE(ROUND((CY43)-7.5,1),",",".")&amp;"L"&amp;SUBSTITUTE(ROUND((CX43)+7.5,1),",",".")&amp;" "&amp;SUBSTITUTE(ROUND(CY43,1),",",".")&amp;"L"&amp;SUBSTITUTE(ROUND(CX43,1),",",".")&amp;" "&amp;SUBSTITUTE(ROUND((CY43)+7.5,1),",",".")&amp;"L"&amp;SUBSTITUTE(ROUND((CX43)-7.5,1),",",".")&amp;" "&amp;SUBSTITUTE(ROUND(CY43,1),",",".")&amp;"Z' fill='#F5F5F5' stroke='#2A3439' stroke-width='1.3'/&gt;")))&amp;"&lt;text x='"&amp;SUBSTITUTE(ROUND(CX43+9,1),",",".")&amp;"' y='"&amp;SUBSTITUTE(ROUND(CY43-8,1),",",".")&amp;"'&gt;"&amp;DC43&amp;"&lt;/text&gt;","")</f>
        <v/>
      </c>
      <c r="DE43" s="58">
        <f>IF(CU43=1,IF(CZ43="Motriz","&lt;circle cx='"&amp;SUBSTITUTE(ROUND(728,1),",",".")&amp;"' cy='"&amp;SUBSTITUTE(ROUND(162.6,1),",",".")&amp;"' r='4.3' fill='#2A3439' stroke='#2A3439' stroke-width='1.3'/&gt;",IF(CZ43="Enlace","&lt;rect x='"&amp;SUBSTITUTE(ROUND((728)-3.96,1),",",".")&amp;"' y='"&amp;SUBSTITUTE(ROUND((162.6)-3.96,1),",",".")&amp;"' width='7.92' height='7.92' fill='#6699CC' stroke='#2A3439' stroke-width='1.3'/&gt;",IF(CZ43="Resultado","&lt;path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DF43" s="58">
        <f>3*$CU$14</f>
        <v/>
      </c>
      <c r="DG43" s="58">
        <f>IF(3&lt;=$CU$16,"&lt;line x1='"&amp;SUBSTITUTE(ROUND(90+DF43*$CU$22,1),",",".")&amp;"' y1='84' x2='"&amp;SUBSTITUTE(ROUND(90+DF43*$CU$22,1),",",".")&amp;"' y2='574' stroke='#FFFFFF'/&gt;&lt;text x='"&amp;SUBSTITUTE(ROUND(90+DF43*$CU$22,1),",",".")&amp;"' y='590' text-anchor='middle'&gt;"&amp;ROUND(DF43*100,2)&amp;" %&lt;/text&gt;","")</f>
        <v/>
      </c>
      <c r="DH43" s="58">
        <f>3*$CU$19</f>
        <v/>
      </c>
      <c r="DI43" s="58">
        <f>IF(3&lt;=$CU$21,"&lt;line x1='90' y1='"&amp;SUBSTITUTE(ROUND(574-DH43*$CU$23,1),",",".")&amp;"' x2='650' y2='"&amp;SUBSTITUTE(ROUND(574-DH43*$CU$23,1),",",".")&amp;"' stroke='#FFFFFF'/&gt;&lt;text x='84' y='"&amp;SUBSTITUTE(ROUND(574-DH43*$CU$23+3,1),",",".")&amp;"' text-anchor='end'&gt;"&amp;ROUND(DH43*100,2)&amp;" %&lt;/text&gt;","")</f>
        <v/>
      </c>
      <c r="DL43" s="58" t="inlineStr">
        <is>
          <t>Longitud total</t>
        </is>
      </c>
      <c r="DM43" s="59">
        <f>LEN($DM$41)+LEN($DM$38)+LEN($DM$39)+LEN($DM$40)+LEN($DM$42)</f>
        <v/>
      </c>
    </row>
    <row r="44">
      <c r="A44" s="58" t="n">
        <v>5</v>
      </c>
      <c r="B44" s="58">
        <f>IF($A44&lt;=nVariables,SUBSTITUTE(SUBSTITUTE(SUBSTITUTE(SUBSTITUTE(SUBSTITUTE(SUBSTITUTE(SUBSTITUTE(TRIM(CLEAN(IF(LEN(TRIM(M!$B14))&gt;46,LEFT(TRIM(M!$B14),45)&amp;"…",TRIM(M!$B14)))),"&amp;","&amp;amp;"),"&lt;","&amp;lt;"),"&gt;","&amp;gt;"),CHAR(34),"&amp;quot;"),CHAR(10)," "),CHAR(9)," "),CHAR(13)," "),"")</f>
        <v/>
      </c>
      <c r="C44" s="58">
        <f>IF($A44&lt;=nVariables,$A44&amp;". "&amp;B44,"")</f>
        <v/>
      </c>
      <c r="D44" s="58">
        <f>IF($A44&lt;=nVariables,IF(TRIM(M!$C14)&lt;&gt;"",TRIM(M!$C14),IF(LEN(TRIM(M!$B14))&gt;24,LEFT(TRIM(M!$B14),23)&amp;"…",TRIM(M!$B14))),"")</f>
        <v/>
      </c>
      <c r="E44" s="58">
        <f>IF($A44&lt;=nVariables,TRIM('Árbol de Problemas'!$F23),"")</f>
        <v/>
      </c>
      <c r="H44" s="58" t="n">
        <v>5</v>
      </c>
      <c r="I44" s="58">
        <f>IF(AND($I$4=1,H44&lt;=nVariables),1,0)</f>
        <v/>
      </c>
      <c r="J44" s="58">
        <f>IF(I44=1,'M1'!$F14,"")</f>
        <v/>
      </c>
      <c r="K44" s="58">
        <f>IF(I44=1,'M1'!$E14,"")</f>
        <v/>
      </c>
      <c r="L44" s="58">
        <f>IF(I44=1,90+J44*$I$22,"")</f>
        <v/>
      </c>
      <c r="M44" s="58">
        <f>IF(I44=1,574-K44*$I$23,"")</f>
        <v/>
      </c>
      <c r="N44" s="58">
        <f>IF(I44=1,'M1'!$I14,"")</f>
        <v/>
      </c>
      <c r="O44" s="58">
        <f>IF(I44=1,IF(N44="Motriz","#2A3439",IF(N44="Enlace","#6699CC",IF(N44="Resultado","#FFFFFF","#F5F5F5"))),"")</f>
        <v/>
      </c>
      <c r="P44" s="58">
        <f>IF(I44=1,IF(SUMPRODUCT((J$39:J43=J44)*(K$39:K43=K44))=0,1,0),0)</f>
        <v/>
      </c>
      <c r="Q44" s="58">
        <f>IF(P44=1,5&amp;IF(AND(J45=J44,K45=K44),","&amp;6,"")&amp;IF(AND(J46=J44,K46=K44),","&amp;7,"")&amp;IF(AND(J47=J44,K47=K44),","&amp;8,"")&amp;IF(AND(J48=J44,K48=K44),","&amp;9,"")&amp;IF(AND(J49=J44,K49=K44),","&amp;10,"")&amp;IF(AND(J50=J44,K50=K44),","&amp;11,"")&amp;IF(AND(J51=J44,K51=K44),","&amp;12,"")&amp;IF(AND(J52=J44,K52=K44),","&amp;13,"")&amp;IF(AND(J53=J44,K53=K44),","&amp;14,"")&amp;IF(AND(J54=J44,K54=K44),","&amp;15,"")&amp;IF(AND(J55=J44,K55=K44),","&amp;16,"")&amp;IF(AND(J56=J44,K56=K44),","&amp;17,"")&amp;IF(AND(J57=J44,K57=K44),","&amp;18,"")&amp;IF(AND(J58=J44,K58=K44),","&amp;19,"")&amp;IF(AND(J59=J44,K59=K44),","&amp;20,"")&amp;IF(AND(J60=J44,K60=K44),","&amp;21,"")&amp;IF(AND(J61=J44,K61=K44),","&amp;22,"")&amp;IF(AND(J62=J44,K62=K44),","&amp;23,"")&amp;IF(AND(J63=J44,K63=K44),","&amp;24,"")&amp;IF(AND(J64=J44,K64=K44),","&amp;25,"")&amp;IF(AND(J65=J44,K65=K44),","&amp;26,"")&amp;IF(AND(J66=J44,K66=K44),","&amp;27,"")&amp;IF(AND(J67=J44,K67=K44),","&amp;28,"")&amp;IF(AND(J68=J44,K68=K44),","&amp;29,"")&amp;IF(AND(J69=J44,K69=K44),","&amp;30,"")&amp;IF(AND(J70=J44,K70=K44),","&amp;31,"")&amp;IF(AND(J71=J44,K71=K44),","&amp;32,"")&amp;IF(AND(J72=J44,K72=K44),","&amp;33,"")&amp;IF(AND(J73=J44,K73=K44),","&amp;34,"")&amp;IF(AND(J74=J44,K74=K44),","&amp;35,"")&amp;IF(AND(J75=J44,K75=K44),","&amp;36,"")&amp;IF(AND(J76=J44,K76=K44),","&amp;37,"")&amp;IF(AND(J77=J44,K77=K44),","&amp;38,"")&amp;IF(AND(J78=J44,K78=K44),","&amp;39,"")&amp;IF(AND(J79=J44,K79=K44),","&amp;40,""),"")</f>
        <v/>
      </c>
      <c r="R44" s="58">
        <f>IF(P44=1,IF(N44="Motriz","&lt;circle cx='"&amp;SUBSTITUTE(ROUND(L44,1),",",".")&amp;"' cy='"&amp;SUBSTITUTE(ROUND(M44,1),",",".")&amp;"' r='6' fill='#2A3439' stroke='#2A3439' stroke-width='1.3'/&gt;",IF(N44="Enlace","&lt;rect x='"&amp;SUBSTITUTE(ROUND((L44)-5.52,1),",",".")&amp;"' y='"&amp;SUBSTITUTE(ROUND((M44)-5.52,1),",",".")&amp;"' width='11.04' height='11.04' fill='#6699CC' stroke='#2A3439' stroke-width='1.3'/&gt;",IF(N44="Resultado","&lt;path d='M"&amp;SUBSTITUTE(ROUND(L44,1),",",".")&amp;" "&amp;SUBSTITUTE(ROUND((M44)-6.9,1),",",".")&amp;"L"&amp;SUBSTITUTE(ROUND((L44)+6.3,1),",",".")&amp;" "&amp;SUBSTITUTE(ROUND((M44)+5.1,1),",",".")&amp;"L"&amp;SUBSTITUTE(ROUND((L44)-6.3,1),",",".")&amp;" "&amp;SUBSTITUTE(ROUND((M44)+5.1,1),",",".")&amp;"Z' fill='#FFFFFF' stroke='#2A3439' stroke-width='1.3'/&gt;","&lt;path d='M"&amp;SUBSTITUTE(ROUND(L44,1),",",".")&amp;" "&amp;SUBSTITUTE(ROUND((M44)-7.5,1),",",".")&amp;"L"&amp;SUBSTITUTE(ROUND((L44)+7.5,1),",",".")&amp;" "&amp;SUBSTITUTE(ROUND(M44,1),",",".")&amp;"L"&amp;SUBSTITUTE(ROUND(L44,1),",",".")&amp;" "&amp;SUBSTITUTE(ROUND((M44)+7.5,1),",",".")&amp;"L"&amp;SUBSTITUTE(ROUND((L44)-7.5,1),",",".")&amp;" "&amp;SUBSTITUTE(ROUND(M44,1),",",".")&amp;"Z' fill='#F5F5F5' stroke='#2A3439' stroke-width='1.3'/&gt;")))&amp;"&lt;text x='"&amp;SUBSTITUTE(ROUND(L44+9,1),",",".")&amp;"' y='"&amp;SUBSTITUTE(ROUND(M44-8,1),",",".")&amp;"'&gt;"&amp;Q44&amp;"&lt;/text&gt;","")</f>
        <v/>
      </c>
      <c r="S44" s="58">
        <f>IF(I44=1,IF(N44="Motriz","&lt;circle cx='"&amp;SUBSTITUTE(ROUND(728,1),",",".")&amp;"' cy='"&amp;SUBSTITUTE(ROUND(176.8,1),",",".")&amp;"' r='4.3' fill='#2A3439' stroke='#2A3439' stroke-width='1.3'/&gt;",IF(N44="Enlace","&lt;rect x='"&amp;SUBSTITUTE(ROUND((728)-3.96,1),",",".")&amp;"' y='"&amp;SUBSTITUTE(ROUND((176.8)-3.96,1),",",".")&amp;"' width='7.92' height='7.92' fill='#6699CC' stroke='#2A3439' stroke-width='1.3'/&gt;",IF(N44="Resultado","&lt;path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T44" s="58">
        <f>4*$I$14</f>
        <v/>
      </c>
      <c r="U44" s="58">
        <f>IF(4&lt;=$I$16,"&lt;line x1='"&amp;SUBSTITUTE(ROUND(90+T44*$I$22,1),",",".")&amp;"' y1='84' x2='"&amp;SUBSTITUTE(ROUND(90+T44*$I$22,1),",",".")&amp;"' y2='574' stroke='#FFFFFF'/&gt;&lt;text x='"&amp;SUBSTITUTE(ROUND(90+T44*$I$22,1),",",".")&amp;"' y='590' text-anchor='middle'&gt;"&amp;ROUND(T44*100,2)&amp;" %&lt;/text&gt;","")</f>
        <v/>
      </c>
      <c r="V44" s="58">
        <f>4*$I$19</f>
        <v/>
      </c>
      <c r="W44" s="58">
        <f>IF(4&lt;=$I$21,"&lt;line x1='90' y1='"&amp;SUBSTITUTE(ROUND(574-V44*$I$23,1),",",".")&amp;"' x2='650' y2='"&amp;SUBSTITUTE(ROUND(574-V44*$I$23,1),",",".")&amp;"' stroke='#FFFFFF'/&gt;&lt;text x='84' y='"&amp;SUBSTITUTE(ROUND(574-V44*$I$23+3,1),",",".")&amp;"' text-anchor='end'&gt;"&amp;ROUND(V44*100,2)&amp;" %&lt;/text&gt;","")</f>
        <v/>
      </c>
      <c r="Z44" s="58" t="n">
        <v>5</v>
      </c>
      <c r="AA44" s="58">
        <f>IF(AND($AA$4=1,Z44&lt;=nVariables),1,0)</f>
        <v/>
      </c>
      <c r="AB44" s="58">
        <f>IF(AA44=1,'M2'!$F14,"")</f>
        <v/>
      </c>
      <c r="AC44" s="58">
        <f>IF(AA44=1,'M2'!$E14,"")</f>
        <v/>
      </c>
      <c r="AD44" s="58">
        <f>IF(AA44=1,90+AB44*$AA$22,"")</f>
        <v/>
      </c>
      <c r="AE44" s="58">
        <f>IF(AA44=1,574-AC44*$AA$23,"")</f>
        <v/>
      </c>
      <c r="AF44" s="58">
        <f>IF(AA44=1,'M2'!$I14,"")</f>
        <v/>
      </c>
      <c r="AG44" s="58">
        <f>IF(AA44=1,IF(AF44="Motriz","#2A3439",IF(AF44="Enlace","#6699CC",IF(AF44="Resultado","#FFFFFF","#F5F5F5"))),"")</f>
        <v/>
      </c>
      <c r="AH44" s="58">
        <f>IF(AA44=1,IF(SUMPRODUCT((AB$39:AB43=AB44)*(AC$39:AC43=AC44))=0,1,0),0)</f>
        <v/>
      </c>
      <c r="AI44" s="58">
        <f>IF(AH44=1,5&amp;IF(AND(AB45=AB44,AC45=AC44),","&amp;6,"")&amp;IF(AND(AB46=AB44,AC46=AC44),","&amp;7,"")&amp;IF(AND(AB47=AB44,AC47=AC44),","&amp;8,"")&amp;IF(AND(AB48=AB44,AC48=AC44),","&amp;9,"")&amp;IF(AND(AB49=AB44,AC49=AC44),","&amp;10,"")&amp;IF(AND(AB50=AB44,AC50=AC44),","&amp;11,"")&amp;IF(AND(AB51=AB44,AC51=AC44),","&amp;12,"")&amp;IF(AND(AB52=AB44,AC52=AC44),","&amp;13,"")&amp;IF(AND(AB53=AB44,AC53=AC44),","&amp;14,"")&amp;IF(AND(AB54=AB44,AC54=AC44),","&amp;15,"")&amp;IF(AND(AB55=AB44,AC55=AC44),","&amp;16,"")&amp;IF(AND(AB56=AB44,AC56=AC44),","&amp;17,"")&amp;IF(AND(AB57=AB44,AC57=AC44),","&amp;18,"")&amp;IF(AND(AB58=AB44,AC58=AC44),","&amp;19,"")&amp;IF(AND(AB59=AB44,AC59=AC44),","&amp;20,"")&amp;IF(AND(AB60=AB44,AC60=AC44),","&amp;21,"")&amp;IF(AND(AB61=AB44,AC61=AC44),","&amp;22,"")&amp;IF(AND(AB62=AB44,AC62=AC44),","&amp;23,"")&amp;IF(AND(AB63=AB44,AC63=AC44),","&amp;24,"")&amp;IF(AND(AB64=AB44,AC64=AC44),","&amp;25,"")&amp;IF(AND(AB65=AB44,AC65=AC44),","&amp;26,"")&amp;IF(AND(AB66=AB44,AC66=AC44),","&amp;27,"")&amp;IF(AND(AB67=AB44,AC67=AC44),","&amp;28,"")&amp;IF(AND(AB68=AB44,AC68=AC44),","&amp;29,"")&amp;IF(AND(AB69=AB44,AC69=AC44),","&amp;30,"")&amp;IF(AND(AB70=AB44,AC70=AC44),","&amp;31,"")&amp;IF(AND(AB71=AB44,AC71=AC44),","&amp;32,"")&amp;IF(AND(AB72=AB44,AC72=AC44),","&amp;33,"")&amp;IF(AND(AB73=AB44,AC73=AC44),","&amp;34,"")&amp;IF(AND(AB74=AB44,AC74=AC44),","&amp;35,"")&amp;IF(AND(AB75=AB44,AC75=AC44),","&amp;36,"")&amp;IF(AND(AB76=AB44,AC76=AC44),","&amp;37,"")&amp;IF(AND(AB77=AB44,AC77=AC44),","&amp;38,"")&amp;IF(AND(AB78=AB44,AC78=AC44),","&amp;39,"")&amp;IF(AND(AB79=AB44,AC79=AC44),","&amp;40,""),"")</f>
        <v/>
      </c>
      <c r="AJ44" s="58">
        <f>IF(AH44=1,IF(AF44="Motriz","&lt;circle cx='"&amp;SUBSTITUTE(ROUND(AD44,1),",",".")&amp;"' cy='"&amp;SUBSTITUTE(ROUND(AE44,1),",",".")&amp;"' r='6' fill='#2A3439' stroke='#2A3439' stroke-width='1.3'/&gt;",IF(AF44="Enlace","&lt;rect x='"&amp;SUBSTITUTE(ROUND((AD44)-5.52,1),",",".")&amp;"' y='"&amp;SUBSTITUTE(ROUND((AE44)-5.52,1),",",".")&amp;"' width='11.04' height='11.04' fill='#6699CC' stroke='#2A3439' stroke-width='1.3'/&gt;",IF(AF44="Resultado","&lt;path d='M"&amp;SUBSTITUTE(ROUND(AD44,1),",",".")&amp;" "&amp;SUBSTITUTE(ROUND((AE44)-6.9,1),",",".")&amp;"L"&amp;SUBSTITUTE(ROUND((AD44)+6.3,1),",",".")&amp;" "&amp;SUBSTITUTE(ROUND((AE44)+5.1,1),",",".")&amp;"L"&amp;SUBSTITUTE(ROUND((AD44)-6.3,1),",",".")&amp;" "&amp;SUBSTITUTE(ROUND((AE44)+5.1,1),",",".")&amp;"Z' fill='#FFFFFF' stroke='#2A3439' stroke-width='1.3'/&gt;","&lt;path d='M"&amp;SUBSTITUTE(ROUND(AD44,1),",",".")&amp;" "&amp;SUBSTITUTE(ROUND((AE44)-7.5,1),",",".")&amp;"L"&amp;SUBSTITUTE(ROUND((AD44)+7.5,1),",",".")&amp;" "&amp;SUBSTITUTE(ROUND(AE44,1),",",".")&amp;"L"&amp;SUBSTITUTE(ROUND(AD44,1),",",".")&amp;" "&amp;SUBSTITUTE(ROUND((AE44)+7.5,1),",",".")&amp;"L"&amp;SUBSTITUTE(ROUND((AD44)-7.5,1),",",".")&amp;" "&amp;SUBSTITUTE(ROUND(AE44,1),",",".")&amp;"Z' fill='#F5F5F5' stroke='#2A3439' stroke-width='1.3'/&gt;")))&amp;"&lt;text x='"&amp;SUBSTITUTE(ROUND(AD44+9,1),",",".")&amp;"' y='"&amp;SUBSTITUTE(ROUND(AE44-8,1),",",".")&amp;"'&gt;"&amp;AI44&amp;"&lt;/text&gt;","")</f>
        <v/>
      </c>
      <c r="AK44" s="58">
        <f>IF(AA44=1,IF(AF44="Motriz","&lt;circle cx='"&amp;SUBSTITUTE(ROUND(728,1),",",".")&amp;"' cy='"&amp;SUBSTITUTE(ROUND(176.8,1),",",".")&amp;"' r='4.3' fill='#2A3439' stroke='#2A3439' stroke-width='1.3'/&gt;",IF(AF44="Enlace","&lt;rect x='"&amp;SUBSTITUTE(ROUND((728)-3.96,1),",",".")&amp;"' y='"&amp;SUBSTITUTE(ROUND((176.8)-3.96,1),",",".")&amp;"' width='7.92' height='7.92' fill='#6699CC' stroke='#2A3439' stroke-width='1.3'/&gt;",IF(AF44="Resultado","&lt;path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AL44" s="58">
        <f>4*$AA$14</f>
        <v/>
      </c>
      <c r="AM44" s="58">
        <f>IF(4&lt;=$AA$16,"&lt;line x1='"&amp;SUBSTITUTE(ROUND(90+AL44*$AA$22,1),",",".")&amp;"' y1='84' x2='"&amp;SUBSTITUTE(ROUND(90+AL44*$AA$22,1),",",".")&amp;"' y2='574' stroke='#FFFFFF'/&gt;&lt;text x='"&amp;SUBSTITUTE(ROUND(90+AL44*$AA$22,1),",",".")&amp;"' y='590' text-anchor='middle'&gt;"&amp;ROUND(AL44*100,2)&amp;" %&lt;/text&gt;","")</f>
        <v/>
      </c>
      <c r="AN44" s="58">
        <f>4*$AA$19</f>
        <v/>
      </c>
      <c r="AO44" s="58">
        <f>IF(4&lt;=$AA$21,"&lt;line x1='90' y1='"&amp;SUBSTITUTE(ROUND(574-AN44*$AA$23,1),",",".")&amp;"' x2='650' y2='"&amp;SUBSTITUTE(ROUND(574-AN44*$AA$23,1),",",".")&amp;"' stroke='#FFFFFF'/&gt;&lt;text x='84' y='"&amp;SUBSTITUTE(ROUND(574-AN44*$AA$23+3,1),",",".")&amp;"' text-anchor='end'&gt;"&amp;ROUND(AN44*100,2)&amp;" %&lt;/text&gt;","")</f>
        <v/>
      </c>
      <c r="AR44" s="58" t="n">
        <v>5</v>
      </c>
      <c r="AS44" s="58">
        <f>IF(AND($AS$4=1,AR44&lt;=nVariables),1,0)</f>
        <v/>
      </c>
      <c r="AT44" s="58">
        <f>IF(AS44=1,'M3'!$F14,"")</f>
        <v/>
      </c>
      <c r="AU44" s="58">
        <f>IF(AS44=1,'M3'!$E14,"")</f>
        <v/>
      </c>
      <c r="AV44" s="58">
        <f>IF(AS44=1,90+AT44*$AS$22,"")</f>
        <v/>
      </c>
      <c r="AW44" s="58">
        <f>IF(AS44=1,574-AU44*$AS$23,"")</f>
        <v/>
      </c>
      <c r="AX44" s="58">
        <f>IF(AS44=1,'M3'!$I14,"")</f>
        <v/>
      </c>
      <c r="AY44" s="58">
        <f>IF(AS44=1,IF(AX44="Motriz","#2A3439",IF(AX44="Enlace","#6699CC",IF(AX44="Resultado","#FFFFFF","#F5F5F5"))),"")</f>
        <v/>
      </c>
      <c r="AZ44" s="58">
        <f>IF(AS44=1,IF(SUMPRODUCT((AT$39:AT43=AT44)*(AU$39:AU43=AU44))=0,1,0),0)</f>
        <v/>
      </c>
      <c r="BA44" s="58">
        <f>IF(AZ44=1,5&amp;IF(AND(AT45=AT44,AU45=AU44),","&amp;6,"")&amp;IF(AND(AT46=AT44,AU46=AU44),","&amp;7,"")&amp;IF(AND(AT47=AT44,AU47=AU44),","&amp;8,"")&amp;IF(AND(AT48=AT44,AU48=AU44),","&amp;9,"")&amp;IF(AND(AT49=AT44,AU49=AU44),","&amp;10,"")&amp;IF(AND(AT50=AT44,AU50=AU44),","&amp;11,"")&amp;IF(AND(AT51=AT44,AU51=AU44),","&amp;12,"")&amp;IF(AND(AT52=AT44,AU52=AU44),","&amp;13,"")&amp;IF(AND(AT53=AT44,AU53=AU44),","&amp;14,"")&amp;IF(AND(AT54=AT44,AU54=AU44),","&amp;15,"")&amp;IF(AND(AT55=AT44,AU55=AU44),","&amp;16,"")&amp;IF(AND(AT56=AT44,AU56=AU44),","&amp;17,"")&amp;IF(AND(AT57=AT44,AU57=AU44),","&amp;18,"")&amp;IF(AND(AT58=AT44,AU58=AU44),","&amp;19,"")&amp;IF(AND(AT59=AT44,AU59=AU44),","&amp;20,"")&amp;IF(AND(AT60=AT44,AU60=AU44),","&amp;21,"")&amp;IF(AND(AT61=AT44,AU61=AU44),","&amp;22,"")&amp;IF(AND(AT62=AT44,AU62=AU44),","&amp;23,"")&amp;IF(AND(AT63=AT44,AU63=AU44),","&amp;24,"")&amp;IF(AND(AT64=AT44,AU64=AU44),","&amp;25,"")&amp;IF(AND(AT65=AT44,AU65=AU44),","&amp;26,"")&amp;IF(AND(AT66=AT44,AU66=AU44),","&amp;27,"")&amp;IF(AND(AT67=AT44,AU67=AU44),","&amp;28,"")&amp;IF(AND(AT68=AT44,AU68=AU44),","&amp;29,"")&amp;IF(AND(AT69=AT44,AU69=AU44),","&amp;30,"")&amp;IF(AND(AT70=AT44,AU70=AU44),","&amp;31,"")&amp;IF(AND(AT71=AT44,AU71=AU44),","&amp;32,"")&amp;IF(AND(AT72=AT44,AU72=AU44),","&amp;33,"")&amp;IF(AND(AT73=AT44,AU73=AU44),","&amp;34,"")&amp;IF(AND(AT74=AT44,AU74=AU44),","&amp;35,"")&amp;IF(AND(AT75=AT44,AU75=AU44),","&amp;36,"")&amp;IF(AND(AT76=AT44,AU76=AU44),","&amp;37,"")&amp;IF(AND(AT77=AT44,AU77=AU44),","&amp;38,"")&amp;IF(AND(AT78=AT44,AU78=AU44),","&amp;39,"")&amp;IF(AND(AT79=AT44,AU79=AU44),","&amp;40,""),"")</f>
        <v/>
      </c>
      <c r="BB44" s="58">
        <f>IF(AZ44=1,IF(AX44="Motriz","&lt;circle cx='"&amp;SUBSTITUTE(ROUND(AV44,1),",",".")&amp;"' cy='"&amp;SUBSTITUTE(ROUND(AW44,1),",",".")&amp;"' r='6' fill='#2A3439' stroke='#2A3439' stroke-width='1.3'/&gt;",IF(AX44="Enlace","&lt;rect x='"&amp;SUBSTITUTE(ROUND((AV44)-5.52,1),",",".")&amp;"' y='"&amp;SUBSTITUTE(ROUND((AW44)-5.52,1),",",".")&amp;"' width='11.04' height='11.04' fill='#6699CC' stroke='#2A3439' stroke-width='1.3'/&gt;",IF(AX44="Resultado","&lt;path d='M"&amp;SUBSTITUTE(ROUND(AV44,1),",",".")&amp;" "&amp;SUBSTITUTE(ROUND((AW44)-6.9,1),",",".")&amp;"L"&amp;SUBSTITUTE(ROUND((AV44)+6.3,1),",",".")&amp;" "&amp;SUBSTITUTE(ROUND((AW44)+5.1,1),",",".")&amp;"L"&amp;SUBSTITUTE(ROUND((AV44)-6.3,1),",",".")&amp;" "&amp;SUBSTITUTE(ROUND((AW44)+5.1,1),",",".")&amp;"Z' fill='#FFFFFF' stroke='#2A3439' stroke-width='1.3'/&gt;","&lt;path d='M"&amp;SUBSTITUTE(ROUND(AV44,1),",",".")&amp;" "&amp;SUBSTITUTE(ROUND((AW44)-7.5,1),",",".")&amp;"L"&amp;SUBSTITUTE(ROUND((AV44)+7.5,1),",",".")&amp;" "&amp;SUBSTITUTE(ROUND(AW44,1),",",".")&amp;"L"&amp;SUBSTITUTE(ROUND(AV44,1),",",".")&amp;" "&amp;SUBSTITUTE(ROUND((AW44)+7.5,1),",",".")&amp;"L"&amp;SUBSTITUTE(ROUND((AV44)-7.5,1),",",".")&amp;" "&amp;SUBSTITUTE(ROUND(AW44,1),",",".")&amp;"Z' fill='#F5F5F5' stroke='#2A3439' stroke-width='1.3'/&gt;")))&amp;"&lt;text x='"&amp;SUBSTITUTE(ROUND(AV44+9,1),",",".")&amp;"' y='"&amp;SUBSTITUTE(ROUND(AW44-8,1),",",".")&amp;"'&gt;"&amp;BA44&amp;"&lt;/text&gt;","")</f>
        <v/>
      </c>
      <c r="BC44" s="58">
        <f>IF(AS44=1,IF(AX44="Motriz","&lt;circle cx='"&amp;SUBSTITUTE(ROUND(728,1),",",".")&amp;"' cy='"&amp;SUBSTITUTE(ROUND(176.8,1),",",".")&amp;"' r='4.3' fill='#2A3439' stroke='#2A3439' stroke-width='1.3'/&gt;",IF(AX44="Enlace","&lt;rect x='"&amp;SUBSTITUTE(ROUND((728)-3.96,1),",",".")&amp;"' y='"&amp;SUBSTITUTE(ROUND((176.8)-3.96,1),",",".")&amp;"' width='7.92' height='7.92' fill='#6699CC' stroke='#2A3439' stroke-width='1.3'/&gt;",IF(AX44="Resultado","&lt;path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BD44" s="58">
        <f>4*$AS$14</f>
        <v/>
      </c>
      <c r="BE44" s="58">
        <f>IF(4&lt;=$AS$16,"&lt;line x1='"&amp;SUBSTITUTE(ROUND(90+BD44*$AS$22,1),",",".")&amp;"' y1='84' x2='"&amp;SUBSTITUTE(ROUND(90+BD44*$AS$22,1),",",".")&amp;"' y2='574' stroke='#FFFFFF'/&gt;&lt;text x='"&amp;SUBSTITUTE(ROUND(90+BD44*$AS$22,1),",",".")&amp;"' y='590' text-anchor='middle'&gt;"&amp;ROUND(BD44*100,2)&amp;" %&lt;/text&gt;","")</f>
        <v/>
      </c>
      <c r="BF44" s="58">
        <f>4*$AS$19</f>
        <v/>
      </c>
      <c r="BG44" s="58">
        <f>IF(4&lt;=$AS$21,"&lt;line x1='90' y1='"&amp;SUBSTITUTE(ROUND(574-BF44*$AS$23,1),",",".")&amp;"' x2='650' y2='"&amp;SUBSTITUTE(ROUND(574-BF44*$AS$23,1),",",".")&amp;"' stroke='#FFFFFF'/&gt;&lt;text x='84' y='"&amp;SUBSTITUTE(ROUND(574-BF44*$AS$23+3,1),",",".")&amp;"' text-anchor='end'&gt;"&amp;ROUND(BF44*100,2)&amp;" %&lt;/text&gt;","")</f>
        <v/>
      </c>
      <c r="BJ44" s="58" t="n">
        <v>5</v>
      </c>
      <c r="BK44" s="58">
        <f>IF(AND($BK$4=1,BJ44&lt;=nVariables),1,0)</f>
        <v/>
      </c>
      <c r="BL44" s="58">
        <f>IF(BK44=1,'M4'!$F14,"")</f>
        <v/>
      </c>
      <c r="BM44" s="58">
        <f>IF(BK44=1,'M4'!$E14,"")</f>
        <v/>
      </c>
      <c r="BN44" s="58">
        <f>IF(BK44=1,90+BL44*$BK$22,"")</f>
        <v/>
      </c>
      <c r="BO44" s="58">
        <f>IF(BK44=1,574-BM44*$BK$23,"")</f>
        <v/>
      </c>
      <c r="BP44" s="58">
        <f>IF(BK44=1,'M4'!$I14,"")</f>
        <v/>
      </c>
      <c r="BQ44" s="58">
        <f>IF(BK44=1,IF(BP44="Motriz","#2A3439",IF(BP44="Enlace","#6699CC",IF(BP44="Resultado","#FFFFFF","#F5F5F5"))),"")</f>
        <v/>
      </c>
      <c r="BR44" s="58">
        <f>IF(BK44=1,IF(SUMPRODUCT((BL$39:BL43=BL44)*(BM$39:BM43=BM44))=0,1,0),0)</f>
        <v/>
      </c>
      <c r="BS44" s="58">
        <f>IF(BR44=1,5&amp;IF(AND(BL45=BL44,BM45=BM44),","&amp;6,"")&amp;IF(AND(BL46=BL44,BM46=BM44),","&amp;7,"")&amp;IF(AND(BL47=BL44,BM47=BM44),","&amp;8,"")&amp;IF(AND(BL48=BL44,BM48=BM44),","&amp;9,"")&amp;IF(AND(BL49=BL44,BM49=BM44),","&amp;10,"")&amp;IF(AND(BL50=BL44,BM50=BM44),","&amp;11,"")&amp;IF(AND(BL51=BL44,BM51=BM44),","&amp;12,"")&amp;IF(AND(BL52=BL44,BM52=BM44),","&amp;13,"")&amp;IF(AND(BL53=BL44,BM53=BM44),","&amp;14,"")&amp;IF(AND(BL54=BL44,BM54=BM44),","&amp;15,"")&amp;IF(AND(BL55=BL44,BM55=BM44),","&amp;16,"")&amp;IF(AND(BL56=BL44,BM56=BM44),","&amp;17,"")&amp;IF(AND(BL57=BL44,BM57=BM44),","&amp;18,"")&amp;IF(AND(BL58=BL44,BM58=BM44),","&amp;19,"")&amp;IF(AND(BL59=BL44,BM59=BM44),","&amp;20,"")&amp;IF(AND(BL60=BL44,BM60=BM44),","&amp;21,"")&amp;IF(AND(BL61=BL44,BM61=BM44),","&amp;22,"")&amp;IF(AND(BL62=BL44,BM62=BM44),","&amp;23,"")&amp;IF(AND(BL63=BL44,BM63=BM44),","&amp;24,"")&amp;IF(AND(BL64=BL44,BM64=BM44),","&amp;25,"")&amp;IF(AND(BL65=BL44,BM65=BM44),","&amp;26,"")&amp;IF(AND(BL66=BL44,BM66=BM44),","&amp;27,"")&amp;IF(AND(BL67=BL44,BM67=BM44),","&amp;28,"")&amp;IF(AND(BL68=BL44,BM68=BM44),","&amp;29,"")&amp;IF(AND(BL69=BL44,BM69=BM44),","&amp;30,"")&amp;IF(AND(BL70=BL44,BM70=BM44),","&amp;31,"")&amp;IF(AND(BL71=BL44,BM71=BM44),","&amp;32,"")&amp;IF(AND(BL72=BL44,BM72=BM44),","&amp;33,"")&amp;IF(AND(BL73=BL44,BM73=BM44),","&amp;34,"")&amp;IF(AND(BL74=BL44,BM74=BM44),","&amp;35,"")&amp;IF(AND(BL75=BL44,BM75=BM44),","&amp;36,"")&amp;IF(AND(BL76=BL44,BM76=BM44),","&amp;37,"")&amp;IF(AND(BL77=BL44,BM77=BM44),","&amp;38,"")&amp;IF(AND(BL78=BL44,BM78=BM44),","&amp;39,"")&amp;IF(AND(BL79=BL44,BM79=BM44),","&amp;40,""),"")</f>
        <v/>
      </c>
      <c r="BT44" s="58">
        <f>IF(BR44=1,IF(BP44="Motriz","&lt;circle cx='"&amp;SUBSTITUTE(ROUND(BN44,1),",",".")&amp;"' cy='"&amp;SUBSTITUTE(ROUND(BO44,1),",",".")&amp;"' r='6' fill='#2A3439' stroke='#2A3439' stroke-width='1.3'/&gt;",IF(BP44="Enlace","&lt;rect x='"&amp;SUBSTITUTE(ROUND((BN44)-5.52,1),",",".")&amp;"' y='"&amp;SUBSTITUTE(ROUND((BO44)-5.52,1),",",".")&amp;"' width='11.04' height='11.04' fill='#6699CC' stroke='#2A3439' stroke-width='1.3'/&gt;",IF(BP44="Resultado","&lt;path d='M"&amp;SUBSTITUTE(ROUND(BN44,1),",",".")&amp;" "&amp;SUBSTITUTE(ROUND((BO44)-6.9,1),",",".")&amp;"L"&amp;SUBSTITUTE(ROUND((BN44)+6.3,1),",",".")&amp;" "&amp;SUBSTITUTE(ROUND((BO44)+5.1,1),",",".")&amp;"L"&amp;SUBSTITUTE(ROUND((BN44)-6.3,1),",",".")&amp;" "&amp;SUBSTITUTE(ROUND((BO44)+5.1,1),",",".")&amp;"Z' fill='#FFFFFF' stroke='#2A3439' stroke-width='1.3'/&gt;","&lt;path d='M"&amp;SUBSTITUTE(ROUND(BN44,1),",",".")&amp;" "&amp;SUBSTITUTE(ROUND((BO44)-7.5,1),",",".")&amp;"L"&amp;SUBSTITUTE(ROUND((BN44)+7.5,1),",",".")&amp;" "&amp;SUBSTITUTE(ROUND(BO44,1),",",".")&amp;"L"&amp;SUBSTITUTE(ROUND(BN44,1),",",".")&amp;" "&amp;SUBSTITUTE(ROUND((BO44)+7.5,1),",",".")&amp;"L"&amp;SUBSTITUTE(ROUND((BN44)-7.5,1),",",".")&amp;" "&amp;SUBSTITUTE(ROUND(BO44,1),",",".")&amp;"Z' fill='#F5F5F5' stroke='#2A3439' stroke-width='1.3'/&gt;")))&amp;"&lt;text x='"&amp;SUBSTITUTE(ROUND(BN44+9,1),",",".")&amp;"' y='"&amp;SUBSTITUTE(ROUND(BO44-8,1),",",".")&amp;"'&gt;"&amp;BS44&amp;"&lt;/text&gt;","")</f>
        <v/>
      </c>
      <c r="BU44" s="58">
        <f>IF(BK44=1,IF(BP44="Motriz","&lt;circle cx='"&amp;SUBSTITUTE(ROUND(728,1),",",".")&amp;"' cy='"&amp;SUBSTITUTE(ROUND(176.8,1),",",".")&amp;"' r='4.3' fill='#2A3439' stroke='#2A3439' stroke-width='1.3'/&gt;",IF(BP44="Enlace","&lt;rect x='"&amp;SUBSTITUTE(ROUND((728)-3.96,1),",",".")&amp;"' y='"&amp;SUBSTITUTE(ROUND((176.8)-3.96,1),",",".")&amp;"' width='7.92' height='7.92' fill='#6699CC' stroke='#2A3439' stroke-width='1.3'/&gt;",IF(BP44="Resultado","&lt;path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BV44" s="58">
        <f>4*$BK$14</f>
        <v/>
      </c>
      <c r="BW44" s="58">
        <f>IF(4&lt;=$BK$16,"&lt;line x1='"&amp;SUBSTITUTE(ROUND(90+BV44*$BK$22,1),",",".")&amp;"' y1='84' x2='"&amp;SUBSTITUTE(ROUND(90+BV44*$BK$22,1),",",".")&amp;"' y2='574' stroke='#FFFFFF'/&gt;&lt;text x='"&amp;SUBSTITUTE(ROUND(90+BV44*$BK$22,1),",",".")&amp;"' y='590' text-anchor='middle'&gt;"&amp;ROUND(BV44*100,2)&amp;" %&lt;/text&gt;","")</f>
        <v/>
      </c>
      <c r="BX44" s="58">
        <f>4*$BK$19</f>
        <v/>
      </c>
      <c r="BY44" s="58">
        <f>IF(4&lt;=$BK$21,"&lt;line x1='90' y1='"&amp;SUBSTITUTE(ROUND(574-BX44*$BK$23,1),",",".")&amp;"' x2='650' y2='"&amp;SUBSTITUTE(ROUND(574-BX44*$BK$23,1),",",".")&amp;"' stroke='#FFFFFF'/&gt;&lt;text x='84' y='"&amp;SUBSTITUTE(ROUND(574-BX44*$BK$23+3,1),",",".")&amp;"' text-anchor='end'&gt;"&amp;ROUND(BX44*100,2)&amp;" %&lt;/text&gt;","")</f>
        <v/>
      </c>
      <c r="CB44" s="58" t="n">
        <v>5</v>
      </c>
      <c r="CC44" s="58">
        <f>IF(AND($CC$4=1,CB44&lt;=nVariables),1,0)</f>
        <v/>
      </c>
      <c r="CD44" s="58">
        <f>IF(CC44=1,'M5'!$F14,"")</f>
        <v/>
      </c>
      <c r="CE44" s="58">
        <f>IF(CC44=1,'M5'!$E14,"")</f>
        <v/>
      </c>
      <c r="CF44" s="58">
        <f>IF(CC44=1,90+CD44*$CC$22,"")</f>
        <v/>
      </c>
      <c r="CG44" s="58">
        <f>IF(CC44=1,574-CE44*$CC$23,"")</f>
        <v/>
      </c>
      <c r="CH44" s="58">
        <f>IF(CC44=1,'M5'!$I14,"")</f>
        <v/>
      </c>
      <c r="CI44" s="58">
        <f>IF(CC44=1,IF(CH44="Motriz","#2A3439",IF(CH44="Enlace","#6699CC",IF(CH44="Resultado","#FFFFFF","#F5F5F5"))),"")</f>
        <v/>
      </c>
      <c r="CJ44" s="58">
        <f>IF(CC44=1,IF(SUMPRODUCT((CD$39:CD43=CD44)*(CE$39:CE43=CE44))=0,1,0),0)</f>
        <v/>
      </c>
      <c r="CK44" s="58">
        <f>IF(CJ44=1,5&amp;IF(AND(CD45=CD44,CE45=CE44),","&amp;6,"")&amp;IF(AND(CD46=CD44,CE46=CE44),","&amp;7,"")&amp;IF(AND(CD47=CD44,CE47=CE44),","&amp;8,"")&amp;IF(AND(CD48=CD44,CE48=CE44),","&amp;9,"")&amp;IF(AND(CD49=CD44,CE49=CE44),","&amp;10,"")&amp;IF(AND(CD50=CD44,CE50=CE44),","&amp;11,"")&amp;IF(AND(CD51=CD44,CE51=CE44),","&amp;12,"")&amp;IF(AND(CD52=CD44,CE52=CE44),","&amp;13,"")&amp;IF(AND(CD53=CD44,CE53=CE44),","&amp;14,"")&amp;IF(AND(CD54=CD44,CE54=CE44),","&amp;15,"")&amp;IF(AND(CD55=CD44,CE55=CE44),","&amp;16,"")&amp;IF(AND(CD56=CD44,CE56=CE44),","&amp;17,"")&amp;IF(AND(CD57=CD44,CE57=CE44),","&amp;18,"")&amp;IF(AND(CD58=CD44,CE58=CE44),","&amp;19,"")&amp;IF(AND(CD59=CD44,CE59=CE44),","&amp;20,"")&amp;IF(AND(CD60=CD44,CE60=CE44),","&amp;21,"")&amp;IF(AND(CD61=CD44,CE61=CE44),","&amp;22,"")&amp;IF(AND(CD62=CD44,CE62=CE44),","&amp;23,"")&amp;IF(AND(CD63=CD44,CE63=CE44),","&amp;24,"")&amp;IF(AND(CD64=CD44,CE64=CE44),","&amp;25,"")&amp;IF(AND(CD65=CD44,CE65=CE44),","&amp;26,"")&amp;IF(AND(CD66=CD44,CE66=CE44),","&amp;27,"")&amp;IF(AND(CD67=CD44,CE67=CE44),","&amp;28,"")&amp;IF(AND(CD68=CD44,CE68=CE44),","&amp;29,"")&amp;IF(AND(CD69=CD44,CE69=CE44),","&amp;30,"")&amp;IF(AND(CD70=CD44,CE70=CE44),","&amp;31,"")&amp;IF(AND(CD71=CD44,CE71=CE44),","&amp;32,"")&amp;IF(AND(CD72=CD44,CE72=CE44),","&amp;33,"")&amp;IF(AND(CD73=CD44,CE73=CE44),","&amp;34,"")&amp;IF(AND(CD74=CD44,CE74=CE44),","&amp;35,"")&amp;IF(AND(CD75=CD44,CE75=CE44),","&amp;36,"")&amp;IF(AND(CD76=CD44,CE76=CE44),","&amp;37,"")&amp;IF(AND(CD77=CD44,CE77=CE44),","&amp;38,"")&amp;IF(AND(CD78=CD44,CE78=CE44),","&amp;39,"")&amp;IF(AND(CD79=CD44,CE79=CE44),","&amp;40,""),"")</f>
        <v/>
      </c>
      <c r="CL44" s="58">
        <f>IF(CJ44=1,IF(CH44="Motriz","&lt;circle cx='"&amp;SUBSTITUTE(ROUND(CF44,1),",",".")&amp;"' cy='"&amp;SUBSTITUTE(ROUND(CG44,1),",",".")&amp;"' r='6' fill='#2A3439' stroke='#2A3439' stroke-width='1.3'/&gt;",IF(CH44="Enlace","&lt;rect x='"&amp;SUBSTITUTE(ROUND((CF44)-5.52,1),",",".")&amp;"' y='"&amp;SUBSTITUTE(ROUND((CG44)-5.52,1),",",".")&amp;"' width='11.04' height='11.04' fill='#6699CC' stroke='#2A3439' stroke-width='1.3'/&gt;",IF(CH44="Resultado","&lt;path d='M"&amp;SUBSTITUTE(ROUND(CF44,1),",",".")&amp;" "&amp;SUBSTITUTE(ROUND((CG44)-6.9,1),",",".")&amp;"L"&amp;SUBSTITUTE(ROUND((CF44)+6.3,1),",",".")&amp;" "&amp;SUBSTITUTE(ROUND((CG44)+5.1,1),",",".")&amp;"L"&amp;SUBSTITUTE(ROUND((CF44)-6.3,1),",",".")&amp;" "&amp;SUBSTITUTE(ROUND((CG44)+5.1,1),",",".")&amp;"Z' fill='#FFFFFF' stroke='#2A3439' stroke-width='1.3'/&gt;","&lt;path d='M"&amp;SUBSTITUTE(ROUND(CF44,1),",",".")&amp;" "&amp;SUBSTITUTE(ROUND((CG44)-7.5,1),",",".")&amp;"L"&amp;SUBSTITUTE(ROUND((CF44)+7.5,1),",",".")&amp;" "&amp;SUBSTITUTE(ROUND(CG44,1),",",".")&amp;"L"&amp;SUBSTITUTE(ROUND(CF44,1),",",".")&amp;" "&amp;SUBSTITUTE(ROUND((CG44)+7.5,1),",",".")&amp;"L"&amp;SUBSTITUTE(ROUND((CF44)-7.5,1),",",".")&amp;" "&amp;SUBSTITUTE(ROUND(CG44,1),",",".")&amp;"Z' fill='#F5F5F5' stroke='#2A3439' stroke-width='1.3'/&gt;")))&amp;"&lt;text x='"&amp;SUBSTITUTE(ROUND(CF44+9,1),",",".")&amp;"' y='"&amp;SUBSTITUTE(ROUND(CG44-8,1),",",".")&amp;"'&gt;"&amp;CK44&amp;"&lt;/text&gt;","")</f>
        <v/>
      </c>
      <c r="CM44" s="58">
        <f>IF(CC44=1,IF(CH44="Motriz","&lt;circle cx='"&amp;SUBSTITUTE(ROUND(728,1),",",".")&amp;"' cy='"&amp;SUBSTITUTE(ROUND(176.8,1),",",".")&amp;"' r='4.3' fill='#2A3439' stroke='#2A3439' stroke-width='1.3'/&gt;",IF(CH44="Enlace","&lt;rect x='"&amp;SUBSTITUTE(ROUND((728)-3.96,1),",",".")&amp;"' y='"&amp;SUBSTITUTE(ROUND((176.8)-3.96,1),",",".")&amp;"' width='7.92' height='7.92' fill='#6699CC' stroke='#2A3439' stroke-width='1.3'/&gt;",IF(CH44="Resultado","&lt;path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CN44" s="58">
        <f>4*$CC$14</f>
        <v/>
      </c>
      <c r="CO44" s="58">
        <f>IF(4&lt;=$CC$16,"&lt;line x1='"&amp;SUBSTITUTE(ROUND(90+CN44*$CC$22,1),",",".")&amp;"' y1='84' x2='"&amp;SUBSTITUTE(ROUND(90+CN44*$CC$22,1),",",".")&amp;"' y2='574' stroke='#FFFFFF'/&gt;&lt;text x='"&amp;SUBSTITUTE(ROUND(90+CN44*$CC$22,1),",",".")&amp;"' y='590' text-anchor='middle'&gt;"&amp;ROUND(CN44*100,2)&amp;" %&lt;/text&gt;","")</f>
        <v/>
      </c>
      <c r="CP44" s="58">
        <f>4*$CC$19</f>
        <v/>
      </c>
      <c r="CQ44" s="58">
        <f>IF(4&lt;=$CC$21,"&lt;line x1='90' y1='"&amp;SUBSTITUTE(ROUND(574-CP44*$CC$23,1),",",".")&amp;"' x2='650' y2='"&amp;SUBSTITUTE(ROUND(574-CP44*$CC$23,1),",",".")&amp;"' stroke='#FFFFFF'/&gt;&lt;text x='84' y='"&amp;SUBSTITUTE(ROUND(574-CP44*$CC$23+3,1),",",".")&amp;"' text-anchor='end'&gt;"&amp;ROUND(CP44*100,2)&amp;" %&lt;/text&gt;","")</f>
        <v/>
      </c>
      <c r="CT44" s="58" t="n">
        <v>5</v>
      </c>
      <c r="CU44" s="58">
        <f>IF(AND($CU$4=1,CT44&lt;=nVariables),1,0)</f>
        <v/>
      </c>
      <c r="CV44" s="58">
        <f>IF(CU44=1,'M6'!$F14,"")</f>
        <v/>
      </c>
      <c r="CW44" s="58">
        <f>IF(CU44=1,'M6'!$E14,"")</f>
        <v/>
      </c>
      <c r="CX44" s="58">
        <f>IF(CU44=1,90+CV44*$CU$22,"")</f>
        <v/>
      </c>
      <c r="CY44" s="58">
        <f>IF(CU44=1,574-CW44*$CU$23,"")</f>
        <v/>
      </c>
      <c r="CZ44" s="58">
        <f>IF(CU44=1,'M6'!$I14,"")</f>
        <v/>
      </c>
      <c r="DA44" s="58">
        <f>IF(CU44=1,IF(CZ44="Motriz","#2A3439",IF(CZ44="Enlace","#6699CC",IF(CZ44="Resultado","#FFFFFF","#F5F5F5"))),"")</f>
        <v/>
      </c>
      <c r="DB44" s="58">
        <f>IF(CU44=1,IF(SUMPRODUCT((CV$39:CV43=CV44)*(CW$39:CW43=CW44))=0,1,0),0)</f>
        <v/>
      </c>
      <c r="DC44" s="58">
        <f>IF(DB44=1,5&amp;IF(AND(CV45=CV44,CW45=CW44),","&amp;6,"")&amp;IF(AND(CV46=CV44,CW46=CW44),","&amp;7,"")&amp;IF(AND(CV47=CV44,CW47=CW44),","&amp;8,"")&amp;IF(AND(CV48=CV44,CW48=CW44),","&amp;9,"")&amp;IF(AND(CV49=CV44,CW49=CW44),","&amp;10,"")&amp;IF(AND(CV50=CV44,CW50=CW44),","&amp;11,"")&amp;IF(AND(CV51=CV44,CW51=CW44),","&amp;12,"")&amp;IF(AND(CV52=CV44,CW52=CW44),","&amp;13,"")&amp;IF(AND(CV53=CV44,CW53=CW44),","&amp;14,"")&amp;IF(AND(CV54=CV44,CW54=CW44),","&amp;15,"")&amp;IF(AND(CV55=CV44,CW55=CW44),","&amp;16,"")&amp;IF(AND(CV56=CV44,CW56=CW44),","&amp;17,"")&amp;IF(AND(CV57=CV44,CW57=CW44),","&amp;18,"")&amp;IF(AND(CV58=CV44,CW58=CW44),","&amp;19,"")&amp;IF(AND(CV59=CV44,CW59=CW44),","&amp;20,"")&amp;IF(AND(CV60=CV44,CW60=CW44),","&amp;21,"")&amp;IF(AND(CV61=CV44,CW61=CW44),","&amp;22,"")&amp;IF(AND(CV62=CV44,CW62=CW44),","&amp;23,"")&amp;IF(AND(CV63=CV44,CW63=CW44),","&amp;24,"")&amp;IF(AND(CV64=CV44,CW64=CW44),","&amp;25,"")&amp;IF(AND(CV65=CV44,CW65=CW44),","&amp;26,"")&amp;IF(AND(CV66=CV44,CW66=CW44),","&amp;27,"")&amp;IF(AND(CV67=CV44,CW67=CW44),","&amp;28,"")&amp;IF(AND(CV68=CV44,CW68=CW44),","&amp;29,"")&amp;IF(AND(CV69=CV44,CW69=CW44),","&amp;30,"")&amp;IF(AND(CV70=CV44,CW70=CW44),","&amp;31,"")&amp;IF(AND(CV71=CV44,CW71=CW44),","&amp;32,"")&amp;IF(AND(CV72=CV44,CW72=CW44),","&amp;33,"")&amp;IF(AND(CV73=CV44,CW73=CW44),","&amp;34,"")&amp;IF(AND(CV74=CV44,CW74=CW44),","&amp;35,"")&amp;IF(AND(CV75=CV44,CW75=CW44),","&amp;36,"")&amp;IF(AND(CV76=CV44,CW76=CW44),","&amp;37,"")&amp;IF(AND(CV77=CV44,CW77=CW44),","&amp;38,"")&amp;IF(AND(CV78=CV44,CW78=CW44),","&amp;39,"")&amp;IF(AND(CV79=CV44,CW79=CW44),","&amp;40,""),"")</f>
        <v/>
      </c>
      <c r="DD44" s="58">
        <f>IF(DB44=1,IF(CZ44="Motriz","&lt;circle cx='"&amp;SUBSTITUTE(ROUND(CX44,1),",",".")&amp;"' cy='"&amp;SUBSTITUTE(ROUND(CY44,1),",",".")&amp;"' r='6' fill='#2A3439' stroke='#2A3439' stroke-width='1.3'/&gt;",IF(CZ44="Enlace","&lt;rect x='"&amp;SUBSTITUTE(ROUND((CX44)-5.52,1),",",".")&amp;"' y='"&amp;SUBSTITUTE(ROUND((CY44)-5.52,1),",",".")&amp;"' width='11.04' height='11.04' fill='#6699CC' stroke='#2A3439' stroke-width='1.3'/&gt;",IF(CZ44="Resultado","&lt;path d='M"&amp;SUBSTITUTE(ROUND(CX44,1),",",".")&amp;" "&amp;SUBSTITUTE(ROUND((CY44)-6.9,1),",",".")&amp;"L"&amp;SUBSTITUTE(ROUND((CX44)+6.3,1),",",".")&amp;" "&amp;SUBSTITUTE(ROUND((CY44)+5.1,1),",",".")&amp;"L"&amp;SUBSTITUTE(ROUND((CX44)-6.3,1),",",".")&amp;" "&amp;SUBSTITUTE(ROUND((CY44)+5.1,1),",",".")&amp;"Z' fill='#FFFFFF' stroke='#2A3439' stroke-width='1.3'/&gt;","&lt;path d='M"&amp;SUBSTITUTE(ROUND(CX44,1),",",".")&amp;" "&amp;SUBSTITUTE(ROUND((CY44)-7.5,1),",",".")&amp;"L"&amp;SUBSTITUTE(ROUND((CX44)+7.5,1),",",".")&amp;" "&amp;SUBSTITUTE(ROUND(CY44,1),",",".")&amp;"L"&amp;SUBSTITUTE(ROUND(CX44,1),",",".")&amp;" "&amp;SUBSTITUTE(ROUND((CY44)+7.5,1),",",".")&amp;"L"&amp;SUBSTITUTE(ROUND((CX44)-7.5,1),",",".")&amp;" "&amp;SUBSTITUTE(ROUND(CY44,1),",",".")&amp;"Z' fill='#F5F5F5' stroke='#2A3439' stroke-width='1.3'/&gt;")))&amp;"&lt;text x='"&amp;SUBSTITUTE(ROUND(CX44+9,1),",",".")&amp;"' y='"&amp;SUBSTITUTE(ROUND(CY44-8,1),",",".")&amp;"'&gt;"&amp;DC44&amp;"&lt;/text&gt;","")</f>
        <v/>
      </c>
      <c r="DE44" s="58">
        <f>IF(CU44=1,IF(CZ44="Motriz","&lt;circle cx='"&amp;SUBSTITUTE(ROUND(728,1),",",".")&amp;"' cy='"&amp;SUBSTITUTE(ROUND(176.8,1),",",".")&amp;"' r='4.3' fill='#2A3439' stroke='#2A3439' stroke-width='1.3'/&gt;",IF(CZ44="Enlace","&lt;rect x='"&amp;SUBSTITUTE(ROUND((728)-3.96,1),",",".")&amp;"' y='"&amp;SUBSTITUTE(ROUND((176.8)-3.96,1),",",".")&amp;"' width='7.92' height='7.92' fill='#6699CC' stroke='#2A3439' stroke-width='1.3'/&gt;",IF(CZ44="Resultado","&lt;path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DF44" s="58">
        <f>4*$CU$14</f>
        <v/>
      </c>
      <c r="DG44" s="58">
        <f>IF(4&lt;=$CU$16,"&lt;line x1='"&amp;SUBSTITUTE(ROUND(90+DF44*$CU$22,1),",",".")&amp;"' y1='84' x2='"&amp;SUBSTITUTE(ROUND(90+DF44*$CU$22,1),",",".")&amp;"' y2='574' stroke='#FFFFFF'/&gt;&lt;text x='"&amp;SUBSTITUTE(ROUND(90+DF44*$CU$22,1),",",".")&amp;"' y='590' text-anchor='middle'&gt;"&amp;ROUND(DF44*100,2)&amp;" %&lt;/text&gt;","")</f>
        <v/>
      </c>
      <c r="DH44" s="58">
        <f>4*$CU$19</f>
        <v/>
      </c>
      <c r="DI44" s="58">
        <f>IF(4&lt;=$CU$21,"&lt;line x1='90' y1='"&amp;SUBSTITUTE(ROUND(574-DH44*$CU$23,1),",",".")&amp;"' x2='650' y2='"&amp;SUBSTITUTE(ROUND(574-DH44*$CU$23,1),",",".")&amp;"' stroke='#FFFFFF'/&gt;&lt;text x='84' y='"&amp;SUBSTITUTE(ROUND(574-DH44*$CU$23+3,1),",",".")&amp;"' text-anchor='end'&gt;"&amp;ROUND(DH44*100,2)&amp;" %&lt;/text&gt;","")</f>
        <v/>
      </c>
      <c r="DL44" s="58" t="inlineStr">
        <is>
          <t>SVG FINAL</t>
        </is>
      </c>
      <c r="DM44" s="59">
        <f>IF($DM$4=1,IF($DM$43&gt;32000,"&lt;svg xmlns='http://www.w3.org/2000/svg' viewBox='0 0 600 80'&gt;&lt;text x='10' y='40'&gt;SVG demasiado largo para una celda&lt;/text&gt;&lt;/svg&gt;",$DM$41&amp;$DM$38&amp;$DM$39&amp;$DM$40&amp;$DM$42),"&lt;svg xmlns='http://www.w3.org/2000/svg' viewBox='0 0 1100 200' width='1100' height='200'&gt;&lt;text x='40' y='90' font-family='Arial,Helvetica,sans-serif' font-size='18' fill='#2A3439'&gt;"&amp;SUBSTITUTE(SUBSTITUTE(SUBSTITUTE(SUBSTITUTE(SUBSTITUTE(SUBSTITUTE(SUBSTITUTE(TRIM(CLEAN($DM$3)),"&amp;","&amp;amp;"),"&lt;","&amp;lt;"),"&gt;","&amp;gt;"),CHAR(34),"&amp;quot;"),CHAR(10)," "),CHAR(9)," "),CHAR(13)," ")&amp;"&lt;/text&gt;&lt;text x='40' y='125' font-family='Arial,Helvetica,sans-serif' font-size='14' fill='#2A3439'&gt;Sin datos para este gráfico: complete M (panel superior de la hoja M) o revise que esta potencia tenga recorridos.&lt;/text&gt;&lt;/svg&gt;")</f>
        <v/>
      </c>
    </row>
    <row r="45">
      <c r="A45" s="58" t="n">
        <v>6</v>
      </c>
      <c r="B45" s="58">
        <f>IF($A45&lt;=nVariables,SUBSTITUTE(SUBSTITUTE(SUBSTITUTE(SUBSTITUTE(SUBSTITUTE(SUBSTITUTE(SUBSTITUTE(TRIM(CLEAN(IF(LEN(TRIM(M!$B15))&gt;46,LEFT(TRIM(M!$B15),45)&amp;"…",TRIM(M!$B15)))),"&amp;","&amp;amp;"),"&lt;","&amp;lt;"),"&gt;","&amp;gt;"),CHAR(34),"&amp;quot;"),CHAR(10)," "),CHAR(9)," "),CHAR(13)," "),"")</f>
        <v/>
      </c>
      <c r="C45" s="58">
        <f>IF($A45&lt;=nVariables,$A45&amp;". "&amp;B45,"")</f>
        <v/>
      </c>
      <c r="D45" s="58">
        <f>IF($A45&lt;=nVariables,IF(TRIM(M!$C15)&lt;&gt;"",TRIM(M!$C15),IF(LEN(TRIM(M!$B15))&gt;24,LEFT(TRIM(M!$B15),23)&amp;"…",TRIM(M!$B15))),"")</f>
        <v/>
      </c>
      <c r="E45" s="58">
        <f>IF($A45&lt;=nVariables,TRIM('Árbol de Problemas'!$F24),"")</f>
        <v/>
      </c>
      <c r="H45" s="58" t="n">
        <v>6</v>
      </c>
      <c r="I45" s="58">
        <f>IF(AND($I$4=1,H45&lt;=nVariables),1,0)</f>
        <v/>
      </c>
      <c r="J45" s="58">
        <f>IF(I45=1,'M1'!$F15,"")</f>
        <v/>
      </c>
      <c r="K45" s="58">
        <f>IF(I45=1,'M1'!$E15,"")</f>
        <v/>
      </c>
      <c r="L45" s="58">
        <f>IF(I45=1,90+J45*$I$22,"")</f>
        <v/>
      </c>
      <c r="M45" s="58">
        <f>IF(I45=1,574-K45*$I$23,"")</f>
        <v/>
      </c>
      <c r="N45" s="58">
        <f>IF(I45=1,'M1'!$I15,"")</f>
        <v/>
      </c>
      <c r="O45" s="58">
        <f>IF(I45=1,IF(N45="Motriz","#2A3439",IF(N45="Enlace","#6699CC",IF(N45="Resultado","#FFFFFF","#F5F5F5"))),"")</f>
        <v/>
      </c>
      <c r="P45" s="58">
        <f>IF(I45=1,IF(SUMPRODUCT((J$39:J44=J45)*(K$39:K44=K45))=0,1,0),0)</f>
        <v/>
      </c>
      <c r="Q45" s="58">
        <f>IF(P45=1,6&amp;IF(AND(J46=J45,K46=K45),","&amp;7,"")&amp;IF(AND(J47=J45,K47=K45),","&amp;8,"")&amp;IF(AND(J48=J45,K48=K45),","&amp;9,"")&amp;IF(AND(J49=J45,K49=K45),","&amp;10,"")&amp;IF(AND(J50=J45,K50=K45),","&amp;11,"")&amp;IF(AND(J51=J45,K51=K45),","&amp;12,"")&amp;IF(AND(J52=J45,K52=K45),","&amp;13,"")&amp;IF(AND(J53=J45,K53=K45),","&amp;14,"")&amp;IF(AND(J54=J45,K54=K45),","&amp;15,"")&amp;IF(AND(J55=J45,K55=K45),","&amp;16,"")&amp;IF(AND(J56=J45,K56=K45),","&amp;17,"")&amp;IF(AND(J57=J45,K57=K45),","&amp;18,"")&amp;IF(AND(J58=J45,K58=K45),","&amp;19,"")&amp;IF(AND(J59=J45,K59=K45),","&amp;20,"")&amp;IF(AND(J60=J45,K60=K45),","&amp;21,"")&amp;IF(AND(J61=J45,K61=K45),","&amp;22,"")&amp;IF(AND(J62=J45,K62=K45),","&amp;23,"")&amp;IF(AND(J63=J45,K63=K45),","&amp;24,"")&amp;IF(AND(J64=J45,K64=K45),","&amp;25,"")&amp;IF(AND(J65=J45,K65=K45),","&amp;26,"")&amp;IF(AND(J66=J45,K66=K45),","&amp;27,"")&amp;IF(AND(J67=J45,K67=K45),","&amp;28,"")&amp;IF(AND(J68=J45,K68=K45),","&amp;29,"")&amp;IF(AND(J69=J45,K69=K45),","&amp;30,"")&amp;IF(AND(J70=J45,K70=K45),","&amp;31,"")&amp;IF(AND(J71=J45,K71=K45),","&amp;32,"")&amp;IF(AND(J72=J45,K72=K45),","&amp;33,"")&amp;IF(AND(J73=J45,K73=K45),","&amp;34,"")&amp;IF(AND(J74=J45,K74=K45),","&amp;35,"")&amp;IF(AND(J75=J45,K75=K45),","&amp;36,"")&amp;IF(AND(J76=J45,K76=K45),","&amp;37,"")&amp;IF(AND(J77=J45,K77=K45),","&amp;38,"")&amp;IF(AND(J78=J45,K78=K45),","&amp;39,"")&amp;IF(AND(J79=J45,K79=K45),","&amp;40,""),"")</f>
        <v/>
      </c>
      <c r="R45" s="58">
        <f>IF(P45=1,IF(N45="Motriz","&lt;circle cx='"&amp;SUBSTITUTE(ROUND(L45,1),",",".")&amp;"' cy='"&amp;SUBSTITUTE(ROUND(M45,1),",",".")&amp;"' r='6' fill='#2A3439' stroke='#2A3439' stroke-width='1.3'/&gt;",IF(N45="Enlace","&lt;rect x='"&amp;SUBSTITUTE(ROUND((L45)-5.52,1),",",".")&amp;"' y='"&amp;SUBSTITUTE(ROUND((M45)-5.52,1),",",".")&amp;"' width='11.04' height='11.04' fill='#6699CC' stroke='#2A3439' stroke-width='1.3'/&gt;",IF(N45="Resultado","&lt;path d='M"&amp;SUBSTITUTE(ROUND(L45,1),",",".")&amp;" "&amp;SUBSTITUTE(ROUND((M45)-6.9,1),",",".")&amp;"L"&amp;SUBSTITUTE(ROUND((L45)+6.3,1),",",".")&amp;" "&amp;SUBSTITUTE(ROUND((M45)+5.1,1),",",".")&amp;"L"&amp;SUBSTITUTE(ROUND((L45)-6.3,1),",",".")&amp;" "&amp;SUBSTITUTE(ROUND((M45)+5.1,1),",",".")&amp;"Z' fill='#FFFFFF' stroke='#2A3439' stroke-width='1.3'/&gt;","&lt;path d='M"&amp;SUBSTITUTE(ROUND(L45,1),",",".")&amp;" "&amp;SUBSTITUTE(ROUND((M45)-7.5,1),",",".")&amp;"L"&amp;SUBSTITUTE(ROUND((L45)+7.5,1),",",".")&amp;" "&amp;SUBSTITUTE(ROUND(M45,1),",",".")&amp;"L"&amp;SUBSTITUTE(ROUND(L45,1),",",".")&amp;" "&amp;SUBSTITUTE(ROUND((M45)+7.5,1),",",".")&amp;"L"&amp;SUBSTITUTE(ROUND((L45)-7.5,1),",",".")&amp;" "&amp;SUBSTITUTE(ROUND(M45,1),",",".")&amp;"Z' fill='#F5F5F5' stroke='#2A3439' stroke-width='1.3'/&gt;")))&amp;"&lt;text x='"&amp;SUBSTITUTE(ROUND(L45+9,1),",",".")&amp;"' y='"&amp;SUBSTITUTE(ROUND(M45-8,1),",",".")&amp;"'&gt;"&amp;Q45&amp;"&lt;/text&gt;","")</f>
        <v/>
      </c>
      <c r="S45" s="58">
        <f>IF(I45=1,IF(N45="Motriz","&lt;circle cx='"&amp;SUBSTITUTE(ROUND(728,1),",",".")&amp;"' cy='"&amp;SUBSTITUTE(ROUND(191,1),",",".")&amp;"' r='4.3' fill='#2A3439' stroke='#2A3439' stroke-width='1.3'/&gt;",IF(N45="Enlace","&lt;rect x='"&amp;SUBSTITUTE(ROUND((728)-3.96,1),",",".")&amp;"' y='"&amp;SUBSTITUTE(ROUND((191)-3.96,1),",",".")&amp;"' width='7.92' height='7.92' fill='#6699CC' stroke='#2A3439' stroke-width='1.3'/&gt;",IF(N45="Resultado","&lt;path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T45" s="58">
        <f>5*$I$14</f>
        <v/>
      </c>
      <c r="U45" s="58">
        <f>IF(5&lt;=$I$16,"&lt;line x1='"&amp;SUBSTITUTE(ROUND(90+T45*$I$22,1),",",".")&amp;"' y1='84' x2='"&amp;SUBSTITUTE(ROUND(90+T45*$I$22,1),",",".")&amp;"' y2='574' stroke='#FFFFFF'/&gt;&lt;text x='"&amp;SUBSTITUTE(ROUND(90+T45*$I$22,1),",",".")&amp;"' y='590' text-anchor='middle'&gt;"&amp;ROUND(T45*100,2)&amp;" %&lt;/text&gt;","")</f>
        <v/>
      </c>
      <c r="V45" s="58">
        <f>5*$I$19</f>
        <v/>
      </c>
      <c r="W45" s="58">
        <f>IF(5&lt;=$I$21,"&lt;line x1='90' y1='"&amp;SUBSTITUTE(ROUND(574-V45*$I$23,1),",",".")&amp;"' x2='650' y2='"&amp;SUBSTITUTE(ROUND(574-V45*$I$23,1),",",".")&amp;"' stroke='#FFFFFF'/&gt;&lt;text x='84' y='"&amp;SUBSTITUTE(ROUND(574-V45*$I$23+3,1),",",".")&amp;"' text-anchor='end'&gt;"&amp;ROUND(V45*100,2)&amp;" %&lt;/text&gt;","")</f>
        <v/>
      </c>
      <c r="Z45" s="58" t="n">
        <v>6</v>
      </c>
      <c r="AA45" s="58">
        <f>IF(AND($AA$4=1,Z45&lt;=nVariables),1,0)</f>
        <v/>
      </c>
      <c r="AB45" s="58">
        <f>IF(AA45=1,'M2'!$F15,"")</f>
        <v/>
      </c>
      <c r="AC45" s="58">
        <f>IF(AA45=1,'M2'!$E15,"")</f>
        <v/>
      </c>
      <c r="AD45" s="58">
        <f>IF(AA45=1,90+AB45*$AA$22,"")</f>
        <v/>
      </c>
      <c r="AE45" s="58">
        <f>IF(AA45=1,574-AC45*$AA$23,"")</f>
        <v/>
      </c>
      <c r="AF45" s="58">
        <f>IF(AA45=1,'M2'!$I15,"")</f>
        <v/>
      </c>
      <c r="AG45" s="58">
        <f>IF(AA45=1,IF(AF45="Motriz","#2A3439",IF(AF45="Enlace","#6699CC",IF(AF45="Resultado","#FFFFFF","#F5F5F5"))),"")</f>
        <v/>
      </c>
      <c r="AH45" s="58">
        <f>IF(AA45=1,IF(SUMPRODUCT((AB$39:AB44=AB45)*(AC$39:AC44=AC45))=0,1,0),0)</f>
        <v/>
      </c>
      <c r="AI45" s="58">
        <f>IF(AH45=1,6&amp;IF(AND(AB46=AB45,AC46=AC45),","&amp;7,"")&amp;IF(AND(AB47=AB45,AC47=AC45),","&amp;8,"")&amp;IF(AND(AB48=AB45,AC48=AC45),","&amp;9,"")&amp;IF(AND(AB49=AB45,AC49=AC45),","&amp;10,"")&amp;IF(AND(AB50=AB45,AC50=AC45),","&amp;11,"")&amp;IF(AND(AB51=AB45,AC51=AC45),","&amp;12,"")&amp;IF(AND(AB52=AB45,AC52=AC45),","&amp;13,"")&amp;IF(AND(AB53=AB45,AC53=AC45),","&amp;14,"")&amp;IF(AND(AB54=AB45,AC54=AC45),","&amp;15,"")&amp;IF(AND(AB55=AB45,AC55=AC45),","&amp;16,"")&amp;IF(AND(AB56=AB45,AC56=AC45),","&amp;17,"")&amp;IF(AND(AB57=AB45,AC57=AC45),","&amp;18,"")&amp;IF(AND(AB58=AB45,AC58=AC45),","&amp;19,"")&amp;IF(AND(AB59=AB45,AC59=AC45),","&amp;20,"")&amp;IF(AND(AB60=AB45,AC60=AC45),","&amp;21,"")&amp;IF(AND(AB61=AB45,AC61=AC45),","&amp;22,"")&amp;IF(AND(AB62=AB45,AC62=AC45),","&amp;23,"")&amp;IF(AND(AB63=AB45,AC63=AC45),","&amp;24,"")&amp;IF(AND(AB64=AB45,AC64=AC45),","&amp;25,"")&amp;IF(AND(AB65=AB45,AC65=AC45),","&amp;26,"")&amp;IF(AND(AB66=AB45,AC66=AC45),","&amp;27,"")&amp;IF(AND(AB67=AB45,AC67=AC45),","&amp;28,"")&amp;IF(AND(AB68=AB45,AC68=AC45),","&amp;29,"")&amp;IF(AND(AB69=AB45,AC69=AC45),","&amp;30,"")&amp;IF(AND(AB70=AB45,AC70=AC45),","&amp;31,"")&amp;IF(AND(AB71=AB45,AC71=AC45),","&amp;32,"")&amp;IF(AND(AB72=AB45,AC72=AC45),","&amp;33,"")&amp;IF(AND(AB73=AB45,AC73=AC45),","&amp;34,"")&amp;IF(AND(AB74=AB45,AC74=AC45),","&amp;35,"")&amp;IF(AND(AB75=AB45,AC75=AC45),","&amp;36,"")&amp;IF(AND(AB76=AB45,AC76=AC45),","&amp;37,"")&amp;IF(AND(AB77=AB45,AC77=AC45),","&amp;38,"")&amp;IF(AND(AB78=AB45,AC78=AC45),","&amp;39,"")&amp;IF(AND(AB79=AB45,AC79=AC45),","&amp;40,""),"")</f>
        <v/>
      </c>
      <c r="AJ45" s="58">
        <f>IF(AH45=1,IF(AF45="Motriz","&lt;circle cx='"&amp;SUBSTITUTE(ROUND(AD45,1),",",".")&amp;"' cy='"&amp;SUBSTITUTE(ROUND(AE45,1),",",".")&amp;"' r='6' fill='#2A3439' stroke='#2A3439' stroke-width='1.3'/&gt;",IF(AF45="Enlace","&lt;rect x='"&amp;SUBSTITUTE(ROUND((AD45)-5.52,1),",",".")&amp;"' y='"&amp;SUBSTITUTE(ROUND((AE45)-5.52,1),",",".")&amp;"' width='11.04' height='11.04' fill='#6699CC' stroke='#2A3439' stroke-width='1.3'/&gt;",IF(AF45="Resultado","&lt;path d='M"&amp;SUBSTITUTE(ROUND(AD45,1),",",".")&amp;" "&amp;SUBSTITUTE(ROUND((AE45)-6.9,1),",",".")&amp;"L"&amp;SUBSTITUTE(ROUND((AD45)+6.3,1),",",".")&amp;" "&amp;SUBSTITUTE(ROUND((AE45)+5.1,1),",",".")&amp;"L"&amp;SUBSTITUTE(ROUND((AD45)-6.3,1),",",".")&amp;" "&amp;SUBSTITUTE(ROUND((AE45)+5.1,1),",",".")&amp;"Z' fill='#FFFFFF' stroke='#2A3439' stroke-width='1.3'/&gt;","&lt;path d='M"&amp;SUBSTITUTE(ROUND(AD45,1),",",".")&amp;" "&amp;SUBSTITUTE(ROUND((AE45)-7.5,1),",",".")&amp;"L"&amp;SUBSTITUTE(ROUND((AD45)+7.5,1),",",".")&amp;" "&amp;SUBSTITUTE(ROUND(AE45,1),",",".")&amp;"L"&amp;SUBSTITUTE(ROUND(AD45,1),",",".")&amp;" "&amp;SUBSTITUTE(ROUND((AE45)+7.5,1),",",".")&amp;"L"&amp;SUBSTITUTE(ROUND((AD45)-7.5,1),",",".")&amp;" "&amp;SUBSTITUTE(ROUND(AE45,1),",",".")&amp;"Z' fill='#F5F5F5' stroke='#2A3439' stroke-width='1.3'/&gt;")))&amp;"&lt;text x='"&amp;SUBSTITUTE(ROUND(AD45+9,1),",",".")&amp;"' y='"&amp;SUBSTITUTE(ROUND(AE45-8,1),",",".")&amp;"'&gt;"&amp;AI45&amp;"&lt;/text&gt;","")</f>
        <v/>
      </c>
      <c r="AK45" s="58">
        <f>IF(AA45=1,IF(AF45="Motriz","&lt;circle cx='"&amp;SUBSTITUTE(ROUND(728,1),",",".")&amp;"' cy='"&amp;SUBSTITUTE(ROUND(191,1),",",".")&amp;"' r='4.3' fill='#2A3439' stroke='#2A3439' stroke-width='1.3'/&gt;",IF(AF45="Enlace","&lt;rect x='"&amp;SUBSTITUTE(ROUND((728)-3.96,1),",",".")&amp;"' y='"&amp;SUBSTITUTE(ROUND((191)-3.96,1),",",".")&amp;"' width='7.92' height='7.92' fill='#6699CC' stroke='#2A3439' stroke-width='1.3'/&gt;",IF(AF45="Resultado","&lt;path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AL45" s="58">
        <f>5*$AA$14</f>
        <v/>
      </c>
      <c r="AM45" s="58">
        <f>IF(5&lt;=$AA$16,"&lt;line x1='"&amp;SUBSTITUTE(ROUND(90+AL45*$AA$22,1),",",".")&amp;"' y1='84' x2='"&amp;SUBSTITUTE(ROUND(90+AL45*$AA$22,1),",",".")&amp;"' y2='574' stroke='#FFFFFF'/&gt;&lt;text x='"&amp;SUBSTITUTE(ROUND(90+AL45*$AA$22,1),",",".")&amp;"' y='590' text-anchor='middle'&gt;"&amp;ROUND(AL45*100,2)&amp;" %&lt;/text&gt;","")</f>
        <v/>
      </c>
      <c r="AN45" s="58">
        <f>5*$AA$19</f>
        <v/>
      </c>
      <c r="AO45" s="58">
        <f>IF(5&lt;=$AA$21,"&lt;line x1='90' y1='"&amp;SUBSTITUTE(ROUND(574-AN45*$AA$23,1),",",".")&amp;"' x2='650' y2='"&amp;SUBSTITUTE(ROUND(574-AN45*$AA$23,1),",",".")&amp;"' stroke='#FFFFFF'/&gt;&lt;text x='84' y='"&amp;SUBSTITUTE(ROUND(574-AN45*$AA$23+3,1),",",".")&amp;"' text-anchor='end'&gt;"&amp;ROUND(AN45*100,2)&amp;" %&lt;/text&gt;","")</f>
        <v/>
      </c>
      <c r="AR45" s="58" t="n">
        <v>6</v>
      </c>
      <c r="AS45" s="58">
        <f>IF(AND($AS$4=1,AR45&lt;=nVariables),1,0)</f>
        <v/>
      </c>
      <c r="AT45" s="58">
        <f>IF(AS45=1,'M3'!$F15,"")</f>
        <v/>
      </c>
      <c r="AU45" s="58">
        <f>IF(AS45=1,'M3'!$E15,"")</f>
        <v/>
      </c>
      <c r="AV45" s="58">
        <f>IF(AS45=1,90+AT45*$AS$22,"")</f>
        <v/>
      </c>
      <c r="AW45" s="58">
        <f>IF(AS45=1,574-AU45*$AS$23,"")</f>
        <v/>
      </c>
      <c r="AX45" s="58">
        <f>IF(AS45=1,'M3'!$I15,"")</f>
        <v/>
      </c>
      <c r="AY45" s="58">
        <f>IF(AS45=1,IF(AX45="Motriz","#2A3439",IF(AX45="Enlace","#6699CC",IF(AX45="Resultado","#FFFFFF","#F5F5F5"))),"")</f>
        <v/>
      </c>
      <c r="AZ45" s="58">
        <f>IF(AS45=1,IF(SUMPRODUCT((AT$39:AT44=AT45)*(AU$39:AU44=AU45))=0,1,0),0)</f>
        <v/>
      </c>
      <c r="BA45" s="58">
        <f>IF(AZ45=1,6&amp;IF(AND(AT46=AT45,AU46=AU45),","&amp;7,"")&amp;IF(AND(AT47=AT45,AU47=AU45),","&amp;8,"")&amp;IF(AND(AT48=AT45,AU48=AU45),","&amp;9,"")&amp;IF(AND(AT49=AT45,AU49=AU45),","&amp;10,"")&amp;IF(AND(AT50=AT45,AU50=AU45),","&amp;11,"")&amp;IF(AND(AT51=AT45,AU51=AU45),","&amp;12,"")&amp;IF(AND(AT52=AT45,AU52=AU45),","&amp;13,"")&amp;IF(AND(AT53=AT45,AU53=AU45),","&amp;14,"")&amp;IF(AND(AT54=AT45,AU54=AU45),","&amp;15,"")&amp;IF(AND(AT55=AT45,AU55=AU45),","&amp;16,"")&amp;IF(AND(AT56=AT45,AU56=AU45),","&amp;17,"")&amp;IF(AND(AT57=AT45,AU57=AU45),","&amp;18,"")&amp;IF(AND(AT58=AT45,AU58=AU45),","&amp;19,"")&amp;IF(AND(AT59=AT45,AU59=AU45),","&amp;20,"")&amp;IF(AND(AT60=AT45,AU60=AU45),","&amp;21,"")&amp;IF(AND(AT61=AT45,AU61=AU45),","&amp;22,"")&amp;IF(AND(AT62=AT45,AU62=AU45),","&amp;23,"")&amp;IF(AND(AT63=AT45,AU63=AU45),","&amp;24,"")&amp;IF(AND(AT64=AT45,AU64=AU45),","&amp;25,"")&amp;IF(AND(AT65=AT45,AU65=AU45),","&amp;26,"")&amp;IF(AND(AT66=AT45,AU66=AU45),","&amp;27,"")&amp;IF(AND(AT67=AT45,AU67=AU45),","&amp;28,"")&amp;IF(AND(AT68=AT45,AU68=AU45),","&amp;29,"")&amp;IF(AND(AT69=AT45,AU69=AU45),","&amp;30,"")&amp;IF(AND(AT70=AT45,AU70=AU45),","&amp;31,"")&amp;IF(AND(AT71=AT45,AU71=AU45),","&amp;32,"")&amp;IF(AND(AT72=AT45,AU72=AU45),","&amp;33,"")&amp;IF(AND(AT73=AT45,AU73=AU45),","&amp;34,"")&amp;IF(AND(AT74=AT45,AU74=AU45),","&amp;35,"")&amp;IF(AND(AT75=AT45,AU75=AU45),","&amp;36,"")&amp;IF(AND(AT76=AT45,AU76=AU45),","&amp;37,"")&amp;IF(AND(AT77=AT45,AU77=AU45),","&amp;38,"")&amp;IF(AND(AT78=AT45,AU78=AU45),","&amp;39,"")&amp;IF(AND(AT79=AT45,AU79=AU45),","&amp;40,""),"")</f>
        <v/>
      </c>
      <c r="BB45" s="58">
        <f>IF(AZ45=1,IF(AX45="Motriz","&lt;circle cx='"&amp;SUBSTITUTE(ROUND(AV45,1),",",".")&amp;"' cy='"&amp;SUBSTITUTE(ROUND(AW45,1),",",".")&amp;"' r='6' fill='#2A3439' stroke='#2A3439' stroke-width='1.3'/&gt;",IF(AX45="Enlace","&lt;rect x='"&amp;SUBSTITUTE(ROUND((AV45)-5.52,1),",",".")&amp;"' y='"&amp;SUBSTITUTE(ROUND((AW45)-5.52,1),",",".")&amp;"' width='11.04' height='11.04' fill='#6699CC' stroke='#2A3439' stroke-width='1.3'/&gt;",IF(AX45="Resultado","&lt;path d='M"&amp;SUBSTITUTE(ROUND(AV45,1),",",".")&amp;" "&amp;SUBSTITUTE(ROUND((AW45)-6.9,1),",",".")&amp;"L"&amp;SUBSTITUTE(ROUND((AV45)+6.3,1),",",".")&amp;" "&amp;SUBSTITUTE(ROUND((AW45)+5.1,1),",",".")&amp;"L"&amp;SUBSTITUTE(ROUND((AV45)-6.3,1),",",".")&amp;" "&amp;SUBSTITUTE(ROUND((AW45)+5.1,1),",",".")&amp;"Z' fill='#FFFFFF' stroke='#2A3439' stroke-width='1.3'/&gt;","&lt;path d='M"&amp;SUBSTITUTE(ROUND(AV45,1),",",".")&amp;" "&amp;SUBSTITUTE(ROUND((AW45)-7.5,1),",",".")&amp;"L"&amp;SUBSTITUTE(ROUND((AV45)+7.5,1),",",".")&amp;" "&amp;SUBSTITUTE(ROUND(AW45,1),",",".")&amp;"L"&amp;SUBSTITUTE(ROUND(AV45,1),",",".")&amp;" "&amp;SUBSTITUTE(ROUND((AW45)+7.5,1),",",".")&amp;"L"&amp;SUBSTITUTE(ROUND((AV45)-7.5,1),",",".")&amp;" "&amp;SUBSTITUTE(ROUND(AW45,1),",",".")&amp;"Z' fill='#F5F5F5' stroke='#2A3439' stroke-width='1.3'/&gt;")))&amp;"&lt;text x='"&amp;SUBSTITUTE(ROUND(AV45+9,1),",",".")&amp;"' y='"&amp;SUBSTITUTE(ROUND(AW45-8,1),",",".")&amp;"'&gt;"&amp;BA45&amp;"&lt;/text&gt;","")</f>
        <v/>
      </c>
      <c r="BC45" s="58">
        <f>IF(AS45=1,IF(AX45="Motriz","&lt;circle cx='"&amp;SUBSTITUTE(ROUND(728,1),",",".")&amp;"' cy='"&amp;SUBSTITUTE(ROUND(191,1),",",".")&amp;"' r='4.3' fill='#2A3439' stroke='#2A3439' stroke-width='1.3'/&gt;",IF(AX45="Enlace","&lt;rect x='"&amp;SUBSTITUTE(ROUND((728)-3.96,1),",",".")&amp;"' y='"&amp;SUBSTITUTE(ROUND((191)-3.96,1),",",".")&amp;"' width='7.92' height='7.92' fill='#6699CC' stroke='#2A3439' stroke-width='1.3'/&gt;",IF(AX45="Resultado","&lt;path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BD45" s="58">
        <f>5*$AS$14</f>
        <v/>
      </c>
      <c r="BE45" s="58">
        <f>IF(5&lt;=$AS$16,"&lt;line x1='"&amp;SUBSTITUTE(ROUND(90+BD45*$AS$22,1),",",".")&amp;"' y1='84' x2='"&amp;SUBSTITUTE(ROUND(90+BD45*$AS$22,1),",",".")&amp;"' y2='574' stroke='#FFFFFF'/&gt;&lt;text x='"&amp;SUBSTITUTE(ROUND(90+BD45*$AS$22,1),",",".")&amp;"' y='590' text-anchor='middle'&gt;"&amp;ROUND(BD45*100,2)&amp;" %&lt;/text&gt;","")</f>
        <v/>
      </c>
      <c r="BF45" s="58">
        <f>5*$AS$19</f>
        <v/>
      </c>
      <c r="BG45" s="58">
        <f>IF(5&lt;=$AS$21,"&lt;line x1='90' y1='"&amp;SUBSTITUTE(ROUND(574-BF45*$AS$23,1),",",".")&amp;"' x2='650' y2='"&amp;SUBSTITUTE(ROUND(574-BF45*$AS$23,1),",",".")&amp;"' stroke='#FFFFFF'/&gt;&lt;text x='84' y='"&amp;SUBSTITUTE(ROUND(574-BF45*$AS$23+3,1),",",".")&amp;"' text-anchor='end'&gt;"&amp;ROUND(BF45*100,2)&amp;" %&lt;/text&gt;","")</f>
        <v/>
      </c>
      <c r="BJ45" s="58" t="n">
        <v>6</v>
      </c>
      <c r="BK45" s="58">
        <f>IF(AND($BK$4=1,BJ45&lt;=nVariables),1,0)</f>
        <v/>
      </c>
      <c r="BL45" s="58">
        <f>IF(BK45=1,'M4'!$F15,"")</f>
        <v/>
      </c>
      <c r="BM45" s="58">
        <f>IF(BK45=1,'M4'!$E15,"")</f>
        <v/>
      </c>
      <c r="BN45" s="58">
        <f>IF(BK45=1,90+BL45*$BK$22,"")</f>
        <v/>
      </c>
      <c r="BO45" s="58">
        <f>IF(BK45=1,574-BM45*$BK$23,"")</f>
        <v/>
      </c>
      <c r="BP45" s="58">
        <f>IF(BK45=1,'M4'!$I15,"")</f>
        <v/>
      </c>
      <c r="BQ45" s="58">
        <f>IF(BK45=1,IF(BP45="Motriz","#2A3439",IF(BP45="Enlace","#6699CC",IF(BP45="Resultado","#FFFFFF","#F5F5F5"))),"")</f>
        <v/>
      </c>
      <c r="BR45" s="58">
        <f>IF(BK45=1,IF(SUMPRODUCT((BL$39:BL44=BL45)*(BM$39:BM44=BM45))=0,1,0),0)</f>
        <v/>
      </c>
      <c r="BS45" s="58">
        <f>IF(BR45=1,6&amp;IF(AND(BL46=BL45,BM46=BM45),","&amp;7,"")&amp;IF(AND(BL47=BL45,BM47=BM45),","&amp;8,"")&amp;IF(AND(BL48=BL45,BM48=BM45),","&amp;9,"")&amp;IF(AND(BL49=BL45,BM49=BM45),","&amp;10,"")&amp;IF(AND(BL50=BL45,BM50=BM45),","&amp;11,"")&amp;IF(AND(BL51=BL45,BM51=BM45),","&amp;12,"")&amp;IF(AND(BL52=BL45,BM52=BM45),","&amp;13,"")&amp;IF(AND(BL53=BL45,BM53=BM45),","&amp;14,"")&amp;IF(AND(BL54=BL45,BM54=BM45),","&amp;15,"")&amp;IF(AND(BL55=BL45,BM55=BM45),","&amp;16,"")&amp;IF(AND(BL56=BL45,BM56=BM45),","&amp;17,"")&amp;IF(AND(BL57=BL45,BM57=BM45),","&amp;18,"")&amp;IF(AND(BL58=BL45,BM58=BM45),","&amp;19,"")&amp;IF(AND(BL59=BL45,BM59=BM45),","&amp;20,"")&amp;IF(AND(BL60=BL45,BM60=BM45),","&amp;21,"")&amp;IF(AND(BL61=BL45,BM61=BM45),","&amp;22,"")&amp;IF(AND(BL62=BL45,BM62=BM45),","&amp;23,"")&amp;IF(AND(BL63=BL45,BM63=BM45),","&amp;24,"")&amp;IF(AND(BL64=BL45,BM64=BM45),","&amp;25,"")&amp;IF(AND(BL65=BL45,BM65=BM45),","&amp;26,"")&amp;IF(AND(BL66=BL45,BM66=BM45),","&amp;27,"")&amp;IF(AND(BL67=BL45,BM67=BM45),","&amp;28,"")&amp;IF(AND(BL68=BL45,BM68=BM45),","&amp;29,"")&amp;IF(AND(BL69=BL45,BM69=BM45),","&amp;30,"")&amp;IF(AND(BL70=BL45,BM70=BM45),","&amp;31,"")&amp;IF(AND(BL71=BL45,BM71=BM45),","&amp;32,"")&amp;IF(AND(BL72=BL45,BM72=BM45),","&amp;33,"")&amp;IF(AND(BL73=BL45,BM73=BM45),","&amp;34,"")&amp;IF(AND(BL74=BL45,BM74=BM45),","&amp;35,"")&amp;IF(AND(BL75=BL45,BM75=BM45),","&amp;36,"")&amp;IF(AND(BL76=BL45,BM76=BM45),","&amp;37,"")&amp;IF(AND(BL77=BL45,BM77=BM45),","&amp;38,"")&amp;IF(AND(BL78=BL45,BM78=BM45),","&amp;39,"")&amp;IF(AND(BL79=BL45,BM79=BM45),","&amp;40,""),"")</f>
        <v/>
      </c>
      <c r="BT45" s="58">
        <f>IF(BR45=1,IF(BP45="Motriz","&lt;circle cx='"&amp;SUBSTITUTE(ROUND(BN45,1),",",".")&amp;"' cy='"&amp;SUBSTITUTE(ROUND(BO45,1),",",".")&amp;"' r='6' fill='#2A3439' stroke='#2A3439' stroke-width='1.3'/&gt;",IF(BP45="Enlace","&lt;rect x='"&amp;SUBSTITUTE(ROUND((BN45)-5.52,1),",",".")&amp;"' y='"&amp;SUBSTITUTE(ROUND((BO45)-5.52,1),",",".")&amp;"' width='11.04' height='11.04' fill='#6699CC' stroke='#2A3439' stroke-width='1.3'/&gt;",IF(BP45="Resultado","&lt;path d='M"&amp;SUBSTITUTE(ROUND(BN45,1),",",".")&amp;" "&amp;SUBSTITUTE(ROUND((BO45)-6.9,1),",",".")&amp;"L"&amp;SUBSTITUTE(ROUND((BN45)+6.3,1),",",".")&amp;" "&amp;SUBSTITUTE(ROUND((BO45)+5.1,1),",",".")&amp;"L"&amp;SUBSTITUTE(ROUND((BN45)-6.3,1),",",".")&amp;" "&amp;SUBSTITUTE(ROUND((BO45)+5.1,1),",",".")&amp;"Z' fill='#FFFFFF' stroke='#2A3439' stroke-width='1.3'/&gt;","&lt;path d='M"&amp;SUBSTITUTE(ROUND(BN45,1),",",".")&amp;" "&amp;SUBSTITUTE(ROUND((BO45)-7.5,1),",",".")&amp;"L"&amp;SUBSTITUTE(ROUND((BN45)+7.5,1),",",".")&amp;" "&amp;SUBSTITUTE(ROUND(BO45,1),",",".")&amp;"L"&amp;SUBSTITUTE(ROUND(BN45,1),",",".")&amp;" "&amp;SUBSTITUTE(ROUND((BO45)+7.5,1),",",".")&amp;"L"&amp;SUBSTITUTE(ROUND((BN45)-7.5,1),",",".")&amp;" "&amp;SUBSTITUTE(ROUND(BO45,1),",",".")&amp;"Z' fill='#F5F5F5' stroke='#2A3439' stroke-width='1.3'/&gt;")))&amp;"&lt;text x='"&amp;SUBSTITUTE(ROUND(BN45+9,1),",",".")&amp;"' y='"&amp;SUBSTITUTE(ROUND(BO45-8,1),",",".")&amp;"'&gt;"&amp;BS45&amp;"&lt;/text&gt;","")</f>
        <v/>
      </c>
      <c r="BU45" s="58">
        <f>IF(BK45=1,IF(BP45="Motriz","&lt;circle cx='"&amp;SUBSTITUTE(ROUND(728,1),",",".")&amp;"' cy='"&amp;SUBSTITUTE(ROUND(191,1),",",".")&amp;"' r='4.3' fill='#2A3439' stroke='#2A3439' stroke-width='1.3'/&gt;",IF(BP45="Enlace","&lt;rect x='"&amp;SUBSTITUTE(ROUND((728)-3.96,1),",",".")&amp;"' y='"&amp;SUBSTITUTE(ROUND((191)-3.96,1),",",".")&amp;"' width='7.92' height='7.92' fill='#6699CC' stroke='#2A3439' stroke-width='1.3'/&gt;",IF(BP45="Resultado","&lt;path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BV45" s="58">
        <f>5*$BK$14</f>
        <v/>
      </c>
      <c r="BW45" s="58">
        <f>IF(5&lt;=$BK$16,"&lt;line x1='"&amp;SUBSTITUTE(ROUND(90+BV45*$BK$22,1),",",".")&amp;"' y1='84' x2='"&amp;SUBSTITUTE(ROUND(90+BV45*$BK$22,1),",",".")&amp;"' y2='574' stroke='#FFFFFF'/&gt;&lt;text x='"&amp;SUBSTITUTE(ROUND(90+BV45*$BK$22,1),",",".")&amp;"' y='590' text-anchor='middle'&gt;"&amp;ROUND(BV45*100,2)&amp;" %&lt;/text&gt;","")</f>
        <v/>
      </c>
      <c r="BX45" s="58">
        <f>5*$BK$19</f>
        <v/>
      </c>
      <c r="BY45" s="58">
        <f>IF(5&lt;=$BK$21,"&lt;line x1='90' y1='"&amp;SUBSTITUTE(ROUND(574-BX45*$BK$23,1),",",".")&amp;"' x2='650' y2='"&amp;SUBSTITUTE(ROUND(574-BX45*$BK$23,1),",",".")&amp;"' stroke='#FFFFFF'/&gt;&lt;text x='84' y='"&amp;SUBSTITUTE(ROUND(574-BX45*$BK$23+3,1),",",".")&amp;"' text-anchor='end'&gt;"&amp;ROUND(BX45*100,2)&amp;" %&lt;/text&gt;","")</f>
        <v/>
      </c>
      <c r="CB45" s="58" t="n">
        <v>6</v>
      </c>
      <c r="CC45" s="58">
        <f>IF(AND($CC$4=1,CB45&lt;=nVariables),1,0)</f>
        <v/>
      </c>
      <c r="CD45" s="58">
        <f>IF(CC45=1,'M5'!$F15,"")</f>
        <v/>
      </c>
      <c r="CE45" s="58">
        <f>IF(CC45=1,'M5'!$E15,"")</f>
        <v/>
      </c>
      <c r="CF45" s="58">
        <f>IF(CC45=1,90+CD45*$CC$22,"")</f>
        <v/>
      </c>
      <c r="CG45" s="58">
        <f>IF(CC45=1,574-CE45*$CC$23,"")</f>
        <v/>
      </c>
      <c r="CH45" s="58">
        <f>IF(CC45=1,'M5'!$I15,"")</f>
        <v/>
      </c>
      <c r="CI45" s="58">
        <f>IF(CC45=1,IF(CH45="Motriz","#2A3439",IF(CH45="Enlace","#6699CC",IF(CH45="Resultado","#FFFFFF","#F5F5F5"))),"")</f>
        <v/>
      </c>
      <c r="CJ45" s="58">
        <f>IF(CC45=1,IF(SUMPRODUCT((CD$39:CD44=CD45)*(CE$39:CE44=CE45))=0,1,0),0)</f>
        <v/>
      </c>
      <c r="CK45" s="58">
        <f>IF(CJ45=1,6&amp;IF(AND(CD46=CD45,CE46=CE45),","&amp;7,"")&amp;IF(AND(CD47=CD45,CE47=CE45),","&amp;8,"")&amp;IF(AND(CD48=CD45,CE48=CE45),","&amp;9,"")&amp;IF(AND(CD49=CD45,CE49=CE45),","&amp;10,"")&amp;IF(AND(CD50=CD45,CE50=CE45),","&amp;11,"")&amp;IF(AND(CD51=CD45,CE51=CE45),","&amp;12,"")&amp;IF(AND(CD52=CD45,CE52=CE45),","&amp;13,"")&amp;IF(AND(CD53=CD45,CE53=CE45),","&amp;14,"")&amp;IF(AND(CD54=CD45,CE54=CE45),","&amp;15,"")&amp;IF(AND(CD55=CD45,CE55=CE45),","&amp;16,"")&amp;IF(AND(CD56=CD45,CE56=CE45),","&amp;17,"")&amp;IF(AND(CD57=CD45,CE57=CE45),","&amp;18,"")&amp;IF(AND(CD58=CD45,CE58=CE45),","&amp;19,"")&amp;IF(AND(CD59=CD45,CE59=CE45),","&amp;20,"")&amp;IF(AND(CD60=CD45,CE60=CE45),","&amp;21,"")&amp;IF(AND(CD61=CD45,CE61=CE45),","&amp;22,"")&amp;IF(AND(CD62=CD45,CE62=CE45),","&amp;23,"")&amp;IF(AND(CD63=CD45,CE63=CE45),","&amp;24,"")&amp;IF(AND(CD64=CD45,CE64=CE45),","&amp;25,"")&amp;IF(AND(CD65=CD45,CE65=CE45),","&amp;26,"")&amp;IF(AND(CD66=CD45,CE66=CE45),","&amp;27,"")&amp;IF(AND(CD67=CD45,CE67=CE45),","&amp;28,"")&amp;IF(AND(CD68=CD45,CE68=CE45),","&amp;29,"")&amp;IF(AND(CD69=CD45,CE69=CE45),","&amp;30,"")&amp;IF(AND(CD70=CD45,CE70=CE45),","&amp;31,"")&amp;IF(AND(CD71=CD45,CE71=CE45),","&amp;32,"")&amp;IF(AND(CD72=CD45,CE72=CE45),","&amp;33,"")&amp;IF(AND(CD73=CD45,CE73=CE45),","&amp;34,"")&amp;IF(AND(CD74=CD45,CE74=CE45),","&amp;35,"")&amp;IF(AND(CD75=CD45,CE75=CE45),","&amp;36,"")&amp;IF(AND(CD76=CD45,CE76=CE45),","&amp;37,"")&amp;IF(AND(CD77=CD45,CE77=CE45),","&amp;38,"")&amp;IF(AND(CD78=CD45,CE78=CE45),","&amp;39,"")&amp;IF(AND(CD79=CD45,CE79=CE45),","&amp;40,""),"")</f>
        <v/>
      </c>
      <c r="CL45" s="58">
        <f>IF(CJ45=1,IF(CH45="Motriz","&lt;circle cx='"&amp;SUBSTITUTE(ROUND(CF45,1),",",".")&amp;"' cy='"&amp;SUBSTITUTE(ROUND(CG45,1),",",".")&amp;"' r='6' fill='#2A3439' stroke='#2A3439' stroke-width='1.3'/&gt;",IF(CH45="Enlace","&lt;rect x='"&amp;SUBSTITUTE(ROUND((CF45)-5.52,1),",",".")&amp;"' y='"&amp;SUBSTITUTE(ROUND((CG45)-5.52,1),",",".")&amp;"' width='11.04' height='11.04' fill='#6699CC' stroke='#2A3439' stroke-width='1.3'/&gt;",IF(CH45="Resultado","&lt;path d='M"&amp;SUBSTITUTE(ROUND(CF45,1),",",".")&amp;" "&amp;SUBSTITUTE(ROUND((CG45)-6.9,1),",",".")&amp;"L"&amp;SUBSTITUTE(ROUND((CF45)+6.3,1),",",".")&amp;" "&amp;SUBSTITUTE(ROUND((CG45)+5.1,1),",",".")&amp;"L"&amp;SUBSTITUTE(ROUND((CF45)-6.3,1),",",".")&amp;" "&amp;SUBSTITUTE(ROUND((CG45)+5.1,1),",",".")&amp;"Z' fill='#FFFFFF' stroke='#2A3439' stroke-width='1.3'/&gt;","&lt;path d='M"&amp;SUBSTITUTE(ROUND(CF45,1),",",".")&amp;" "&amp;SUBSTITUTE(ROUND((CG45)-7.5,1),",",".")&amp;"L"&amp;SUBSTITUTE(ROUND((CF45)+7.5,1),",",".")&amp;" "&amp;SUBSTITUTE(ROUND(CG45,1),",",".")&amp;"L"&amp;SUBSTITUTE(ROUND(CF45,1),",",".")&amp;" "&amp;SUBSTITUTE(ROUND((CG45)+7.5,1),",",".")&amp;"L"&amp;SUBSTITUTE(ROUND((CF45)-7.5,1),",",".")&amp;" "&amp;SUBSTITUTE(ROUND(CG45,1),",",".")&amp;"Z' fill='#F5F5F5' stroke='#2A3439' stroke-width='1.3'/&gt;")))&amp;"&lt;text x='"&amp;SUBSTITUTE(ROUND(CF45+9,1),",",".")&amp;"' y='"&amp;SUBSTITUTE(ROUND(CG45-8,1),",",".")&amp;"'&gt;"&amp;CK45&amp;"&lt;/text&gt;","")</f>
        <v/>
      </c>
      <c r="CM45" s="58">
        <f>IF(CC45=1,IF(CH45="Motriz","&lt;circle cx='"&amp;SUBSTITUTE(ROUND(728,1),",",".")&amp;"' cy='"&amp;SUBSTITUTE(ROUND(191,1),",",".")&amp;"' r='4.3' fill='#2A3439' stroke='#2A3439' stroke-width='1.3'/&gt;",IF(CH45="Enlace","&lt;rect x='"&amp;SUBSTITUTE(ROUND((728)-3.96,1),",",".")&amp;"' y='"&amp;SUBSTITUTE(ROUND((191)-3.96,1),",",".")&amp;"' width='7.92' height='7.92' fill='#6699CC' stroke='#2A3439' stroke-width='1.3'/&gt;",IF(CH45="Resultado","&lt;path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CN45" s="58">
        <f>5*$CC$14</f>
        <v/>
      </c>
      <c r="CO45" s="58">
        <f>IF(5&lt;=$CC$16,"&lt;line x1='"&amp;SUBSTITUTE(ROUND(90+CN45*$CC$22,1),",",".")&amp;"' y1='84' x2='"&amp;SUBSTITUTE(ROUND(90+CN45*$CC$22,1),",",".")&amp;"' y2='574' stroke='#FFFFFF'/&gt;&lt;text x='"&amp;SUBSTITUTE(ROUND(90+CN45*$CC$22,1),",",".")&amp;"' y='590' text-anchor='middle'&gt;"&amp;ROUND(CN45*100,2)&amp;" %&lt;/text&gt;","")</f>
        <v/>
      </c>
      <c r="CP45" s="58">
        <f>5*$CC$19</f>
        <v/>
      </c>
      <c r="CQ45" s="58">
        <f>IF(5&lt;=$CC$21,"&lt;line x1='90' y1='"&amp;SUBSTITUTE(ROUND(574-CP45*$CC$23,1),",",".")&amp;"' x2='650' y2='"&amp;SUBSTITUTE(ROUND(574-CP45*$CC$23,1),",",".")&amp;"' stroke='#FFFFFF'/&gt;&lt;text x='84' y='"&amp;SUBSTITUTE(ROUND(574-CP45*$CC$23+3,1),",",".")&amp;"' text-anchor='end'&gt;"&amp;ROUND(CP45*100,2)&amp;" %&lt;/text&gt;","")</f>
        <v/>
      </c>
      <c r="CT45" s="58" t="n">
        <v>6</v>
      </c>
      <c r="CU45" s="58">
        <f>IF(AND($CU$4=1,CT45&lt;=nVariables),1,0)</f>
        <v/>
      </c>
      <c r="CV45" s="58">
        <f>IF(CU45=1,'M6'!$F15,"")</f>
        <v/>
      </c>
      <c r="CW45" s="58">
        <f>IF(CU45=1,'M6'!$E15,"")</f>
        <v/>
      </c>
      <c r="CX45" s="58">
        <f>IF(CU45=1,90+CV45*$CU$22,"")</f>
        <v/>
      </c>
      <c r="CY45" s="58">
        <f>IF(CU45=1,574-CW45*$CU$23,"")</f>
        <v/>
      </c>
      <c r="CZ45" s="58">
        <f>IF(CU45=1,'M6'!$I15,"")</f>
        <v/>
      </c>
      <c r="DA45" s="58">
        <f>IF(CU45=1,IF(CZ45="Motriz","#2A3439",IF(CZ45="Enlace","#6699CC",IF(CZ45="Resultado","#FFFFFF","#F5F5F5"))),"")</f>
        <v/>
      </c>
      <c r="DB45" s="58">
        <f>IF(CU45=1,IF(SUMPRODUCT((CV$39:CV44=CV45)*(CW$39:CW44=CW45))=0,1,0),0)</f>
        <v/>
      </c>
      <c r="DC45" s="58">
        <f>IF(DB45=1,6&amp;IF(AND(CV46=CV45,CW46=CW45),","&amp;7,"")&amp;IF(AND(CV47=CV45,CW47=CW45),","&amp;8,"")&amp;IF(AND(CV48=CV45,CW48=CW45),","&amp;9,"")&amp;IF(AND(CV49=CV45,CW49=CW45),","&amp;10,"")&amp;IF(AND(CV50=CV45,CW50=CW45),","&amp;11,"")&amp;IF(AND(CV51=CV45,CW51=CW45),","&amp;12,"")&amp;IF(AND(CV52=CV45,CW52=CW45),","&amp;13,"")&amp;IF(AND(CV53=CV45,CW53=CW45),","&amp;14,"")&amp;IF(AND(CV54=CV45,CW54=CW45),","&amp;15,"")&amp;IF(AND(CV55=CV45,CW55=CW45),","&amp;16,"")&amp;IF(AND(CV56=CV45,CW56=CW45),","&amp;17,"")&amp;IF(AND(CV57=CV45,CW57=CW45),","&amp;18,"")&amp;IF(AND(CV58=CV45,CW58=CW45),","&amp;19,"")&amp;IF(AND(CV59=CV45,CW59=CW45),","&amp;20,"")&amp;IF(AND(CV60=CV45,CW60=CW45),","&amp;21,"")&amp;IF(AND(CV61=CV45,CW61=CW45),","&amp;22,"")&amp;IF(AND(CV62=CV45,CW62=CW45),","&amp;23,"")&amp;IF(AND(CV63=CV45,CW63=CW45),","&amp;24,"")&amp;IF(AND(CV64=CV45,CW64=CW45),","&amp;25,"")&amp;IF(AND(CV65=CV45,CW65=CW45),","&amp;26,"")&amp;IF(AND(CV66=CV45,CW66=CW45),","&amp;27,"")&amp;IF(AND(CV67=CV45,CW67=CW45),","&amp;28,"")&amp;IF(AND(CV68=CV45,CW68=CW45),","&amp;29,"")&amp;IF(AND(CV69=CV45,CW69=CW45),","&amp;30,"")&amp;IF(AND(CV70=CV45,CW70=CW45),","&amp;31,"")&amp;IF(AND(CV71=CV45,CW71=CW45),","&amp;32,"")&amp;IF(AND(CV72=CV45,CW72=CW45),","&amp;33,"")&amp;IF(AND(CV73=CV45,CW73=CW45),","&amp;34,"")&amp;IF(AND(CV74=CV45,CW74=CW45),","&amp;35,"")&amp;IF(AND(CV75=CV45,CW75=CW45),","&amp;36,"")&amp;IF(AND(CV76=CV45,CW76=CW45),","&amp;37,"")&amp;IF(AND(CV77=CV45,CW77=CW45),","&amp;38,"")&amp;IF(AND(CV78=CV45,CW78=CW45),","&amp;39,"")&amp;IF(AND(CV79=CV45,CW79=CW45),","&amp;40,""),"")</f>
        <v/>
      </c>
      <c r="DD45" s="58">
        <f>IF(DB45=1,IF(CZ45="Motriz","&lt;circle cx='"&amp;SUBSTITUTE(ROUND(CX45,1),",",".")&amp;"' cy='"&amp;SUBSTITUTE(ROUND(CY45,1),",",".")&amp;"' r='6' fill='#2A3439' stroke='#2A3439' stroke-width='1.3'/&gt;",IF(CZ45="Enlace","&lt;rect x='"&amp;SUBSTITUTE(ROUND((CX45)-5.52,1),",",".")&amp;"' y='"&amp;SUBSTITUTE(ROUND((CY45)-5.52,1),",",".")&amp;"' width='11.04' height='11.04' fill='#6699CC' stroke='#2A3439' stroke-width='1.3'/&gt;",IF(CZ45="Resultado","&lt;path d='M"&amp;SUBSTITUTE(ROUND(CX45,1),",",".")&amp;" "&amp;SUBSTITUTE(ROUND((CY45)-6.9,1),",",".")&amp;"L"&amp;SUBSTITUTE(ROUND((CX45)+6.3,1),",",".")&amp;" "&amp;SUBSTITUTE(ROUND((CY45)+5.1,1),",",".")&amp;"L"&amp;SUBSTITUTE(ROUND((CX45)-6.3,1),",",".")&amp;" "&amp;SUBSTITUTE(ROUND((CY45)+5.1,1),",",".")&amp;"Z' fill='#FFFFFF' stroke='#2A3439' stroke-width='1.3'/&gt;","&lt;path d='M"&amp;SUBSTITUTE(ROUND(CX45,1),",",".")&amp;" "&amp;SUBSTITUTE(ROUND((CY45)-7.5,1),",",".")&amp;"L"&amp;SUBSTITUTE(ROUND((CX45)+7.5,1),",",".")&amp;" "&amp;SUBSTITUTE(ROUND(CY45,1),",",".")&amp;"L"&amp;SUBSTITUTE(ROUND(CX45,1),",",".")&amp;" "&amp;SUBSTITUTE(ROUND((CY45)+7.5,1),",",".")&amp;"L"&amp;SUBSTITUTE(ROUND((CX45)-7.5,1),",",".")&amp;" "&amp;SUBSTITUTE(ROUND(CY45,1),",",".")&amp;"Z' fill='#F5F5F5' stroke='#2A3439' stroke-width='1.3'/&gt;")))&amp;"&lt;text x='"&amp;SUBSTITUTE(ROUND(CX45+9,1),",",".")&amp;"' y='"&amp;SUBSTITUTE(ROUND(CY45-8,1),",",".")&amp;"'&gt;"&amp;DC45&amp;"&lt;/text&gt;","")</f>
        <v/>
      </c>
      <c r="DE45" s="58">
        <f>IF(CU45=1,IF(CZ45="Motriz","&lt;circle cx='"&amp;SUBSTITUTE(ROUND(728,1),",",".")&amp;"' cy='"&amp;SUBSTITUTE(ROUND(191,1),",",".")&amp;"' r='4.3' fill='#2A3439' stroke='#2A3439' stroke-width='1.3'/&gt;",IF(CZ45="Enlace","&lt;rect x='"&amp;SUBSTITUTE(ROUND((728)-3.96,1),",",".")&amp;"' y='"&amp;SUBSTITUTE(ROUND((191)-3.96,1),",",".")&amp;"' width='7.92' height='7.92' fill='#6699CC' stroke='#2A3439' stroke-width='1.3'/&gt;",IF(CZ45="Resultado","&lt;path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DF45" s="58">
        <f>5*$CU$14</f>
        <v/>
      </c>
      <c r="DG45" s="58">
        <f>IF(5&lt;=$CU$16,"&lt;line x1='"&amp;SUBSTITUTE(ROUND(90+DF45*$CU$22,1),",",".")&amp;"' y1='84' x2='"&amp;SUBSTITUTE(ROUND(90+DF45*$CU$22,1),",",".")&amp;"' y2='574' stroke='#FFFFFF'/&gt;&lt;text x='"&amp;SUBSTITUTE(ROUND(90+DF45*$CU$22,1),",",".")&amp;"' y='590' text-anchor='middle'&gt;"&amp;ROUND(DF45*100,2)&amp;" %&lt;/text&gt;","")</f>
        <v/>
      </c>
      <c r="DH45" s="58">
        <f>5*$CU$19</f>
        <v/>
      </c>
      <c r="DI45" s="58">
        <f>IF(5&lt;=$CU$21,"&lt;line x1='90' y1='"&amp;SUBSTITUTE(ROUND(574-DH45*$CU$23,1),",",".")&amp;"' x2='650' y2='"&amp;SUBSTITUTE(ROUND(574-DH45*$CU$23,1),",",".")&amp;"' stroke='#FFFFFF'/&gt;&lt;text x='84' y='"&amp;SUBSTITUTE(ROUND(574-DH45*$CU$23+3,1),",",".")&amp;"' text-anchor='end'&gt;"&amp;ROUND(DH45*100,2)&amp;" %&lt;/text&gt;","")</f>
        <v/>
      </c>
    </row>
    <row r="46">
      <c r="A46" s="58" t="n">
        <v>7</v>
      </c>
      <c r="B46" s="58">
        <f>IF($A46&lt;=nVariables,SUBSTITUTE(SUBSTITUTE(SUBSTITUTE(SUBSTITUTE(SUBSTITUTE(SUBSTITUTE(SUBSTITUTE(TRIM(CLEAN(IF(LEN(TRIM(M!$B16))&gt;46,LEFT(TRIM(M!$B16),45)&amp;"…",TRIM(M!$B16)))),"&amp;","&amp;amp;"),"&lt;","&amp;lt;"),"&gt;","&amp;gt;"),CHAR(34),"&amp;quot;"),CHAR(10)," "),CHAR(9)," "),CHAR(13)," "),"")</f>
        <v/>
      </c>
      <c r="C46" s="58">
        <f>IF($A46&lt;=nVariables,$A46&amp;". "&amp;B46,"")</f>
        <v/>
      </c>
      <c r="D46" s="58">
        <f>IF($A46&lt;=nVariables,IF(TRIM(M!$C16)&lt;&gt;"",TRIM(M!$C16),IF(LEN(TRIM(M!$B16))&gt;24,LEFT(TRIM(M!$B16),23)&amp;"…",TRIM(M!$B16))),"")</f>
        <v/>
      </c>
      <c r="E46" s="58">
        <f>IF($A46&lt;=nVariables,TRIM('Árbol de Problemas'!$F25),"")</f>
        <v/>
      </c>
      <c r="H46" s="58" t="n">
        <v>7</v>
      </c>
      <c r="I46" s="58">
        <f>IF(AND($I$4=1,H46&lt;=nVariables),1,0)</f>
        <v/>
      </c>
      <c r="J46" s="58">
        <f>IF(I46=1,'M1'!$F16,"")</f>
        <v/>
      </c>
      <c r="K46" s="58">
        <f>IF(I46=1,'M1'!$E16,"")</f>
        <v/>
      </c>
      <c r="L46" s="58">
        <f>IF(I46=1,90+J46*$I$22,"")</f>
        <v/>
      </c>
      <c r="M46" s="58">
        <f>IF(I46=1,574-K46*$I$23,"")</f>
        <v/>
      </c>
      <c r="N46" s="58">
        <f>IF(I46=1,'M1'!$I16,"")</f>
        <v/>
      </c>
      <c r="O46" s="58">
        <f>IF(I46=1,IF(N46="Motriz","#2A3439",IF(N46="Enlace","#6699CC",IF(N46="Resultado","#FFFFFF","#F5F5F5"))),"")</f>
        <v/>
      </c>
      <c r="P46" s="58">
        <f>IF(I46=1,IF(SUMPRODUCT((J$39:J45=J46)*(K$39:K45=K46))=0,1,0),0)</f>
        <v/>
      </c>
      <c r="Q46" s="58">
        <f>IF(P46=1,7&amp;IF(AND(J47=J46,K47=K46),","&amp;8,"")&amp;IF(AND(J48=J46,K48=K46),","&amp;9,"")&amp;IF(AND(J49=J46,K49=K46),","&amp;10,"")&amp;IF(AND(J50=J46,K50=K46),","&amp;11,"")&amp;IF(AND(J51=J46,K51=K46),","&amp;12,"")&amp;IF(AND(J52=J46,K52=K46),","&amp;13,"")&amp;IF(AND(J53=J46,K53=K46),","&amp;14,"")&amp;IF(AND(J54=J46,K54=K46),","&amp;15,"")&amp;IF(AND(J55=J46,K55=K46),","&amp;16,"")&amp;IF(AND(J56=J46,K56=K46),","&amp;17,"")&amp;IF(AND(J57=J46,K57=K46),","&amp;18,"")&amp;IF(AND(J58=J46,K58=K46),","&amp;19,"")&amp;IF(AND(J59=J46,K59=K46),","&amp;20,"")&amp;IF(AND(J60=J46,K60=K46),","&amp;21,"")&amp;IF(AND(J61=J46,K61=K46),","&amp;22,"")&amp;IF(AND(J62=J46,K62=K46),","&amp;23,"")&amp;IF(AND(J63=J46,K63=K46),","&amp;24,"")&amp;IF(AND(J64=J46,K64=K46),","&amp;25,"")&amp;IF(AND(J65=J46,K65=K46),","&amp;26,"")&amp;IF(AND(J66=J46,K66=K46),","&amp;27,"")&amp;IF(AND(J67=J46,K67=K46),","&amp;28,"")&amp;IF(AND(J68=J46,K68=K46),","&amp;29,"")&amp;IF(AND(J69=J46,K69=K46),","&amp;30,"")&amp;IF(AND(J70=J46,K70=K46),","&amp;31,"")&amp;IF(AND(J71=J46,K71=K46),","&amp;32,"")&amp;IF(AND(J72=J46,K72=K46),","&amp;33,"")&amp;IF(AND(J73=J46,K73=K46),","&amp;34,"")&amp;IF(AND(J74=J46,K74=K46),","&amp;35,"")&amp;IF(AND(J75=J46,K75=K46),","&amp;36,"")&amp;IF(AND(J76=J46,K76=K46),","&amp;37,"")&amp;IF(AND(J77=J46,K77=K46),","&amp;38,"")&amp;IF(AND(J78=J46,K78=K46),","&amp;39,"")&amp;IF(AND(J79=J46,K79=K46),","&amp;40,""),"")</f>
        <v/>
      </c>
      <c r="R46" s="58">
        <f>IF(P46=1,IF(N46="Motriz","&lt;circle cx='"&amp;SUBSTITUTE(ROUND(L46,1),",",".")&amp;"' cy='"&amp;SUBSTITUTE(ROUND(M46,1),",",".")&amp;"' r='6' fill='#2A3439' stroke='#2A3439' stroke-width='1.3'/&gt;",IF(N46="Enlace","&lt;rect x='"&amp;SUBSTITUTE(ROUND((L46)-5.52,1),",",".")&amp;"' y='"&amp;SUBSTITUTE(ROUND((M46)-5.52,1),",",".")&amp;"' width='11.04' height='11.04' fill='#6699CC' stroke='#2A3439' stroke-width='1.3'/&gt;",IF(N46="Resultado","&lt;path d='M"&amp;SUBSTITUTE(ROUND(L46,1),",",".")&amp;" "&amp;SUBSTITUTE(ROUND((M46)-6.9,1),",",".")&amp;"L"&amp;SUBSTITUTE(ROUND((L46)+6.3,1),",",".")&amp;" "&amp;SUBSTITUTE(ROUND((M46)+5.1,1),",",".")&amp;"L"&amp;SUBSTITUTE(ROUND((L46)-6.3,1),",",".")&amp;" "&amp;SUBSTITUTE(ROUND((M46)+5.1,1),",",".")&amp;"Z' fill='#FFFFFF' stroke='#2A3439' stroke-width='1.3'/&gt;","&lt;path d='M"&amp;SUBSTITUTE(ROUND(L46,1),",",".")&amp;" "&amp;SUBSTITUTE(ROUND((M46)-7.5,1),",",".")&amp;"L"&amp;SUBSTITUTE(ROUND((L46)+7.5,1),",",".")&amp;" "&amp;SUBSTITUTE(ROUND(M46,1),",",".")&amp;"L"&amp;SUBSTITUTE(ROUND(L46,1),",",".")&amp;" "&amp;SUBSTITUTE(ROUND((M46)+7.5,1),",",".")&amp;"L"&amp;SUBSTITUTE(ROUND((L46)-7.5,1),",",".")&amp;" "&amp;SUBSTITUTE(ROUND(M46,1),",",".")&amp;"Z' fill='#F5F5F5' stroke='#2A3439' stroke-width='1.3'/&gt;")))&amp;"&lt;text x='"&amp;SUBSTITUTE(ROUND(L46+9,1),",",".")&amp;"' y='"&amp;SUBSTITUTE(ROUND(M46-8,1),",",".")&amp;"'&gt;"&amp;Q46&amp;"&lt;/text&gt;","")</f>
        <v/>
      </c>
      <c r="S46" s="58">
        <f>IF(I46=1,IF(N46="Motriz","&lt;circle cx='"&amp;SUBSTITUTE(ROUND(728,1),",",".")&amp;"' cy='"&amp;SUBSTITUTE(ROUND(205.2,1),",",".")&amp;"' r='4.3' fill='#2A3439' stroke='#2A3439' stroke-width='1.3'/&gt;",IF(N46="Enlace","&lt;rect x='"&amp;SUBSTITUTE(ROUND((728)-3.96,1),",",".")&amp;"' y='"&amp;SUBSTITUTE(ROUND((205.2)-3.96,1),",",".")&amp;"' width='7.92' height='7.92' fill='#6699CC' stroke='#2A3439' stroke-width='1.3'/&gt;",IF(N46="Resultado","&lt;path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T46" s="58">
        <f>6*$I$14</f>
        <v/>
      </c>
      <c r="U46" s="58">
        <f>IF(6&lt;=$I$16,"&lt;line x1='"&amp;SUBSTITUTE(ROUND(90+T46*$I$22,1),",",".")&amp;"' y1='84' x2='"&amp;SUBSTITUTE(ROUND(90+T46*$I$22,1),",",".")&amp;"' y2='574' stroke='#FFFFFF'/&gt;&lt;text x='"&amp;SUBSTITUTE(ROUND(90+T46*$I$22,1),",",".")&amp;"' y='590' text-anchor='middle'&gt;"&amp;ROUND(T46*100,2)&amp;" %&lt;/text&gt;","")</f>
        <v/>
      </c>
      <c r="V46" s="58">
        <f>6*$I$19</f>
        <v/>
      </c>
      <c r="W46" s="58">
        <f>IF(6&lt;=$I$21,"&lt;line x1='90' y1='"&amp;SUBSTITUTE(ROUND(574-V46*$I$23,1),",",".")&amp;"' x2='650' y2='"&amp;SUBSTITUTE(ROUND(574-V46*$I$23,1),",",".")&amp;"' stroke='#FFFFFF'/&gt;&lt;text x='84' y='"&amp;SUBSTITUTE(ROUND(574-V46*$I$23+3,1),",",".")&amp;"' text-anchor='end'&gt;"&amp;ROUND(V46*100,2)&amp;" %&lt;/text&gt;","")</f>
        <v/>
      </c>
      <c r="Z46" s="58" t="n">
        <v>7</v>
      </c>
      <c r="AA46" s="58">
        <f>IF(AND($AA$4=1,Z46&lt;=nVariables),1,0)</f>
        <v/>
      </c>
      <c r="AB46" s="58">
        <f>IF(AA46=1,'M2'!$F16,"")</f>
        <v/>
      </c>
      <c r="AC46" s="58">
        <f>IF(AA46=1,'M2'!$E16,"")</f>
        <v/>
      </c>
      <c r="AD46" s="58">
        <f>IF(AA46=1,90+AB46*$AA$22,"")</f>
        <v/>
      </c>
      <c r="AE46" s="58">
        <f>IF(AA46=1,574-AC46*$AA$23,"")</f>
        <v/>
      </c>
      <c r="AF46" s="58">
        <f>IF(AA46=1,'M2'!$I16,"")</f>
        <v/>
      </c>
      <c r="AG46" s="58">
        <f>IF(AA46=1,IF(AF46="Motriz","#2A3439",IF(AF46="Enlace","#6699CC",IF(AF46="Resultado","#FFFFFF","#F5F5F5"))),"")</f>
        <v/>
      </c>
      <c r="AH46" s="58">
        <f>IF(AA46=1,IF(SUMPRODUCT((AB$39:AB45=AB46)*(AC$39:AC45=AC46))=0,1,0),0)</f>
        <v/>
      </c>
      <c r="AI46" s="58">
        <f>IF(AH46=1,7&amp;IF(AND(AB47=AB46,AC47=AC46),","&amp;8,"")&amp;IF(AND(AB48=AB46,AC48=AC46),","&amp;9,"")&amp;IF(AND(AB49=AB46,AC49=AC46),","&amp;10,"")&amp;IF(AND(AB50=AB46,AC50=AC46),","&amp;11,"")&amp;IF(AND(AB51=AB46,AC51=AC46),","&amp;12,"")&amp;IF(AND(AB52=AB46,AC52=AC46),","&amp;13,"")&amp;IF(AND(AB53=AB46,AC53=AC46),","&amp;14,"")&amp;IF(AND(AB54=AB46,AC54=AC46),","&amp;15,"")&amp;IF(AND(AB55=AB46,AC55=AC46),","&amp;16,"")&amp;IF(AND(AB56=AB46,AC56=AC46),","&amp;17,"")&amp;IF(AND(AB57=AB46,AC57=AC46),","&amp;18,"")&amp;IF(AND(AB58=AB46,AC58=AC46),","&amp;19,"")&amp;IF(AND(AB59=AB46,AC59=AC46),","&amp;20,"")&amp;IF(AND(AB60=AB46,AC60=AC46),","&amp;21,"")&amp;IF(AND(AB61=AB46,AC61=AC46),","&amp;22,"")&amp;IF(AND(AB62=AB46,AC62=AC46),","&amp;23,"")&amp;IF(AND(AB63=AB46,AC63=AC46),","&amp;24,"")&amp;IF(AND(AB64=AB46,AC64=AC46),","&amp;25,"")&amp;IF(AND(AB65=AB46,AC65=AC46),","&amp;26,"")&amp;IF(AND(AB66=AB46,AC66=AC46),","&amp;27,"")&amp;IF(AND(AB67=AB46,AC67=AC46),","&amp;28,"")&amp;IF(AND(AB68=AB46,AC68=AC46),","&amp;29,"")&amp;IF(AND(AB69=AB46,AC69=AC46),","&amp;30,"")&amp;IF(AND(AB70=AB46,AC70=AC46),","&amp;31,"")&amp;IF(AND(AB71=AB46,AC71=AC46),","&amp;32,"")&amp;IF(AND(AB72=AB46,AC72=AC46),","&amp;33,"")&amp;IF(AND(AB73=AB46,AC73=AC46),","&amp;34,"")&amp;IF(AND(AB74=AB46,AC74=AC46),","&amp;35,"")&amp;IF(AND(AB75=AB46,AC75=AC46),","&amp;36,"")&amp;IF(AND(AB76=AB46,AC76=AC46),","&amp;37,"")&amp;IF(AND(AB77=AB46,AC77=AC46),","&amp;38,"")&amp;IF(AND(AB78=AB46,AC78=AC46),","&amp;39,"")&amp;IF(AND(AB79=AB46,AC79=AC46),","&amp;40,""),"")</f>
        <v/>
      </c>
      <c r="AJ46" s="58">
        <f>IF(AH46=1,IF(AF46="Motriz","&lt;circle cx='"&amp;SUBSTITUTE(ROUND(AD46,1),",",".")&amp;"' cy='"&amp;SUBSTITUTE(ROUND(AE46,1),",",".")&amp;"' r='6' fill='#2A3439' stroke='#2A3439' stroke-width='1.3'/&gt;",IF(AF46="Enlace","&lt;rect x='"&amp;SUBSTITUTE(ROUND((AD46)-5.52,1),",",".")&amp;"' y='"&amp;SUBSTITUTE(ROUND((AE46)-5.52,1),",",".")&amp;"' width='11.04' height='11.04' fill='#6699CC' stroke='#2A3439' stroke-width='1.3'/&gt;",IF(AF46="Resultado","&lt;path d='M"&amp;SUBSTITUTE(ROUND(AD46,1),",",".")&amp;" "&amp;SUBSTITUTE(ROUND((AE46)-6.9,1),",",".")&amp;"L"&amp;SUBSTITUTE(ROUND((AD46)+6.3,1),",",".")&amp;" "&amp;SUBSTITUTE(ROUND((AE46)+5.1,1),",",".")&amp;"L"&amp;SUBSTITUTE(ROUND((AD46)-6.3,1),",",".")&amp;" "&amp;SUBSTITUTE(ROUND((AE46)+5.1,1),",",".")&amp;"Z' fill='#FFFFFF' stroke='#2A3439' stroke-width='1.3'/&gt;","&lt;path d='M"&amp;SUBSTITUTE(ROUND(AD46,1),",",".")&amp;" "&amp;SUBSTITUTE(ROUND((AE46)-7.5,1),",",".")&amp;"L"&amp;SUBSTITUTE(ROUND((AD46)+7.5,1),",",".")&amp;" "&amp;SUBSTITUTE(ROUND(AE46,1),",",".")&amp;"L"&amp;SUBSTITUTE(ROUND(AD46,1),",",".")&amp;" "&amp;SUBSTITUTE(ROUND((AE46)+7.5,1),",",".")&amp;"L"&amp;SUBSTITUTE(ROUND((AD46)-7.5,1),",",".")&amp;" "&amp;SUBSTITUTE(ROUND(AE46,1),",",".")&amp;"Z' fill='#F5F5F5' stroke='#2A3439' stroke-width='1.3'/&gt;")))&amp;"&lt;text x='"&amp;SUBSTITUTE(ROUND(AD46+9,1),",",".")&amp;"' y='"&amp;SUBSTITUTE(ROUND(AE46-8,1),",",".")&amp;"'&gt;"&amp;AI46&amp;"&lt;/text&gt;","")</f>
        <v/>
      </c>
      <c r="AK46" s="58">
        <f>IF(AA46=1,IF(AF46="Motriz","&lt;circle cx='"&amp;SUBSTITUTE(ROUND(728,1),",",".")&amp;"' cy='"&amp;SUBSTITUTE(ROUND(205.2,1),",",".")&amp;"' r='4.3' fill='#2A3439' stroke='#2A3439' stroke-width='1.3'/&gt;",IF(AF46="Enlace","&lt;rect x='"&amp;SUBSTITUTE(ROUND((728)-3.96,1),",",".")&amp;"' y='"&amp;SUBSTITUTE(ROUND((205.2)-3.96,1),",",".")&amp;"' width='7.92' height='7.92' fill='#6699CC' stroke='#2A3439' stroke-width='1.3'/&gt;",IF(AF46="Resultado","&lt;path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AL46" s="58">
        <f>6*$AA$14</f>
        <v/>
      </c>
      <c r="AM46" s="58">
        <f>IF(6&lt;=$AA$16,"&lt;line x1='"&amp;SUBSTITUTE(ROUND(90+AL46*$AA$22,1),",",".")&amp;"' y1='84' x2='"&amp;SUBSTITUTE(ROUND(90+AL46*$AA$22,1),",",".")&amp;"' y2='574' stroke='#FFFFFF'/&gt;&lt;text x='"&amp;SUBSTITUTE(ROUND(90+AL46*$AA$22,1),",",".")&amp;"' y='590' text-anchor='middle'&gt;"&amp;ROUND(AL46*100,2)&amp;" %&lt;/text&gt;","")</f>
        <v/>
      </c>
      <c r="AN46" s="58">
        <f>6*$AA$19</f>
        <v/>
      </c>
      <c r="AO46" s="58">
        <f>IF(6&lt;=$AA$21,"&lt;line x1='90' y1='"&amp;SUBSTITUTE(ROUND(574-AN46*$AA$23,1),",",".")&amp;"' x2='650' y2='"&amp;SUBSTITUTE(ROUND(574-AN46*$AA$23,1),",",".")&amp;"' stroke='#FFFFFF'/&gt;&lt;text x='84' y='"&amp;SUBSTITUTE(ROUND(574-AN46*$AA$23+3,1),",",".")&amp;"' text-anchor='end'&gt;"&amp;ROUND(AN46*100,2)&amp;" %&lt;/text&gt;","")</f>
        <v/>
      </c>
      <c r="AR46" s="58" t="n">
        <v>7</v>
      </c>
      <c r="AS46" s="58">
        <f>IF(AND($AS$4=1,AR46&lt;=nVariables),1,0)</f>
        <v/>
      </c>
      <c r="AT46" s="58">
        <f>IF(AS46=1,'M3'!$F16,"")</f>
        <v/>
      </c>
      <c r="AU46" s="58">
        <f>IF(AS46=1,'M3'!$E16,"")</f>
        <v/>
      </c>
      <c r="AV46" s="58">
        <f>IF(AS46=1,90+AT46*$AS$22,"")</f>
        <v/>
      </c>
      <c r="AW46" s="58">
        <f>IF(AS46=1,574-AU46*$AS$23,"")</f>
        <v/>
      </c>
      <c r="AX46" s="58">
        <f>IF(AS46=1,'M3'!$I16,"")</f>
        <v/>
      </c>
      <c r="AY46" s="58">
        <f>IF(AS46=1,IF(AX46="Motriz","#2A3439",IF(AX46="Enlace","#6699CC",IF(AX46="Resultado","#FFFFFF","#F5F5F5"))),"")</f>
        <v/>
      </c>
      <c r="AZ46" s="58">
        <f>IF(AS46=1,IF(SUMPRODUCT((AT$39:AT45=AT46)*(AU$39:AU45=AU46))=0,1,0),0)</f>
        <v/>
      </c>
      <c r="BA46" s="58">
        <f>IF(AZ46=1,7&amp;IF(AND(AT47=AT46,AU47=AU46),","&amp;8,"")&amp;IF(AND(AT48=AT46,AU48=AU46),","&amp;9,"")&amp;IF(AND(AT49=AT46,AU49=AU46),","&amp;10,"")&amp;IF(AND(AT50=AT46,AU50=AU46),","&amp;11,"")&amp;IF(AND(AT51=AT46,AU51=AU46),","&amp;12,"")&amp;IF(AND(AT52=AT46,AU52=AU46),","&amp;13,"")&amp;IF(AND(AT53=AT46,AU53=AU46),","&amp;14,"")&amp;IF(AND(AT54=AT46,AU54=AU46),","&amp;15,"")&amp;IF(AND(AT55=AT46,AU55=AU46),","&amp;16,"")&amp;IF(AND(AT56=AT46,AU56=AU46),","&amp;17,"")&amp;IF(AND(AT57=AT46,AU57=AU46),","&amp;18,"")&amp;IF(AND(AT58=AT46,AU58=AU46),","&amp;19,"")&amp;IF(AND(AT59=AT46,AU59=AU46),","&amp;20,"")&amp;IF(AND(AT60=AT46,AU60=AU46),","&amp;21,"")&amp;IF(AND(AT61=AT46,AU61=AU46),","&amp;22,"")&amp;IF(AND(AT62=AT46,AU62=AU46),","&amp;23,"")&amp;IF(AND(AT63=AT46,AU63=AU46),","&amp;24,"")&amp;IF(AND(AT64=AT46,AU64=AU46),","&amp;25,"")&amp;IF(AND(AT65=AT46,AU65=AU46),","&amp;26,"")&amp;IF(AND(AT66=AT46,AU66=AU46),","&amp;27,"")&amp;IF(AND(AT67=AT46,AU67=AU46),","&amp;28,"")&amp;IF(AND(AT68=AT46,AU68=AU46),","&amp;29,"")&amp;IF(AND(AT69=AT46,AU69=AU46),","&amp;30,"")&amp;IF(AND(AT70=AT46,AU70=AU46),","&amp;31,"")&amp;IF(AND(AT71=AT46,AU71=AU46),","&amp;32,"")&amp;IF(AND(AT72=AT46,AU72=AU46),","&amp;33,"")&amp;IF(AND(AT73=AT46,AU73=AU46),","&amp;34,"")&amp;IF(AND(AT74=AT46,AU74=AU46),","&amp;35,"")&amp;IF(AND(AT75=AT46,AU75=AU46),","&amp;36,"")&amp;IF(AND(AT76=AT46,AU76=AU46),","&amp;37,"")&amp;IF(AND(AT77=AT46,AU77=AU46),","&amp;38,"")&amp;IF(AND(AT78=AT46,AU78=AU46),","&amp;39,"")&amp;IF(AND(AT79=AT46,AU79=AU46),","&amp;40,""),"")</f>
        <v/>
      </c>
      <c r="BB46" s="58">
        <f>IF(AZ46=1,IF(AX46="Motriz","&lt;circle cx='"&amp;SUBSTITUTE(ROUND(AV46,1),",",".")&amp;"' cy='"&amp;SUBSTITUTE(ROUND(AW46,1),",",".")&amp;"' r='6' fill='#2A3439' stroke='#2A3439' stroke-width='1.3'/&gt;",IF(AX46="Enlace","&lt;rect x='"&amp;SUBSTITUTE(ROUND((AV46)-5.52,1),",",".")&amp;"' y='"&amp;SUBSTITUTE(ROUND((AW46)-5.52,1),",",".")&amp;"' width='11.04' height='11.04' fill='#6699CC' stroke='#2A3439' stroke-width='1.3'/&gt;",IF(AX46="Resultado","&lt;path d='M"&amp;SUBSTITUTE(ROUND(AV46,1),",",".")&amp;" "&amp;SUBSTITUTE(ROUND((AW46)-6.9,1),",",".")&amp;"L"&amp;SUBSTITUTE(ROUND((AV46)+6.3,1),",",".")&amp;" "&amp;SUBSTITUTE(ROUND((AW46)+5.1,1),",",".")&amp;"L"&amp;SUBSTITUTE(ROUND((AV46)-6.3,1),",",".")&amp;" "&amp;SUBSTITUTE(ROUND((AW46)+5.1,1),",",".")&amp;"Z' fill='#FFFFFF' stroke='#2A3439' stroke-width='1.3'/&gt;","&lt;path d='M"&amp;SUBSTITUTE(ROUND(AV46,1),",",".")&amp;" "&amp;SUBSTITUTE(ROUND((AW46)-7.5,1),",",".")&amp;"L"&amp;SUBSTITUTE(ROUND((AV46)+7.5,1),",",".")&amp;" "&amp;SUBSTITUTE(ROUND(AW46,1),",",".")&amp;"L"&amp;SUBSTITUTE(ROUND(AV46,1),",",".")&amp;" "&amp;SUBSTITUTE(ROUND((AW46)+7.5,1),",",".")&amp;"L"&amp;SUBSTITUTE(ROUND((AV46)-7.5,1),",",".")&amp;" "&amp;SUBSTITUTE(ROUND(AW46,1),",",".")&amp;"Z' fill='#F5F5F5' stroke='#2A3439' stroke-width='1.3'/&gt;")))&amp;"&lt;text x='"&amp;SUBSTITUTE(ROUND(AV46+9,1),",",".")&amp;"' y='"&amp;SUBSTITUTE(ROUND(AW46-8,1),",",".")&amp;"'&gt;"&amp;BA46&amp;"&lt;/text&gt;","")</f>
        <v/>
      </c>
      <c r="BC46" s="58">
        <f>IF(AS46=1,IF(AX46="Motriz","&lt;circle cx='"&amp;SUBSTITUTE(ROUND(728,1),",",".")&amp;"' cy='"&amp;SUBSTITUTE(ROUND(205.2,1),",",".")&amp;"' r='4.3' fill='#2A3439' stroke='#2A3439' stroke-width='1.3'/&gt;",IF(AX46="Enlace","&lt;rect x='"&amp;SUBSTITUTE(ROUND((728)-3.96,1),",",".")&amp;"' y='"&amp;SUBSTITUTE(ROUND((205.2)-3.96,1),",",".")&amp;"' width='7.92' height='7.92' fill='#6699CC' stroke='#2A3439' stroke-width='1.3'/&gt;",IF(AX46="Resultado","&lt;path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BD46" s="58">
        <f>6*$AS$14</f>
        <v/>
      </c>
      <c r="BE46" s="58">
        <f>IF(6&lt;=$AS$16,"&lt;line x1='"&amp;SUBSTITUTE(ROUND(90+BD46*$AS$22,1),",",".")&amp;"' y1='84' x2='"&amp;SUBSTITUTE(ROUND(90+BD46*$AS$22,1),",",".")&amp;"' y2='574' stroke='#FFFFFF'/&gt;&lt;text x='"&amp;SUBSTITUTE(ROUND(90+BD46*$AS$22,1),",",".")&amp;"' y='590' text-anchor='middle'&gt;"&amp;ROUND(BD46*100,2)&amp;" %&lt;/text&gt;","")</f>
        <v/>
      </c>
      <c r="BF46" s="58">
        <f>6*$AS$19</f>
        <v/>
      </c>
      <c r="BG46" s="58">
        <f>IF(6&lt;=$AS$21,"&lt;line x1='90' y1='"&amp;SUBSTITUTE(ROUND(574-BF46*$AS$23,1),",",".")&amp;"' x2='650' y2='"&amp;SUBSTITUTE(ROUND(574-BF46*$AS$23,1),",",".")&amp;"' stroke='#FFFFFF'/&gt;&lt;text x='84' y='"&amp;SUBSTITUTE(ROUND(574-BF46*$AS$23+3,1),",",".")&amp;"' text-anchor='end'&gt;"&amp;ROUND(BF46*100,2)&amp;" %&lt;/text&gt;","")</f>
        <v/>
      </c>
      <c r="BJ46" s="58" t="n">
        <v>7</v>
      </c>
      <c r="BK46" s="58">
        <f>IF(AND($BK$4=1,BJ46&lt;=nVariables),1,0)</f>
        <v/>
      </c>
      <c r="BL46" s="58">
        <f>IF(BK46=1,'M4'!$F16,"")</f>
        <v/>
      </c>
      <c r="BM46" s="58">
        <f>IF(BK46=1,'M4'!$E16,"")</f>
        <v/>
      </c>
      <c r="BN46" s="58">
        <f>IF(BK46=1,90+BL46*$BK$22,"")</f>
        <v/>
      </c>
      <c r="BO46" s="58">
        <f>IF(BK46=1,574-BM46*$BK$23,"")</f>
        <v/>
      </c>
      <c r="BP46" s="58">
        <f>IF(BK46=1,'M4'!$I16,"")</f>
        <v/>
      </c>
      <c r="BQ46" s="58">
        <f>IF(BK46=1,IF(BP46="Motriz","#2A3439",IF(BP46="Enlace","#6699CC",IF(BP46="Resultado","#FFFFFF","#F5F5F5"))),"")</f>
        <v/>
      </c>
      <c r="BR46" s="58">
        <f>IF(BK46=1,IF(SUMPRODUCT((BL$39:BL45=BL46)*(BM$39:BM45=BM46))=0,1,0),0)</f>
        <v/>
      </c>
      <c r="BS46" s="58">
        <f>IF(BR46=1,7&amp;IF(AND(BL47=BL46,BM47=BM46),","&amp;8,"")&amp;IF(AND(BL48=BL46,BM48=BM46),","&amp;9,"")&amp;IF(AND(BL49=BL46,BM49=BM46),","&amp;10,"")&amp;IF(AND(BL50=BL46,BM50=BM46),","&amp;11,"")&amp;IF(AND(BL51=BL46,BM51=BM46),","&amp;12,"")&amp;IF(AND(BL52=BL46,BM52=BM46),","&amp;13,"")&amp;IF(AND(BL53=BL46,BM53=BM46),","&amp;14,"")&amp;IF(AND(BL54=BL46,BM54=BM46),","&amp;15,"")&amp;IF(AND(BL55=BL46,BM55=BM46),","&amp;16,"")&amp;IF(AND(BL56=BL46,BM56=BM46),","&amp;17,"")&amp;IF(AND(BL57=BL46,BM57=BM46),","&amp;18,"")&amp;IF(AND(BL58=BL46,BM58=BM46),","&amp;19,"")&amp;IF(AND(BL59=BL46,BM59=BM46),","&amp;20,"")&amp;IF(AND(BL60=BL46,BM60=BM46),","&amp;21,"")&amp;IF(AND(BL61=BL46,BM61=BM46),","&amp;22,"")&amp;IF(AND(BL62=BL46,BM62=BM46),","&amp;23,"")&amp;IF(AND(BL63=BL46,BM63=BM46),","&amp;24,"")&amp;IF(AND(BL64=BL46,BM64=BM46),","&amp;25,"")&amp;IF(AND(BL65=BL46,BM65=BM46),","&amp;26,"")&amp;IF(AND(BL66=BL46,BM66=BM46),","&amp;27,"")&amp;IF(AND(BL67=BL46,BM67=BM46),","&amp;28,"")&amp;IF(AND(BL68=BL46,BM68=BM46),","&amp;29,"")&amp;IF(AND(BL69=BL46,BM69=BM46),","&amp;30,"")&amp;IF(AND(BL70=BL46,BM70=BM46),","&amp;31,"")&amp;IF(AND(BL71=BL46,BM71=BM46),","&amp;32,"")&amp;IF(AND(BL72=BL46,BM72=BM46),","&amp;33,"")&amp;IF(AND(BL73=BL46,BM73=BM46),","&amp;34,"")&amp;IF(AND(BL74=BL46,BM74=BM46),","&amp;35,"")&amp;IF(AND(BL75=BL46,BM75=BM46),","&amp;36,"")&amp;IF(AND(BL76=BL46,BM76=BM46),","&amp;37,"")&amp;IF(AND(BL77=BL46,BM77=BM46),","&amp;38,"")&amp;IF(AND(BL78=BL46,BM78=BM46),","&amp;39,"")&amp;IF(AND(BL79=BL46,BM79=BM46),","&amp;40,""),"")</f>
        <v/>
      </c>
      <c r="BT46" s="58">
        <f>IF(BR46=1,IF(BP46="Motriz","&lt;circle cx='"&amp;SUBSTITUTE(ROUND(BN46,1),",",".")&amp;"' cy='"&amp;SUBSTITUTE(ROUND(BO46,1),",",".")&amp;"' r='6' fill='#2A3439' stroke='#2A3439' stroke-width='1.3'/&gt;",IF(BP46="Enlace","&lt;rect x='"&amp;SUBSTITUTE(ROUND((BN46)-5.52,1),",",".")&amp;"' y='"&amp;SUBSTITUTE(ROUND((BO46)-5.52,1),",",".")&amp;"' width='11.04' height='11.04' fill='#6699CC' stroke='#2A3439' stroke-width='1.3'/&gt;",IF(BP46="Resultado","&lt;path d='M"&amp;SUBSTITUTE(ROUND(BN46,1),",",".")&amp;" "&amp;SUBSTITUTE(ROUND((BO46)-6.9,1),",",".")&amp;"L"&amp;SUBSTITUTE(ROUND((BN46)+6.3,1),",",".")&amp;" "&amp;SUBSTITUTE(ROUND((BO46)+5.1,1),",",".")&amp;"L"&amp;SUBSTITUTE(ROUND((BN46)-6.3,1),",",".")&amp;" "&amp;SUBSTITUTE(ROUND((BO46)+5.1,1),",",".")&amp;"Z' fill='#FFFFFF' stroke='#2A3439' stroke-width='1.3'/&gt;","&lt;path d='M"&amp;SUBSTITUTE(ROUND(BN46,1),",",".")&amp;" "&amp;SUBSTITUTE(ROUND((BO46)-7.5,1),",",".")&amp;"L"&amp;SUBSTITUTE(ROUND((BN46)+7.5,1),",",".")&amp;" "&amp;SUBSTITUTE(ROUND(BO46,1),",",".")&amp;"L"&amp;SUBSTITUTE(ROUND(BN46,1),",",".")&amp;" "&amp;SUBSTITUTE(ROUND((BO46)+7.5,1),",",".")&amp;"L"&amp;SUBSTITUTE(ROUND((BN46)-7.5,1),",",".")&amp;" "&amp;SUBSTITUTE(ROUND(BO46,1),",",".")&amp;"Z' fill='#F5F5F5' stroke='#2A3439' stroke-width='1.3'/&gt;")))&amp;"&lt;text x='"&amp;SUBSTITUTE(ROUND(BN46+9,1),",",".")&amp;"' y='"&amp;SUBSTITUTE(ROUND(BO46-8,1),",",".")&amp;"'&gt;"&amp;BS46&amp;"&lt;/text&gt;","")</f>
        <v/>
      </c>
      <c r="BU46" s="58">
        <f>IF(BK46=1,IF(BP46="Motriz","&lt;circle cx='"&amp;SUBSTITUTE(ROUND(728,1),",",".")&amp;"' cy='"&amp;SUBSTITUTE(ROUND(205.2,1),",",".")&amp;"' r='4.3' fill='#2A3439' stroke='#2A3439' stroke-width='1.3'/&gt;",IF(BP46="Enlace","&lt;rect x='"&amp;SUBSTITUTE(ROUND((728)-3.96,1),",",".")&amp;"' y='"&amp;SUBSTITUTE(ROUND((205.2)-3.96,1),",",".")&amp;"' width='7.92' height='7.92' fill='#6699CC' stroke='#2A3439' stroke-width='1.3'/&gt;",IF(BP46="Resultado","&lt;path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BV46" s="58">
        <f>6*$BK$14</f>
        <v/>
      </c>
      <c r="BW46" s="58">
        <f>IF(6&lt;=$BK$16,"&lt;line x1='"&amp;SUBSTITUTE(ROUND(90+BV46*$BK$22,1),",",".")&amp;"' y1='84' x2='"&amp;SUBSTITUTE(ROUND(90+BV46*$BK$22,1),",",".")&amp;"' y2='574' stroke='#FFFFFF'/&gt;&lt;text x='"&amp;SUBSTITUTE(ROUND(90+BV46*$BK$22,1),",",".")&amp;"' y='590' text-anchor='middle'&gt;"&amp;ROUND(BV46*100,2)&amp;" %&lt;/text&gt;","")</f>
        <v/>
      </c>
      <c r="BX46" s="58">
        <f>6*$BK$19</f>
        <v/>
      </c>
      <c r="BY46" s="58">
        <f>IF(6&lt;=$BK$21,"&lt;line x1='90' y1='"&amp;SUBSTITUTE(ROUND(574-BX46*$BK$23,1),",",".")&amp;"' x2='650' y2='"&amp;SUBSTITUTE(ROUND(574-BX46*$BK$23,1),",",".")&amp;"' stroke='#FFFFFF'/&gt;&lt;text x='84' y='"&amp;SUBSTITUTE(ROUND(574-BX46*$BK$23+3,1),",",".")&amp;"' text-anchor='end'&gt;"&amp;ROUND(BX46*100,2)&amp;" %&lt;/text&gt;","")</f>
        <v/>
      </c>
      <c r="CB46" s="58" t="n">
        <v>7</v>
      </c>
      <c r="CC46" s="58">
        <f>IF(AND($CC$4=1,CB46&lt;=nVariables),1,0)</f>
        <v/>
      </c>
      <c r="CD46" s="58">
        <f>IF(CC46=1,'M5'!$F16,"")</f>
        <v/>
      </c>
      <c r="CE46" s="58">
        <f>IF(CC46=1,'M5'!$E16,"")</f>
        <v/>
      </c>
      <c r="CF46" s="58">
        <f>IF(CC46=1,90+CD46*$CC$22,"")</f>
        <v/>
      </c>
      <c r="CG46" s="58">
        <f>IF(CC46=1,574-CE46*$CC$23,"")</f>
        <v/>
      </c>
      <c r="CH46" s="58">
        <f>IF(CC46=1,'M5'!$I16,"")</f>
        <v/>
      </c>
      <c r="CI46" s="58">
        <f>IF(CC46=1,IF(CH46="Motriz","#2A3439",IF(CH46="Enlace","#6699CC",IF(CH46="Resultado","#FFFFFF","#F5F5F5"))),"")</f>
        <v/>
      </c>
      <c r="CJ46" s="58">
        <f>IF(CC46=1,IF(SUMPRODUCT((CD$39:CD45=CD46)*(CE$39:CE45=CE46))=0,1,0),0)</f>
        <v/>
      </c>
      <c r="CK46" s="58">
        <f>IF(CJ46=1,7&amp;IF(AND(CD47=CD46,CE47=CE46),","&amp;8,"")&amp;IF(AND(CD48=CD46,CE48=CE46),","&amp;9,"")&amp;IF(AND(CD49=CD46,CE49=CE46),","&amp;10,"")&amp;IF(AND(CD50=CD46,CE50=CE46),","&amp;11,"")&amp;IF(AND(CD51=CD46,CE51=CE46),","&amp;12,"")&amp;IF(AND(CD52=CD46,CE52=CE46),","&amp;13,"")&amp;IF(AND(CD53=CD46,CE53=CE46),","&amp;14,"")&amp;IF(AND(CD54=CD46,CE54=CE46),","&amp;15,"")&amp;IF(AND(CD55=CD46,CE55=CE46),","&amp;16,"")&amp;IF(AND(CD56=CD46,CE56=CE46),","&amp;17,"")&amp;IF(AND(CD57=CD46,CE57=CE46),","&amp;18,"")&amp;IF(AND(CD58=CD46,CE58=CE46),","&amp;19,"")&amp;IF(AND(CD59=CD46,CE59=CE46),","&amp;20,"")&amp;IF(AND(CD60=CD46,CE60=CE46),","&amp;21,"")&amp;IF(AND(CD61=CD46,CE61=CE46),","&amp;22,"")&amp;IF(AND(CD62=CD46,CE62=CE46),","&amp;23,"")&amp;IF(AND(CD63=CD46,CE63=CE46),","&amp;24,"")&amp;IF(AND(CD64=CD46,CE64=CE46),","&amp;25,"")&amp;IF(AND(CD65=CD46,CE65=CE46),","&amp;26,"")&amp;IF(AND(CD66=CD46,CE66=CE46),","&amp;27,"")&amp;IF(AND(CD67=CD46,CE67=CE46),","&amp;28,"")&amp;IF(AND(CD68=CD46,CE68=CE46),","&amp;29,"")&amp;IF(AND(CD69=CD46,CE69=CE46),","&amp;30,"")&amp;IF(AND(CD70=CD46,CE70=CE46),","&amp;31,"")&amp;IF(AND(CD71=CD46,CE71=CE46),","&amp;32,"")&amp;IF(AND(CD72=CD46,CE72=CE46),","&amp;33,"")&amp;IF(AND(CD73=CD46,CE73=CE46),","&amp;34,"")&amp;IF(AND(CD74=CD46,CE74=CE46),","&amp;35,"")&amp;IF(AND(CD75=CD46,CE75=CE46),","&amp;36,"")&amp;IF(AND(CD76=CD46,CE76=CE46),","&amp;37,"")&amp;IF(AND(CD77=CD46,CE77=CE46),","&amp;38,"")&amp;IF(AND(CD78=CD46,CE78=CE46),","&amp;39,"")&amp;IF(AND(CD79=CD46,CE79=CE46),","&amp;40,""),"")</f>
        <v/>
      </c>
      <c r="CL46" s="58">
        <f>IF(CJ46=1,IF(CH46="Motriz","&lt;circle cx='"&amp;SUBSTITUTE(ROUND(CF46,1),",",".")&amp;"' cy='"&amp;SUBSTITUTE(ROUND(CG46,1),",",".")&amp;"' r='6' fill='#2A3439' stroke='#2A3439' stroke-width='1.3'/&gt;",IF(CH46="Enlace","&lt;rect x='"&amp;SUBSTITUTE(ROUND((CF46)-5.52,1),",",".")&amp;"' y='"&amp;SUBSTITUTE(ROUND((CG46)-5.52,1),",",".")&amp;"' width='11.04' height='11.04' fill='#6699CC' stroke='#2A3439' stroke-width='1.3'/&gt;",IF(CH46="Resultado","&lt;path d='M"&amp;SUBSTITUTE(ROUND(CF46,1),",",".")&amp;" "&amp;SUBSTITUTE(ROUND((CG46)-6.9,1),",",".")&amp;"L"&amp;SUBSTITUTE(ROUND((CF46)+6.3,1),",",".")&amp;" "&amp;SUBSTITUTE(ROUND((CG46)+5.1,1),",",".")&amp;"L"&amp;SUBSTITUTE(ROUND((CF46)-6.3,1),",",".")&amp;" "&amp;SUBSTITUTE(ROUND((CG46)+5.1,1),",",".")&amp;"Z' fill='#FFFFFF' stroke='#2A3439' stroke-width='1.3'/&gt;","&lt;path d='M"&amp;SUBSTITUTE(ROUND(CF46,1),",",".")&amp;" "&amp;SUBSTITUTE(ROUND((CG46)-7.5,1),",",".")&amp;"L"&amp;SUBSTITUTE(ROUND((CF46)+7.5,1),",",".")&amp;" "&amp;SUBSTITUTE(ROUND(CG46,1),",",".")&amp;"L"&amp;SUBSTITUTE(ROUND(CF46,1),",",".")&amp;" "&amp;SUBSTITUTE(ROUND((CG46)+7.5,1),",",".")&amp;"L"&amp;SUBSTITUTE(ROUND((CF46)-7.5,1),",",".")&amp;" "&amp;SUBSTITUTE(ROUND(CG46,1),",",".")&amp;"Z' fill='#F5F5F5' stroke='#2A3439' stroke-width='1.3'/&gt;")))&amp;"&lt;text x='"&amp;SUBSTITUTE(ROUND(CF46+9,1),",",".")&amp;"' y='"&amp;SUBSTITUTE(ROUND(CG46-8,1),",",".")&amp;"'&gt;"&amp;CK46&amp;"&lt;/text&gt;","")</f>
        <v/>
      </c>
      <c r="CM46" s="58">
        <f>IF(CC46=1,IF(CH46="Motriz","&lt;circle cx='"&amp;SUBSTITUTE(ROUND(728,1),",",".")&amp;"' cy='"&amp;SUBSTITUTE(ROUND(205.2,1),",",".")&amp;"' r='4.3' fill='#2A3439' stroke='#2A3439' stroke-width='1.3'/&gt;",IF(CH46="Enlace","&lt;rect x='"&amp;SUBSTITUTE(ROUND((728)-3.96,1),",",".")&amp;"' y='"&amp;SUBSTITUTE(ROUND((205.2)-3.96,1),",",".")&amp;"' width='7.92' height='7.92' fill='#6699CC' stroke='#2A3439' stroke-width='1.3'/&gt;",IF(CH46="Resultado","&lt;path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CN46" s="58">
        <f>6*$CC$14</f>
        <v/>
      </c>
      <c r="CO46" s="58">
        <f>IF(6&lt;=$CC$16,"&lt;line x1='"&amp;SUBSTITUTE(ROUND(90+CN46*$CC$22,1),",",".")&amp;"' y1='84' x2='"&amp;SUBSTITUTE(ROUND(90+CN46*$CC$22,1),",",".")&amp;"' y2='574' stroke='#FFFFFF'/&gt;&lt;text x='"&amp;SUBSTITUTE(ROUND(90+CN46*$CC$22,1),",",".")&amp;"' y='590' text-anchor='middle'&gt;"&amp;ROUND(CN46*100,2)&amp;" %&lt;/text&gt;","")</f>
        <v/>
      </c>
      <c r="CP46" s="58">
        <f>6*$CC$19</f>
        <v/>
      </c>
      <c r="CQ46" s="58">
        <f>IF(6&lt;=$CC$21,"&lt;line x1='90' y1='"&amp;SUBSTITUTE(ROUND(574-CP46*$CC$23,1),",",".")&amp;"' x2='650' y2='"&amp;SUBSTITUTE(ROUND(574-CP46*$CC$23,1),",",".")&amp;"' stroke='#FFFFFF'/&gt;&lt;text x='84' y='"&amp;SUBSTITUTE(ROUND(574-CP46*$CC$23+3,1),",",".")&amp;"' text-anchor='end'&gt;"&amp;ROUND(CP46*100,2)&amp;" %&lt;/text&gt;","")</f>
        <v/>
      </c>
      <c r="CT46" s="58" t="n">
        <v>7</v>
      </c>
      <c r="CU46" s="58">
        <f>IF(AND($CU$4=1,CT46&lt;=nVariables),1,0)</f>
        <v/>
      </c>
      <c r="CV46" s="58">
        <f>IF(CU46=1,'M6'!$F16,"")</f>
        <v/>
      </c>
      <c r="CW46" s="58">
        <f>IF(CU46=1,'M6'!$E16,"")</f>
        <v/>
      </c>
      <c r="CX46" s="58">
        <f>IF(CU46=1,90+CV46*$CU$22,"")</f>
        <v/>
      </c>
      <c r="CY46" s="58">
        <f>IF(CU46=1,574-CW46*$CU$23,"")</f>
        <v/>
      </c>
      <c r="CZ46" s="58">
        <f>IF(CU46=1,'M6'!$I16,"")</f>
        <v/>
      </c>
      <c r="DA46" s="58">
        <f>IF(CU46=1,IF(CZ46="Motriz","#2A3439",IF(CZ46="Enlace","#6699CC",IF(CZ46="Resultado","#FFFFFF","#F5F5F5"))),"")</f>
        <v/>
      </c>
      <c r="DB46" s="58">
        <f>IF(CU46=1,IF(SUMPRODUCT((CV$39:CV45=CV46)*(CW$39:CW45=CW46))=0,1,0),0)</f>
        <v/>
      </c>
      <c r="DC46" s="58">
        <f>IF(DB46=1,7&amp;IF(AND(CV47=CV46,CW47=CW46),","&amp;8,"")&amp;IF(AND(CV48=CV46,CW48=CW46),","&amp;9,"")&amp;IF(AND(CV49=CV46,CW49=CW46),","&amp;10,"")&amp;IF(AND(CV50=CV46,CW50=CW46),","&amp;11,"")&amp;IF(AND(CV51=CV46,CW51=CW46),","&amp;12,"")&amp;IF(AND(CV52=CV46,CW52=CW46),","&amp;13,"")&amp;IF(AND(CV53=CV46,CW53=CW46),","&amp;14,"")&amp;IF(AND(CV54=CV46,CW54=CW46),","&amp;15,"")&amp;IF(AND(CV55=CV46,CW55=CW46),","&amp;16,"")&amp;IF(AND(CV56=CV46,CW56=CW46),","&amp;17,"")&amp;IF(AND(CV57=CV46,CW57=CW46),","&amp;18,"")&amp;IF(AND(CV58=CV46,CW58=CW46),","&amp;19,"")&amp;IF(AND(CV59=CV46,CW59=CW46),","&amp;20,"")&amp;IF(AND(CV60=CV46,CW60=CW46),","&amp;21,"")&amp;IF(AND(CV61=CV46,CW61=CW46),","&amp;22,"")&amp;IF(AND(CV62=CV46,CW62=CW46),","&amp;23,"")&amp;IF(AND(CV63=CV46,CW63=CW46),","&amp;24,"")&amp;IF(AND(CV64=CV46,CW64=CW46),","&amp;25,"")&amp;IF(AND(CV65=CV46,CW65=CW46),","&amp;26,"")&amp;IF(AND(CV66=CV46,CW66=CW46),","&amp;27,"")&amp;IF(AND(CV67=CV46,CW67=CW46),","&amp;28,"")&amp;IF(AND(CV68=CV46,CW68=CW46),","&amp;29,"")&amp;IF(AND(CV69=CV46,CW69=CW46),","&amp;30,"")&amp;IF(AND(CV70=CV46,CW70=CW46),","&amp;31,"")&amp;IF(AND(CV71=CV46,CW71=CW46),","&amp;32,"")&amp;IF(AND(CV72=CV46,CW72=CW46),","&amp;33,"")&amp;IF(AND(CV73=CV46,CW73=CW46),","&amp;34,"")&amp;IF(AND(CV74=CV46,CW74=CW46),","&amp;35,"")&amp;IF(AND(CV75=CV46,CW75=CW46),","&amp;36,"")&amp;IF(AND(CV76=CV46,CW76=CW46),","&amp;37,"")&amp;IF(AND(CV77=CV46,CW77=CW46),","&amp;38,"")&amp;IF(AND(CV78=CV46,CW78=CW46),","&amp;39,"")&amp;IF(AND(CV79=CV46,CW79=CW46),","&amp;40,""),"")</f>
        <v/>
      </c>
      <c r="DD46" s="58">
        <f>IF(DB46=1,IF(CZ46="Motriz","&lt;circle cx='"&amp;SUBSTITUTE(ROUND(CX46,1),",",".")&amp;"' cy='"&amp;SUBSTITUTE(ROUND(CY46,1),",",".")&amp;"' r='6' fill='#2A3439' stroke='#2A3439' stroke-width='1.3'/&gt;",IF(CZ46="Enlace","&lt;rect x='"&amp;SUBSTITUTE(ROUND((CX46)-5.52,1),",",".")&amp;"' y='"&amp;SUBSTITUTE(ROUND((CY46)-5.52,1),",",".")&amp;"' width='11.04' height='11.04' fill='#6699CC' stroke='#2A3439' stroke-width='1.3'/&gt;",IF(CZ46="Resultado","&lt;path d='M"&amp;SUBSTITUTE(ROUND(CX46,1),",",".")&amp;" "&amp;SUBSTITUTE(ROUND((CY46)-6.9,1),",",".")&amp;"L"&amp;SUBSTITUTE(ROUND((CX46)+6.3,1),",",".")&amp;" "&amp;SUBSTITUTE(ROUND((CY46)+5.1,1),",",".")&amp;"L"&amp;SUBSTITUTE(ROUND((CX46)-6.3,1),",",".")&amp;" "&amp;SUBSTITUTE(ROUND((CY46)+5.1,1),",",".")&amp;"Z' fill='#FFFFFF' stroke='#2A3439' stroke-width='1.3'/&gt;","&lt;path d='M"&amp;SUBSTITUTE(ROUND(CX46,1),",",".")&amp;" "&amp;SUBSTITUTE(ROUND((CY46)-7.5,1),",",".")&amp;"L"&amp;SUBSTITUTE(ROUND((CX46)+7.5,1),",",".")&amp;" "&amp;SUBSTITUTE(ROUND(CY46,1),",",".")&amp;"L"&amp;SUBSTITUTE(ROUND(CX46,1),",",".")&amp;" "&amp;SUBSTITUTE(ROUND((CY46)+7.5,1),",",".")&amp;"L"&amp;SUBSTITUTE(ROUND((CX46)-7.5,1),",",".")&amp;" "&amp;SUBSTITUTE(ROUND(CY46,1),",",".")&amp;"Z' fill='#F5F5F5' stroke='#2A3439' stroke-width='1.3'/&gt;")))&amp;"&lt;text x='"&amp;SUBSTITUTE(ROUND(CX46+9,1),",",".")&amp;"' y='"&amp;SUBSTITUTE(ROUND(CY46-8,1),",",".")&amp;"'&gt;"&amp;DC46&amp;"&lt;/text&gt;","")</f>
        <v/>
      </c>
      <c r="DE46" s="58">
        <f>IF(CU46=1,IF(CZ46="Motriz","&lt;circle cx='"&amp;SUBSTITUTE(ROUND(728,1),",",".")&amp;"' cy='"&amp;SUBSTITUTE(ROUND(205.2,1),",",".")&amp;"' r='4.3' fill='#2A3439' stroke='#2A3439' stroke-width='1.3'/&gt;",IF(CZ46="Enlace","&lt;rect x='"&amp;SUBSTITUTE(ROUND((728)-3.96,1),",",".")&amp;"' y='"&amp;SUBSTITUTE(ROUND((205.2)-3.96,1),",",".")&amp;"' width='7.92' height='7.92' fill='#6699CC' stroke='#2A3439' stroke-width='1.3'/&gt;",IF(CZ46="Resultado","&lt;path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DF46" s="58">
        <f>6*$CU$14</f>
        <v/>
      </c>
      <c r="DG46" s="58">
        <f>IF(6&lt;=$CU$16,"&lt;line x1='"&amp;SUBSTITUTE(ROUND(90+DF46*$CU$22,1),",",".")&amp;"' y1='84' x2='"&amp;SUBSTITUTE(ROUND(90+DF46*$CU$22,1),",",".")&amp;"' y2='574' stroke='#FFFFFF'/&gt;&lt;text x='"&amp;SUBSTITUTE(ROUND(90+DF46*$CU$22,1),",",".")&amp;"' y='590' text-anchor='middle'&gt;"&amp;ROUND(DF46*100,2)&amp;" %&lt;/text&gt;","")</f>
        <v/>
      </c>
      <c r="DH46" s="58">
        <f>6*$CU$19</f>
        <v/>
      </c>
      <c r="DI46" s="58">
        <f>IF(6&lt;=$CU$21,"&lt;line x1='90' y1='"&amp;SUBSTITUTE(ROUND(574-DH46*$CU$23,1),",",".")&amp;"' x2='650' y2='"&amp;SUBSTITUTE(ROUND(574-DH46*$CU$23,1),",",".")&amp;"' stroke='#FFFFFF'/&gt;&lt;text x='84' y='"&amp;SUBSTITUTE(ROUND(574-DH46*$CU$23+3,1),",",".")&amp;"' text-anchor='end'&gt;"&amp;ROUND(DH46*100,2)&amp;" %&lt;/text&gt;","")</f>
        <v/>
      </c>
    </row>
    <row r="47">
      <c r="A47" s="58" t="n">
        <v>8</v>
      </c>
      <c r="B47" s="58">
        <f>IF($A47&lt;=nVariables,SUBSTITUTE(SUBSTITUTE(SUBSTITUTE(SUBSTITUTE(SUBSTITUTE(SUBSTITUTE(SUBSTITUTE(TRIM(CLEAN(IF(LEN(TRIM(M!$B17))&gt;46,LEFT(TRIM(M!$B17),45)&amp;"…",TRIM(M!$B17)))),"&amp;","&amp;amp;"),"&lt;","&amp;lt;"),"&gt;","&amp;gt;"),CHAR(34),"&amp;quot;"),CHAR(10)," "),CHAR(9)," "),CHAR(13)," "),"")</f>
        <v/>
      </c>
      <c r="C47" s="58">
        <f>IF($A47&lt;=nVariables,$A47&amp;". "&amp;B47,"")</f>
        <v/>
      </c>
      <c r="D47" s="58">
        <f>IF($A47&lt;=nVariables,IF(TRIM(M!$C17)&lt;&gt;"",TRIM(M!$C17),IF(LEN(TRIM(M!$B17))&gt;24,LEFT(TRIM(M!$B17),23)&amp;"…",TRIM(M!$B17))),"")</f>
        <v/>
      </c>
      <c r="E47" s="58">
        <f>IF($A47&lt;=nVariables,TRIM('Árbol de Problemas'!$F26),"")</f>
        <v/>
      </c>
      <c r="H47" s="58" t="n">
        <v>8</v>
      </c>
      <c r="I47" s="58">
        <f>IF(AND($I$4=1,H47&lt;=nVariables),1,0)</f>
        <v/>
      </c>
      <c r="J47" s="58">
        <f>IF(I47=1,'M1'!$F17,"")</f>
        <v/>
      </c>
      <c r="K47" s="58">
        <f>IF(I47=1,'M1'!$E17,"")</f>
        <v/>
      </c>
      <c r="L47" s="58">
        <f>IF(I47=1,90+J47*$I$22,"")</f>
        <v/>
      </c>
      <c r="M47" s="58">
        <f>IF(I47=1,574-K47*$I$23,"")</f>
        <v/>
      </c>
      <c r="N47" s="58">
        <f>IF(I47=1,'M1'!$I17,"")</f>
        <v/>
      </c>
      <c r="O47" s="58">
        <f>IF(I47=1,IF(N47="Motriz","#2A3439",IF(N47="Enlace","#6699CC",IF(N47="Resultado","#FFFFFF","#F5F5F5"))),"")</f>
        <v/>
      </c>
      <c r="P47" s="58">
        <f>IF(I47=1,IF(SUMPRODUCT((J$39:J46=J47)*(K$39:K46=K47))=0,1,0),0)</f>
        <v/>
      </c>
      <c r="Q47" s="58">
        <f>IF(P47=1,8&amp;IF(AND(J48=J47,K48=K47),","&amp;9,"")&amp;IF(AND(J49=J47,K49=K47),","&amp;10,"")&amp;IF(AND(J50=J47,K50=K47),","&amp;11,"")&amp;IF(AND(J51=J47,K51=K47),","&amp;12,"")&amp;IF(AND(J52=J47,K52=K47),","&amp;13,"")&amp;IF(AND(J53=J47,K53=K47),","&amp;14,"")&amp;IF(AND(J54=J47,K54=K47),","&amp;15,"")&amp;IF(AND(J55=J47,K55=K47),","&amp;16,"")&amp;IF(AND(J56=J47,K56=K47),","&amp;17,"")&amp;IF(AND(J57=J47,K57=K47),","&amp;18,"")&amp;IF(AND(J58=J47,K58=K47),","&amp;19,"")&amp;IF(AND(J59=J47,K59=K47),","&amp;20,"")&amp;IF(AND(J60=J47,K60=K47),","&amp;21,"")&amp;IF(AND(J61=J47,K61=K47),","&amp;22,"")&amp;IF(AND(J62=J47,K62=K47),","&amp;23,"")&amp;IF(AND(J63=J47,K63=K47),","&amp;24,"")&amp;IF(AND(J64=J47,K64=K47),","&amp;25,"")&amp;IF(AND(J65=J47,K65=K47),","&amp;26,"")&amp;IF(AND(J66=J47,K66=K47),","&amp;27,"")&amp;IF(AND(J67=J47,K67=K47),","&amp;28,"")&amp;IF(AND(J68=J47,K68=K47),","&amp;29,"")&amp;IF(AND(J69=J47,K69=K47),","&amp;30,"")&amp;IF(AND(J70=J47,K70=K47),","&amp;31,"")&amp;IF(AND(J71=J47,K71=K47),","&amp;32,"")&amp;IF(AND(J72=J47,K72=K47),","&amp;33,"")&amp;IF(AND(J73=J47,K73=K47),","&amp;34,"")&amp;IF(AND(J74=J47,K74=K47),","&amp;35,"")&amp;IF(AND(J75=J47,K75=K47),","&amp;36,"")&amp;IF(AND(J76=J47,K76=K47),","&amp;37,"")&amp;IF(AND(J77=J47,K77=K47),","&amp;38,"")&amp;IF(AND(J78=J47,K78=K47),","&amp;39,"")&amp;IF(AND(J79=J47,K79=K47),","&amp;40,""),"")</f>
        <v/>
      </c>
      <c r="R47" s="58">
        <f>IF(P47=1,IF(N47="Motriz","&lt;circle cx='"&amp;SUBSTITUTE(ROUND(L47,1),",",".")&amp;"' cy='"&amp;SUBSTITUTE(ROUND(M47,1),",",".")&amp;"' r='6' fill='#2A3439' stroke='#2A3439' stroke-width='1.3'/&gt;",IF(N47="Enlace","&lt;rect x='"&amp;SUBSTITUTE(ROUND((L47)-5.52,1),",",".")&amp;"' y='"&amp;SUBSTITUTE(ROUND((M47)-5.52,1),",",".")&amp;"' width='11.04' height='11.04' fill='#6699CC' stroke='#2A3439' stroke-width='1.3'/&gt;",IF(N47="Resultado","&lt;path d='M"&amp;SUBSTITUTE(ROUND(L47,1),",",".")&amp;" "&amp;SUBSTITUTE(ROUND((M47)-6.9,1),",",".")&amp;"L"&amp;SUBSTITUTE(ROUND((L47)+6.3,1),",",".")&amp;" "&amp;SUBSTITUTE(ROUND((M47)+5.1,1),",",".")&amp;"L"&amp;SUBSTITUTE(ROUND((L47)-6.3,1),",",".")&amp;" "&amp;SUBSTITUTE(ROUND((M47)+5.1,1),",",".")&amp;"Z' fill='#FFFFFF' stroke='#2A3439' stroke-width='1.3'/&gt;","&lt;path d='M"&amp;SUBSTITUTE(ROUND(L47,1),",",".")&amp;" "&amp;SUBSTITUTE(ROUND((M47)-7.5,1),",",".")&amp;"L"&amp;SUBSTITUTE(ROUND((L47)+7.5,1),",",".")&amp;" "&amp;SUBSTITUTE(ROUND(M47,1),",",".")&amp;"L"&amp;SUBSTITUTE(ROUND(L47,1),",",".")&amp;" "&amp;SUBSTITUTE(ROUND((M47)+7.5,1),",",".")&amp;"L"&amp;SUBSTITUTE(ROUND((L47)-7.5,1),",",".")&amp;" "&amp;SUBSTITUTE(ROUND(M47,1),",",".")&amp;"Z' fill='#F5F5F5' stroke='#2A3439' stroke-width='1.3'/&gt;")))&amp;"&lt;text x='"&amp;SUBSTITUTE(ROUND(L47+9,1),",",".")&amp;"' y='"&amp;SUBSTITUTE(ROUND(M47-8,1),",",".")&amp;"'&gt;"&amp;Q47&amp;"&lt;/text&gt;","")</f>
        <v/>
      </c>
      <c r="S47" s="58">
        <f>IF(I47=1,IF(N47="Motriz","&lt;circle cx='"&amp;SUBSTITUTE(ROUND(728,1),",",".")&amp;"' cy='"&amp;SUBSTITUTE(ROUND(219.4,1),",",".")&amp;"' r='4.3' fill='#2A3439' stroke='#2A3439' stroke-width='1.3'/&gt;",IF(N47="Enlace","&lt;rect x='"&amp;SUBSTITUTE(ROUND((728)-3.96,1),",",".")&amp;"' y='"&amp;SUBSTITUTE(ROUND((219.4)-3.96,1),",",".")&amp;"' width='7.92' height='7.92' fill='#6699CC' stroke='#2A3439' stroke-width='1.3'/&gt;",IF(N47="Resultado","&lt;path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T47" s="58">
        <f>7*$I$14</f>
        <v/>
      </c>
      <c r="U47" s="58">
        <f>IF(7&lt;=$I$16,"&lt;line x1='"&amp;SUBSTITUTE(ROUND(90+T47*$I$22,1),",",".")&amp;"' y1='84' x2='"&amp;SUBSTITUTE(ROUND(90+T47*$I$22,1),",",".")&amp;"' y2='574' stroke='#FFFFFF'/&gt;&lt;text x='"&amp;SUBSTITUTE(ROUND(90+T47*$I$22,1),",",".")&amp;"' y='590' text-anchor='middle'&gt;"&amp;ROUND(T47*100,2)&amp;" %&lt;/text&gt;","")</f>
        <v/>
      </c>
      <c r="V47" s="58">
        <f>7*$I$19</f>
        <v/>
      </c>
      <c r="W47" s="58">
        <f>IF(7&lt;=$I$21,"&lt;line x1='90' y1='"&amp;SUBSTITUTE(ROUND(574-V47*$I$23,1),",",".")&amp;"' x2='650' y2='"&amp;SUBSTITUTE(ROUND(574-V47*$I$23,1),",",".")&amp;"' stroke='#FFFFFF'/&gt;&lt;text x='84' y='"&amp;SUBSTITUTE(ROUND(574-V47*$I$23+3,1),",",".")&amp;"' text-anchor='end'&gt;"&amp;ROUND(V47*100,2)&amp;" %&lt;/text&gt;","")</f>
        <v/>
      </c>
      <c r="Z47" s="58" t="n">
        <v>8</v>
      </c>
      <c r="AA47" s="58">
        <f>IF(AND($AA$4=1,Z47&lt;=nVariables),1,0)</f>
        <v/>
      </c>
      <c r="AB47" s="58">
        <f>IF(AA47=1,'M2'!$F17,"")</f>
        <v/>
      </c>
      <c r="AC47" s="58">
        <f>IF(AA47=1,'M2'!$E17,"")</f>
        <v/>
      </c>
      <c r="AD47" s="58">
        <f>IF(AA47=1,90+AB47*$AA$22,"")</f>
        <v/>
      </c>
      <c r="AE47" s="58">
        <f>IF(AA47=1,574-AC47*$AA$23,"")</f>
        <v/>
      </c>
      <c r="AF47" s="58">
        <f>IF(AA47=1,'M2'!$I17,"")</f>
        <v/>
      </c>
      <c r="AG47" s="58">
        <f>IF(AA47=1,IF(AF47="Motriz","#2A3439",IF(AF47="Enlace","#6699CC",IF(AF47="Resultado","#FFFFFF","#F5F5F5"))),"")</f>
        <v/>
      </c>
      <c r="AH47" s="58">
        <f>IF(AA47=1,IF(SUMPRODUCT((AB$39:AB46=AB47)*(AC$39:AC46=AC47))=0,1,0),0)</f>
        <v/>
      </c>
      <c r="AI47" s="58">
        <f>IF(AH47=1,8&amp;IF(AND(AB48=AB47,AC48=AC47),","&amp;9,"")&amp;IF(AND(AB49=AB47,AC49=AC47),","&amp;10,"")&amp;IF(AND(AB50=AB47,AC50=AC47),","&amp;11,"")&amp;IF(AND(AB51=AB47,AC51=AC47),","&amp;12,"")&amp;IF(AND(AB52=AB47,AC52=AC47),","&amp;13,"")&amp;IF(AND(AB53=AB47,AC53=AC47),","&amp;14,"")&amp;IF(AND(AB54=AB47,AC54=AC47),","&amp;15,"")&amp;IF(AND(AB55=AB47,AC55=AC47),","&amp;16,"")&amp;IF(AND(AB56=AB47,AC56=AC47),","&amp;17,"")&amp;IF(AND(AB57=AB47,AC57=AC47),","&amp;18,"")&amp;IF(AND(AB58=AB47,AC58=AC47),","&amp;19,"")&amp;IF(AND(AB59=AB47,AC59=AC47),","&amp;20,"")&amp;IF(AND(AB60=AB47,AC60=AC47),","&amp;21,"")&amp;IF(AND(AB61=AB47,AC61=AC47),","&amp;22,"")&amp;IF(AND(AB62=AB47,AC62=AC47),","&amp;23,"")&amp;IF(AND(AB63=AB47,AC63=AC47),","&amp;24,"")&amp;IF(AND(AB64=AB47,AC64=AC47),","&amp;25,"")&amp;IF(AND(AB65=AB47,AC65=AC47),","&amp;26,"")&amp;IF(AND(AB66=AB47,AC66=AC47),","&amp;27,"")&amp;IF(AND(AB67=AB47,AC67=AC47),","&amp;28,"")&amp;IF(AND(AB68=AB47,AC68=AC47),","&amp;29,"")&amp;IF(AND(AB69=AB47,AC69=AC47),","&amp;30,"")&amp;IF(AND(AB70=AB47,AC70=AC47),","&amp;31,"")&amp;IF(AND(AB71=AB47,AC71=AC47),","&amp;32,"")&amp;IF(AND(AB72=AB47,AC72=AC47),","&amp;33,"")&amp;IF(AND(AB73=AB47,AC73=AC47),","&amp;34,"")&amp;IF(AND(AB74=AB47,AC74=AC47),","&amp;35,"")&amp;IF(AND(AB75=AB47,AC75=AC47),","&amp;36,"")&amp;IF(AND(AB76=AB47,AC76=AC47),","&amp;37,"")&amp;IF(AND(AB77=AB47,AC77=AC47),","&amp;38,"")&amp;IF(AND(AB78=AB47,AC78=AC47),","&amp;39,"")&amp;IF(AND(AB79=AB47,AC79=AC47),","&amp;40,""),"")</f>
        <v/>
      </c>
      <c r="AJ47" s="58">
        <f>IF(AH47=1,IF(AF47="Motriz","&lt;circle cx='"&amp;SUBSTITUTE(ROUND(AD47,1),",",".")&amp;"' cy='"&amp;SUBSTITUTE(ROUND(AE47,1),",",".")&amp;"' r='6' fill='#2A3439' stroke='#2A3439' stroke-width='1.3'/&gt;",IF(AF47="Enlace","&lt;rect x='"&amp;SUBSTITUTE(ROUND((AD47)-5.52,1),",",".")&amp;"' y='"&amp;SUBSTITUTE(ROUND((AE47)-5.52,1),",",".")&amp;"' width='11.04' height='11.04' fill='#6699CC' stroke='#2A3439' stroke-width='1.3'/&gt;",IF(AF47="Resultado","&lt;path d='M"&amp;SUBSTITUTE(ROUND(AD47,1),",",".")&amp;" "&amp;SUBSTITUTE(ROUND((AE47)-6.9,1),",",".")&amp;"L"&amp;SUBSTITUTE(ROUND((AD47)+6.3,1),",",".")&amp;" "&amp;SUBSTITUTE(ROUND((AE47)+5.1,1),",",".")&amp;"L"&amp;SUBSTITUTE(ROUND((AD47)-6.3,1),",",".")&amp;" "&amp;SUBSTITUTE(ROUND((AE47)+5.1,1),",",".")&amp;"Z' fill='#FFFFFF' stroke='#2A3439' stroke-width='1.3'/&gt;","&lt;path d='M"&amp;SUBSTITUTE(ROUND(AD47,1),",",".")&amp;" "&amp;SUBSTITUTE(ROUND((AE47)-7.5,1),",",".")&amp;"L"&amp;SUBSTITUTE(ROUND((AD47)+7.5,1),",",".")&amp;" "&amp;SUBSTITUTE(ROUND(AE47,1),",",".")&amp;"L"&amp;SUBSTITUTE(ROUND(AD47,1),",",".")&amp;" "&amp;SUBSTITUTE(ROUND((AE47)+7.5,1),",",".")&amp;"L"&amp;SUBSTITUTE(ROUND((AD47)-7.5,1),",",".")&amp;" "&amp;SUBSTITUTE(ROUND(AE47,1),",",".")&amp;"Z' fill='#F5F5F5' stroke='#2A3439' stroke-width='1.3'/&gt;")))&amp;"&lt;text x='"&amp;SUBSTITUTE(ROUND(AD47+9,1),",",".")&amp;"' y='"&amp;SUBSTITUTE(ROUND(AE47-8,1),",",".")&amp;"'&gt;"&amp;AI47&amp;"&lt;/text&gt;","")</f>
        <v/>
      </c>
      <c r="AK47" s="58">
        <f>IF(AA47=1,IF(AF47="Motriz","&lt;circle cx='"&amp;SUBSTITUTE(ROUND(728,1),",",".")&amp;"' cy='"&amp;SUBSTITUTE(ROUND(219.4,1),",",".")&amp;"' r='4.3' fill='#2A3439' stroke='#2A3439' stroke-width='1.3'/&gt;",IF(AF47="Enlace","&lt;rect x='"&amp;SUBSTITUTE(ROUND((728)-3.96,1),",",".")&amp;"' y='"&amp;SUBSTITUTE(ROUND((219.4)-3.96,1),",",".")&amp;"' width='7.92' height='7.92' fill='#6699CC' stroke='#2A3439' stroke-width='1.3'/&gt;",IF(AF47="Resultado","&lt;path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AL47" s="58">
        <f>7*$AA$14</f>
        <v/>
      </c>
      <c r="AM47" s="58">
        <f>IF(7&lt;=$AA$16,"&lt;line x1='"&amp;SUBSTITUTE(ROUND(90+AL47*$AA$22,1),",",".")&amp;"' y1='84' x2='"&amp;SUBSTITUTE(ROUND(90+AL47*$AA$22,1),",",".")&amp;"' y2='574' stroke='#FFFFFF'/&gt;&lt;text x='"&amp;SUBSTITUTE(ROUND(90+AL47*$AA$22,1),",",".")&amp;"' y='590' text-anchor='middle'&gt;"&amp;ROUND(AL47*100,2)&amp;" %&lt;/text&gt;","")</f>
        <v/>
      </c>
      <c r="AN47" s="58">
        <f>7*$AA$19</f>
        <v/>
      </c>
      <c r="AO47" s="58">
        <f>IF(7&lt;=$AA$21,"&lt;line x1='90' y1='"&amp;SUBSTITUTE(ROUND(574-AN47*$AA$23,1),",",".")&amp;"' x2='650' y2='"&amp;SUBSTITUTE(ROUND(574-AN47*$AA$23,1),",",".")&amp;"' stroke='#FFFFFF'/&gt;&lt;text x='84' y='"&amp;SUBSTITUTE(ROUND(574-AN47*$AA$23+3,1),",",".")&amp;"' text-anchor='end'&gt;"&amp;ROUND(AN47*100,2)&amp;" %&lt;/text&gt;","")</f>
        <v/>
      </c>
      <c r="AR47" s="58" t="n">
        <v>8</v>
      </c>
      <c r="AS47" s="58">
        <f>IF(AND($AS$4=1,AR47&lt;=nVariables),1,0)</f>
        <v/>
      </c>
      <c r="AT47" s="58">
        <f>IF(AS47=1,'M3'!$F17,"")</f>
        <v/>
      </c>
      <c r="AU47" s="58">
        <f>IF(AS47=1,'M3'!$E17,"")</f>
        <v/>
      </c>
      <c r="AV47" s="58">
        <f>IF(AS47=1,90+AT47*$AS$22,"")</f>
        <v/>
      </c>
      <c r="AW47" s="58">
        <f>IF(AS47=1,574-AU47*$AS$23,"")</f>
        <v/>
      </c>
      <c r="AX47" s="58">
        <f>IF(AS47=1,'M3'!$I17,"")</f>
        <v/>
      </c>
      <c r="AY47" s="58">
        <f>IF(AS47=1,IF(AX47="Motriz","#2A3439",IF(AX47="Enlace","#6699CC",IF(AX47="Resultado","#FFFFFF","#F5F5F5"))),"")</f>
        <v/>
      </c>
      <c r="AZ47" s="58">
        <f>IF(AS47=1,IF(SUMPRODUCT((AT$39:AT46=AT47)*(AU$39:AU46=AU47))=0,1,0),0)</f>
        <v/>
      </c>
      <c r="BA47" s="58">
        <f>IF(AZ47=1,8&amp;IF(AND(AT48=AT47,AU48=AU47),","&amp;9,"")&amp;IF(AND(AT49=AT47,AU49=AU47),","&amp;10,"")&amp;IF(AND(AT50=AT47,AU50=AU47),","&amp;11,"")&amp;IF(AND(AT51=AT47,AU51=AU47),","&amp;12,"")&amp;IF(AND(AT52=AT47,AU52=AU47),","&amp;13,"")&amp;IF(AND(AT53=AT47,AU53=AU47),","&amp;14,"")&amp;IF(AND(AT54=AT47,AU54=AU47),","&amp;15,"")&amp;IF(AND(AT55=AT47,AU55=AU47),","&amp;16,"")&amp;IF(AND(AT56=AT47,AU56=AU47),","&amp;17,"")&amp;IF(AND(AT57=AT47,AU57=AU47),","&amp;18,"")&amp;IF(AND(AT58=AT47,AU58=AU47),","&amp;19,"")&amp;IF(AND(AT59=AT47,AU59=AU47),","&amp;20,"")&amp;IF(AND(AT60=AT47,AU60=AU47),","&amp;21,"")&amp;IF(AND(AT61=AT47,AU61=AU47),","&amp;22,"")&amp;IF(AND(AT62=AT47,AU62=AU47),","&amp;23,"")&amp;IF(AND(AT63=AT47,AU63=AU47),","&amp;24,"")&amp;IF(AND(AT64=AT47,AU64=AU47),","&amp;25,"")&amp;IF(AND(AT65=AT47,AU65=AU47),","&amp;26,"")&amp;IF(AND(AT66=AT47,AU66=AU47),","&amp;27,"")&amp;IF(AND(AT67=AT47,AU67=AU47),","&amp;28,"")&amp;IF(AND(AT68=AT47,AU68=AU47),","&amp;29,"")&amp;IF(AND(AT69=AT47,AU69=AU47),","&amp;30,"")&amp;IF(AND(AT70=AT47,AU70=AU47),","&amp;31,"")&amp;IF(AND(AT71=AT47,AU71=AU47),","&amp;32,"")&amp;IF(AND(AT72=AT47,AU72=AU47),","&amp;33,"")&amp;IF(AND(AT73=AT47,AU73=AU47),","&amp;34,"")&amp;IF(AND(AT74=AT47,AU74=AU47),","&amp;35,"")&amp;IF(AND(AT75=AT47,AU75=AU47),","&amp;36,"")&amp;IF(AND(AT76=AT47,AU76=AU47),","&amp;37,"")&amp;IF(AND(AT77=AT47,AU77=AU47),","&amp;38,"")&amp;IF(AND(AT78=AT47,AU78=AU47),","&amp;39,"")&amp;IF(AND(AT79=AT47,AU79=AU47),","&amp;40,""),"")</f>
        <v/>
      </c>
      <c r="BB47" s="58">
        <f>IF(AZ47=1,IF(AX47="Motriz","&lt;circle cx='"&amp;SUBSTITUTE(ROUND(AV47,1),",",".")&amp;"' cy='"&amp;SUBSTITUTE(ROUND(AW47,1),",",".")&amp;"' r='6' fill='#2A3439' stroke='#2A3439' stroke-width='1.3'/&gt;",IF(AX47="Enlace","&lt;rect x='"&amp;SUBSTITUTE(ROUND((AV47)-5.52,1),",",".")&amp;"' y='"&amp;SUBSTITUTE(ROUND((AW47)-5.52,1),",",".")&amp;"' width='11.04' height='11.04' fill='#6699CC' stroke='#2A3439' stroke-width='1.3'/&gt;",IF(AX47="Resultado","&lt;path d='M"&amp;SUBSTITUTE(ROUND(AV47,1),",",".")&amp;" "&amp;SUBSTITUTE(ROUND((AW47)-6.9,1),",",".")&amp;"L"&amp;SUBSTITUTE(ROUND((AV47)+6.3,1),",",".")&amp;" "&amp;SUBSTITUTE(ROUND((AW47)+5.1,1),",",".")&amp;"L"&amp;SUBSTITUTE(ROUND((AV47)-6.3,1),",",".")&amp;" "&amp;SUBSTITUTE(ROUND((AW47)+5.1,1),",",".")&amp;"Z' fill='#FFFFFF' stroke='#2A3439' stroke-width='1.3'/&gt;","&lt;path d='M"&amp;SUBSTITUTE(ROUND(AV47,1),",",".")&amp;" "&amp;SUBSTITUTE(ROUND((AW47)-7.5,1),",",".")&amp;"L"&amp;SUBSTITUTE(ROUND((AV47)+7.5,1),",",".")&amp;" "&amp;SUBSTITUTE(ROUND(AW47,1),",",".")&amp;"L"&amp;SUBSTITUTE(ROUND(AV47,1),",",".")&amp;" "&amp;SUBSTITUTE(ROUND((AW47)+7.5,1),",",".")&amp;"L"&amp;SUBSTITUTE(ROUND((AV47)-7.5,1),",",".")&amp;" "&amp;SUBSTITUTE(ROUND(AW47,1),",",".")&amp;"Z' fill='#F5F5F5' stroke='#2A3439' stroke-width='1.3'/&gt;")))&amp;"&lt;text x='"&amp;SUBSTITUTE(ROUND(AV47+9,1),",",".")&amp;"' y='"&amp;SUBSTITUTE(ROUND(AW47-8,1),",",".")&amp;"'&gt;"&amp;BA47&amp;"&lt;/text&gt;","")</f>
        <v/>
      </c>
      <c r="BC47" s="58">
        <f>IF(AS47=1,IF(AX47="Motriz","&lt;circle cx='"&amp;SUBSTITUTE(ROUND(728,1),",",".")&amp;"' cy='"&amp;SUBSTITUTE(ROUND(219.4,1),",",".")&amp;"' r='4.3' fill='#2A3439' stroke='#2A3439' stroke-width='1.3'/&gt;",IF(AX47="Enlace","&lt;rect x='"&amp;SUBSTITUTE(ROUND((728)-3.96,1),",",".")&amp;"' y='"&amp;SUBSTITUTE(ROUND((219.4)-3.96,1),",",".")&amp;"' width='7.92' height='7.92' fill='#6699CC' stroke='#2A3439' stroke-width='1.3'/&gt;",IF(AX47="Resultado","&lt;path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BD47" s="58">
        <f>7*$AS$14</f>
        <v/>
      </c>
      <c r="BE47" s="58">
        <f>IF(7&lt;=$AS$16,"&lt;line x1='"&amp;SUBSTITUTE(ROUND(90+BD47*$AS$22,1),",",".")&amp;"' y1='84' x2='"&amp;SUBSTITUTE(ROUND(90+BD47*$AS$22,1),",",".")&amp;"' y2='574' stroke='#FFFFFF'/&gt;&lt;text x='"&amp;SUBSTITUTE(ROUND(90+BD47*$AS$22,1),",",".")&amp;"' y='590' text-anchor='middle'&gt;"&amp;ROUND(BD47*100,2)&amp;" %&lt;/text&gt;","")</f>
        <v/>
      </c>
      <c r="BF47" s="58">
        <f>7*$AS$19</f>
        <v/>
      </c>
      <c r="BG47" s="58">
        <f>IF(7&lt;=$AS$21,"&lt;line x1='90' y1='"&amp;SUBSTITUTE(ROUND(574-BF47*$AS$23,1),",",".")&amp;"' x2='650' y2='"&amp;SUBSTITUTE(ROUND(574-BF47*$AS$23,1),",",".")&amp;"' stroke='#FFFFFF'/&gt;&lt;text x='84' y='"&amp;SUBSTITUTE(ROUND(574-BF47*$AS$23+3,1),",",".")&amp;"' text-anchor='end'&gt;"&amp;ROUND(BF47*100,2)&amp;" %&lt;/text&gt;","")</f>
        <v/>
      </c>
      <c r="BJ47" s="58" t="n">
        <v>8</v>
      </c>
      <c r="BK47" s="58">
        <f>IF(AND($BK$4=1,BJ47&lt;=nVariables),1,0)</f>
        <v/>
      </c>
      <c r="BL47" s="58">
        <f>IF(BK47=1,'M4'!$F17,"")</f>
        <v/>
      </c>
      <c r="BM47" s="58">
        <f>IF(BK47=1,'M4'!$E17,"")</f>
        <v/>
      </c>
      <c r="BN47" s="58">
        <f>IF(BK47=1,90+BL47*$BK$22,"")</f>
        <v/>
      </c>
      <c r="BO47" s="58">
        <f>IF(BK47=1,574-BM47*$BK$23,"")</f>
        <v/>
      </c>
      <c r="BP47" s="58">
        <f>IF(BK47=1,'M4'!$I17,"")</f>
        <v/>
      </c>
      <c r="BQ47" s="58">
        <f>IF(BK47=1,IF(BP47="Motriz","#2A3439",IF(BP47="Enlace","#6699CC",IF(BP47="Resultado","#FFFFFF","#F5F5F5"))),"")</f>
        <v/>
      </c>
      <c r="BR47" s="58">
        <f>IF(BK47=1,IF(SUMPRODUCT((BL$39:BL46=BL47)*(BM$39:BM46=BM47))=0,1,0),0)</f>
        <v/>
      </c>
      <c r="BS47" s="58">
        <f>IF(BR47=1,8&amp;IF(AND(BL48=BL47,BM48=BM47),","&amp;9,"")&amp;IF(AND(BL49=BL47,BM49=BM47),","&amp;10,"")&amp;IF(AND(BL50=BL47,BM50=BM47),","&amp;11,"")&amp;IF(AND(BL51=BL47,BM51=BM47),","&amp;12,"")&amp;IF(AND(BL52=BL47,BM52=BM47),","&amp;13,"")&amp;IF(AND(BL53=BL47,BM53=BM47),","&amp;14,"")&amp;IF(AND(BL54=BL47,BM54=BM47),","&amp;15,"")&amp;IF(AND(BL55=BL47,BM55=BM47),","&amp;16,"")&amp;IF(AND(BL56=BL47,BM56=BM47),","&amp;17,"")&amp;IF(AND(BL57=BL47,BM57=BM47),","&amp;18,"")&amp;IF(AND(BL58=BL47,BM58=BM47),","&amp;19,"")&amp;IF(AND(BL59=BL47,BM59=BM47),","&amp;20,"")&amp;IF(AND(BL60=BL47,BM60=BM47),","&amp;21,"")&amp;IF(AND(BL61=BL47,BM61=BM47),","&amp;22,"")&amp;IF(AND(BL62=BL47,BM62=BM47),","&amp;23,"")&amp;IF(AND(BL63=BL47,BM63=BM47),","&amp;24,"")&amp;IF(AND(BL64=BL47,BM64=BM47),","&amp;25,"")&amp;IF(AND(BL65=BL47,BM65=BM47),","&amp;26,"")&amp;IF(AND(BL66=BL47,BM66=BM47),","&amp;27,"")&amp;IF(AND(BL67=BL47,BM67=BM47),","&amp;28,"")&amp;IF(AND(BL68=BL47,BM68=BM47),","&amp;29,"")&amp;IF(AND(BL69=BL47,BM69=BM47),","&amp;30,"")&amp;IF(AND(BL70=BL47,BM70=BM47),","&amp;31,"")&amp;IF(AND(BL71=BL47,BM71=BM47),","&amp;32,"")&amp;IF(AND(BL72=BL47,BM72=BM47),","&amp;33,"")&amp;IF(AND(BL73=BL47,BM73=BM47),","&amp;34,"")&amp;IF(AND(BL74=BL47,BM74=BM47),","&amp;35,"")&amp;IF(AND(BL75=BL47,BM75=BM47),","&amp;36,"")&amp;IF(AND(BL76=BL47,BM76=BM47),","&amp;37,"")&amp;IF(AND(BL77=BL47,BM77=BM47),","&amp;38,"")&amp;IF(AND(BL78=BL47,BM78=BM47),","&amp;39,"")&amp;IF(AND(BL79=BL47,BM79=BM47),","&amp;40,""),"")</f>
        <v/>
      </c>
      <c r="BT47" s="58">
        <f>IF(BR47=1,IF(BP47="Motriz","&lt;circle cx='"&amp;SUBSTITUTE(ROUND(BN47,1),",",".")&amp;"' cy='"&amp;SUBSTITUTE(ROUND(BO47,1),",",".")&amp;"' r='6' fill='#2A3439' stroke='#2A3439' stroke-width='1.3'/&gt;",IF(BP47="Enlace","&lt;rect x='"&amp;SUBSTITUTE(ROUND((BN47)-5.52,1),",",".")&amp;"' y='"&amp;SUBSTITUTE(ROUND((BO47)-5.52,1),",",".")&amp;"' width='11.04' height='11.04' fill='#6699CC' stroke='#2A3439' stroke-width='1.3'/&gt;",IF(BP47="Resultado","&lt;path d='M"&amp;SUBSTITUTE(ROUND(BN47,1),",",".")&amp;" "&amp;SUBSTITUTE(ROUND((BO47)-6.9,1),",",".")&amp;"L"&amp;SUBSTITUTE(ROUND((BN47)+6.3,1),",",".")&amp;" "&amp;SUBSTITUTE(ROUND((BO47)+5.1,1),",",".")&amp;"L"&amp;SUBSTITUTE(ROUND((BN47)-6.3,1),",",".")&amp;" "&amp;SUBSTITUTE(ROUND((BO47)+5.1,1),",",".")&amp;"Z' fill='#FFFFFF' stroke='#2A3439' stroke-width='1.3'/&gt;","&lt;path d='M"&amp;SUBSTITUTE(ROUND(BN47,1),",",".")&amp;" "&amp;SUBSTITUTE(ROUND((BO47)-7.5,1),",",".")&amp;"L"&amp;SUBSTITUTE(ROUND((BN47)+7.5,1),",",".")&amp;" "&amp;SUBSTITUTE(ROUND(BO47,1),",",".")&amp;"L"&amp;SUBSTITUTE(ROUND(BN47,1),",",".")&amp;" "&amp;SUBSTITUTE(ROUND((BO47)+7.5,1),",",".")&amp;"L"&amp;SUBSTITUTE(ROUND((BN47)-7.5,1),",",".")&amp;" "&amp;SUBSTITUTE(ROUND(BO47,1),",",".")&amp;"Z' fill='#F5F5F5' stroke='#2A3439' stroke-width='1.3'/&gt;")))&amp;"&lt;text x='"&amp;SUBSTITUTE(ROUND(BN47+9,1),",",".")&amp;"' y='"&amp;SUBSTITUTE(ROUND(BO47-8,1),",",".")&amp;"'&gt;"&amp;BS47&amp;"&lt;/text&gt;","")</f>
        <v/>
      </c>
      <c r="BU47" s="58">
        <f>IF(BK47=1,IF(BP47="Motriz","&lt;circle cx='"&amp;SUBSTITUTE(ROUND(728,1),",",".")&amp;"' cy='"&amp;SUBSTITUTE(ROUND(219.4,1),",",".")&amp;"' r='4.3' fill='#2A3439' stroke='#2A3439' stroke-width='1.3'/&gt;",IF(BP47="Enlace","&lt;rect x='"&amp;SUBSTITUTE(ROUND((728)-3.96,1),",",".")&amp;"' y='"&amp;SUBSTITUTE(ROUND((219.4)-3.96,1),",",".")&amp;"' width='7.92' height='7.92' fill='#6699CC' stroke='#2A3439' stroke-width='1.3'/&gt;",IF(BP47="Resultado","&lt;path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BV47" s="58">
        <f>7*$BK$14</f>
        <v/>
      </c>
      <c r="BW47" s="58">
        <f>IF(7&lt;=$BK$16,"&lt;line x1='"&amp;SUBSTITUTE(ROUND(90+BV47*$BK$22,1),",",".")&amp;"' y1='84' x2='"&amp;SUBSTITUTE(ROUND(90+BV47*$BK$22,1),",",".")&amp;"' y2='574' stroke='#FFFFFF'/&gt;&lt;text x='"&amp;SUBSTITUTE(ROUND(90+BV47*$BK$22,1),",",".")&amp;"' y='590' text-anchor='middle'&gt;"&amp;ROUND(BV47*100,2)&amp;" %&lt;/text&gt;","")</f>
        <v/>
      </c>
      <c r="BX47" s="58">
        <f>7*$BK$19</f>
        <v/>
      </c>
      <c r="BY47" s="58">
        <f>IF(7&lt;=$BK$21,"&lt;line x1='90' y1='"&amp;SUBSTITUTE(ROUND(574-BX47*$BK$23,1),",",".")&amp;"' x2='650' y2='"&amp;SUBSTITUTE(ROUND(574-BX47*$BK$23,1),",",".")&amp;"' stroke='#FFFFFF'/&gt;&lt;text x='84' y='"&amp;SUBSTITUTE(ROUND(574-BX47*$BK$23+3,1),",",".")&amp;"' text-anchor='end'&gt;"&amp;ROUND(BX47*100,2)&amp;" %&lt;/text&gt;","")</f>
        <v/>
      </c>
      <c r="CB47" s="58" t="n">
        <v>8</v>
      </c>
      <c r="CC47" s="58">
        <f>IF(AND($CC$4=1,CB47&lt;=nVariables),1,0)</f>
        <v/>
      </c>
      <c r="CD47" s="58">
        <f>IF(CC47=1,'M5'!$F17,"")</f>
        <v/>
      </c>
      <c r="CE47" s="58">
        <f>IF(CC47=1,'M5'!$E17,"")</f>
        <v/>
      </c>
      <c r="CF47" s="58">
        <f>IF(CC47=1,90+CD47*$CC$22,"")</f>
        <v/>
      </c>
      <c r="CG47" s="58">
        <f>IF(CC47=1,574-CE47*$CC$23,"")</f>
        <v/>
      </c>
      <c r="CH47" s="58">
        <f>IF(CC47=1,'M5'!$I17,"")</f>
        <v/>
      </c>
      <c r="CI47" s="58">
        <f>IF(CC47=1,IF(CH47="Motriz","#2A3439",IF(CH47="Enlace","#6699CC",IF(CH47="Resultado","#FFFFFF","#F5F5F5"))),"")</f>
        <v/>
      </c>
      <c r="CJ47" s="58">
        <f>IF(CC47=1,IF(SUMPRODUCT((CD$39:CD46=CD47)*(CE$39:CE46=CE47))=0,1,0),0)</f>
        <v/>
      </c>
      <c r="CK47" s="58">
        <f>IF(CJ47=1,8&amp;IF(AND(CD48=CD47,CE48=CE47),","&amp;9,"")&amp;IF(AND(CD49=CD47,CE49=CE47),","&amp;10,"")&amp;IF(AND(CD50=CD47,CE50=CE47),","&amp;11,"")&amp;IF(AND(CD51=CD47,CE51=CE47),","&amp;12,"")&amp;IF(AND(CD52=CD47,CE52=CE47),","&amp;13,"")&amp;IF(AND(CD53=CD47,CE53=CE47),","&amp;14,"")&amp;IF(AND(CD54=CD47,CE54=CE47),","&amp;15,"")&amp;IF(AND(CD55=CD47,CE55=CE47),","&amp;16,"")&amp;IF(AND(CD56=CD47,CE56=CE47),","&amp;17,"")&amp;IF(AND(CD57=CD47,CE57=CE47),","&amp;18,"")&amp;IF(AND(CD58=CD47,CE58=CE47),","&amp;19,"")&amp;IF(AND(CD59=CD47,CE59=CE47),","&amp;20,"")&amp;IF(AND(CD60=CD47,CE60=CE47),","&amp;21,"")&amp;IF(AND(CD61=CD47,CE61=CE47),","&amp;22,"")&amp;IF(AND(CD62=CD47,CE62=CE47),","&amp;23,"")&amp;IF(AND(CD63=CD47,CE63=CE47),","&amp;24,"")&amp;IF(AND(CD64=CD47,CE64=CE47),","&amp;25,"")&amp;IF(AND(CD65=CD47,CE65=CE47),","&amp;26,"")&amp;IF(AND(CD66=CD47,CE66=CE47),","&amp;27,"")&amp;IF(AND(CD67=CD47,CE67=CE47),","&amp;28,"")&amp;IF(AND(CD68=CD47,CE68=CE47),","&amp;29,"")&amp;IF(AND(CD69=CD47,CE69=CE47),","&amp;30,"")&amp;IF(AND(CD70=CD47,CE70=CE47),","&amp;31,"")&amp;IF(AND(CD71=CD47,CE71=CE47),","&amp;32,"")&amp;IF(AND(CD72=CD47,CE72=CE47),","&amp;33,"")&amp;IF(AND(CD73=CD47,CE73=CE47),","&amp;34,"")&amp;IF(AND(CD74=CD47,CE74=CE47),","&amp;35,"")&amp;IF(AND(CD75=CD47,CE75=CE47),","&amp;36,"")&amp;IF(AND(CD76=CD47,CE76=CE47),","&amp;37,"")&amp;IF(AND(CD77=CD47,CE77=CE47),","&amp;38,"")&amp;IF(AND(CD78=CD47,CE78=CE47),","&amp;39,"")&amp;IF(AND(CD79=CD47,CE79=CE47),","&amp;40,""),"")</f>
        <v/>
      </c>
      <c r="CL47" s="58">
        <f>IF(CJ47=1,IF(CH47="Motriz","&lt;circle cx='"&amp;SUBSTITUTE(ROUND(CF47,1),",",".")&amp;"' cy='"&amp;SUBSTITUTE(ROUND(CG47,1),",",".")&amp;"' r='6' fill='#2A3439' stroke='#2A3439' stroke-width='1.3'/&gt;",IF(CH47="Enlace","&lt;rect x='"&amp;SUBSTITUTE(ROUND((CF47)-5.52,1),",",".")&amp;"' y='"&amp;SUBSTITUTE(ROUND((CG47)-5.52,1),",",".")&amp;"' width='11.04' height='11.04' fill='#6699CC' stroke='#2A3439' stroke-width='1.3'/&gt;",IF(CH47="Resultado","&lt;path d='M"&amp;SUBSTITUTE(ROUND(CF47,1),",",".")&amp;" "&amp;SUBSTITUTE(ROUND((CG47)-6.9,1),",",".")&amp;"L"&amp;SUBSTITUTE(ROUND((CF47)+6.3,1),",",".")&amp;" "&amp;SUBSTITUTE(ROUND((CG47)+5.1,1),",",".")&amp;"L"&amp;SUBSTITUTE(ROUND((CF47)-6.3,1),",",".")&amp;" "&amp;SUBSTITUTE(ROUND((CG47)+5.1,1),",",".")&amp;"Z' fill='#FFFFFF' stroke='#2A3439' stroke-width='1.3'/&gt;","&lt;path d='M"&amp;SUBSTITUTE(ROUND(CF47,1),",",".")&amp;" "&amp;SUBSTITUTE(ROUND((CG47)-7.5,1),",",".")&amp;"L"&amp;SUBSTITUTE(ROUND((CF47)+7.5,1),",",".")&amp;" "&amp;SUBSTITUTE(ROUND(CG47,1),",",".")&amp;"L"&amp;SUBSTITUTE(ROUND(CF47,1),",",".")&amp;" "&amp;SUBSTITUTE(ROUND((CG47)+7.5,1),",",".")&amp;"L"&amp;SUBSTITUTE(ROUND((CF47)-7.5,1),",",".")&amp;" "&amp;SUBSTITUTE(ROUND(CG47,1),",",".")&amp;"Z' fill='#F5F5F5' stroke='#2A3439' stroke-width='1.3'/&gt;")))&amp;"&lt;text x='"&amp;SUBSTITUTE(ROUND(CF47+9,1),",",".")&amp;"' y='"&amp;SUBSTITUTE(ROUND(CG47-8,1),",",".")&amp;"'&gt;"&amp;CK47&amp;"&lt;/text&gt;","")</f>
        <v/>
      </c>
      <c r="CM47" s="58">
        <f>IF(CC47=1,IF(CH47="Motriz","&lt;circle cx='"&amp;SUBSTITUTE(ROUND(728,1),",",".")&amp;"' cy='"&amp;SUBSTITUTE(ROUND(219.4,1),",",".")&amp;"' r='4.3' fill='#2A3439' stroke='#2A3439' stroke-width='1.3'/&gt;",IF(CH47="Enlace","&lt;rect x='"&amp;SUBSTITUTE(ROUND((728)-3.96,1),",",".")&amp;"' y='"&amp;SUBSTITUTE(ROUND((219.4)-3.96,1),",",".")&amp;"' width='7.92' height='7.92' fill='#6699CC' stroke='#2A3439' stroke-width='1.3'/&gt;",IF(CH47="Resultado","&lt;path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CN47" s="58">
        <f>7*$CC$14</f>
        <v/>
      </c>
      <c r="CO47" s="58">
        <f>IF(7&lt;=$CC$16,"&lt;line x1='"&amp;SUBSTITUTE(ROUND(90+CN47*$CC$22,1),",",".")&amp;"' y1='84' x2='"&amp;SUBSTITUTE(ROUND(90+CN47*$CC$22,1),",",".")&amp;"' y2='574' stroke='#FFFFFF'/&gt;&lt;text x='"&amp;SUBSTITUTE(ROUND(90+CN47*$CC$22,1),",",".")&amp;"' y='590' text-anchor='middle'&gt;"&amp;ROUND(CN47*100,2)&amp;" %&lt;/text&gt;","")</f>
        <v/>
      </c>
      <c r="CP47" s="58">
        <f>7*$CC$19</f>
        <v/>
      </c>
      <c r="CQ47" s="58">
        <f>IF(7&lt;=$CC$21,"&lt;line x1='90' y1='"&amp;SUBSTITUTE(ROUND(574-CP47*$CC$23,1),",",".")&amp;"' x2='650' y2='"&amp;SUBSTITUTE(ROUND(574-CP47*$CC$23,1),",",".")&amp;"' stroke='#FFFFFF'/&gt;&lt;text x='84' y='"&amp;SUBSTITUTE(ROUND(574-CP47*$CC$23+3,1),",",".")&amp;"' text-anchor='end'&gt;"&amp;ROUND(CP47*100,2)&amp;" %&lt;/text&gt;","")</f>
        <v/>
      </c>
      <c r="CT47" s="58" t="n">
        <v>8</v>
      </c>
      <c r="CU47" s="58">
        <f>IF(AND($CU$4=1,CT47&lt;=nVariables),1,0)</f>
        <v/>
      </c>
      <c r="CV47" s="58">
        <f>IF(CU47=1,'M6'!$F17,"")</f>
        <v/>
      </c>
      <c r="CW47" s="58">
        <f>IF(CU47=1,'M6'!$E17,"")</f>
        <v/>
      </c>
      <c r="CX47" s="58">
        <f>IF(CU47=1,90+CV47*$CU$22,"")</f>
        <v/>
      </c>
      <c r="CY47" s="58">
        <f>IF(CU47=1,574-CW47*$CU$23,"")</f>
        <v/>
      </c>
      <c r="CZ47" s="58">
        <f>IF(CU47=1,'M6'!$I17,"")</f>
        <v/>
      </c>
      <c r="DA47" s="58">
        <f>IF(CU47=1,IF(CZ47="Motriz","#2A3439",IF(CZ47="Enlace","#6699CC",IF(CZ47="Resultado","#FFFFFF","#F5F5F5"))),"")</f>
        <v/>
      </c>
      <c r="DB47" s="58">
        <f>IF(CU47=1,IF(SUMPRODUCT((CV$39:CV46=CV47)*(CW$39:CW46=CW47))=0,1,0),0)</f>
        <v/>
      </c>
      <c r="DC47" s="58">
        <f>IF(DB47=1,8&amp;IF(AND(CV48=CV47,CW48=CW47),","&amp;9,"")&amp;IF(AND(CV49=CV47,CW49=CW47),","&amp;10,"")&amp;IF(AND(CV50=CV47,CW50=CW47),","&amp;11,"")&amp;IF(AND(CV51=CV47,CW51=CW47),","&amp;12,"")&amp;IF(AND(CV52=CV47,CW52=CW47),","&amp;13,"")&amp;IF(AND(CV53=CV47,CW53=CW47),","&amp;14,"")&amp;IF(AND(CV54=CV47,CW54=CW47),","&amp;15,"")&amp;IF(AND(CV55=CV47,CW55=CW47),","&amp;16,"")&amp;IF(AND(CV56=CV47,CW56=CW47),","&amp;17,"")&amp;IF(AND(CV57=CV47,CW57=CW47),","&amp;18,"")&amp;IF(AND(CV58=CV47,CW58=CW47),","&amp;19,"")&amp;IF(AND(CV59=CV47,CW59=CW47),","&amp;20,"")&amp;IF(AND(CV60=CV47,CW60=CW47),","&amp;21,"")&amp;IF(AND(CV61=CV47,CW61=CW47),","&amp;22,"")&amp;IF(AND(CV62=CV47,CW62=CW47),","&amp;23,"")&amp;IF(AND(CV63=CV47,CW63=CW47),","&amp;24,"")&amp;IF(AND(CV64=CV47,CW64=CW47),","&amp;25,"")&amp;IF(AND(CV65=CV47,CW65=CW47),","&amp;26,"")&amp;IF(AND(CV66=CV47,CW66=CW47),","&amp;27,"")&amp;IF(AND(CV67=CV47,CW67=CW47),","&amp;28,"")&amp;IF(AND(CV68=CV47,CW68=CW47),","&amp;29,"")&amp;IF(AND(CV69=CV47,CW69=CW47),","&amp;30,"")&amp;IF(AND(CV70=CV47,CW70=CW47),","&amp;31,"")&amp;IF(AND(CV71=CV47,CW71=CW47),","&amp;32,"")&amp;IF(AND(CV72=CV47,CW72=CW47),","&amp;33,"")&amp;IF(AND(CV73=CV47,CW73=CW47),","&amp;34,"")&amp;IF(AND(CV74=CV47,CW74=CW47),","&amp;35,"")&amp;IF(AND(CV75=CV47,CW75=CW47),","&amp;36,"")&amp;IF(AND(CV76=CV47,CW76=CW47),","&amp;37,"")&amp;IF(AND(CV77=CV47,CW77=CW47),","&amp;38,"")&amp;IF(AND(CV78=CV47,CW78=CW47),","&amp;39,"")&amp;IF(AND(CV79=CV47,CW79=CW47),","&amp;40,""),"")</f>
        <v/>
      </c>
      <c r="DD47" s="58">
        <f>IF(DB47=1,IF(CZ47="Motriz","&lt;circle cx='"&amp;SUBSTITUTE(ROUND(CX47,1),",",".")&amp;"' cy='"&amp;SUBSTITUTE(ROUND(CY47,1),",",".")&amp;"' r='6' fill='#2A3439' stroke='#2A3439' stroke-width='1.3'/&gt;",IF(CZ47="Enlace","&lt;rect x='"&amp;SUBSTITUTE(ROUND((CX47)-5.52,1),",",".")&amp;"' y='"&amp;SUBSTITUTE(ROUND((CY47)-5.52,1),",",".")&amp;"' width='11.04' height='11.04' fill='#6699CC' stroke='#2A3439' stroke-width='1.3'/&gt;",IF(CZ47="Resultado","&lt;path d='M"&amp;SUBSTITUTE(ROUND(CX47,1),",",".")&amp;" "&amp;SUBSTITUTE(ROUND((CY47)-6.9,1),",",".")&amp;"L"&amp;SUBSTITUTE(ROUND((CX47)+6.3,1),",",".")&amp;" "&amp;SUBSTITUTE(ROUND((CY47)+5.1,1),",",".")&amp;"L"&amp;SUBSTITUTE(ROUND((CX47)-6.3,1),",",".")&amp;" "&amp;SUBSTITUTE(ROUND((CY47)+5.1,1),",",".")&amp;"Z' fill='#FFFFFF' stroke='#2A3439' stroke-width='1.3'/&gt;","&lt;path d='M"&amp;SUBSTITUTE(ROUND(CX47,1),",",".")&amp;" "&amp;SUBSTITUTE(ROUND((CY47)-7.5,1),",",".")&amp;"L"&amp;SUBSTITUTE(ROUND((CX47)+7.5,1),",",".")&amp;" "&amp;SUBSTITUTE(ROUND(CY47,1),",",".")&amp;"L"&amp;SUBSTITUTE(ROUND(CX47,1),",",".")&amp;" "&amp;SUBSTITUTE(ROUND((CY47)+7.5,1),",",".")&amp;"L"&amp;SUBSTITUTE(ROUND((CX47)-7.5,1),",",".")&amp;" "&amp;SUBSTITUTE(ROUND(CY47,1),",",".")&amp;"Z' fill='#F5F5F5' stroke='#2A3439' stroke-width='1.3'/&gt;")))&amp;"&lt;text x='"&amp;SUBSTITUTE(ROUND(CX47+9,1),",",".")&amp;"' y='"&amp;SUBSTITUTE(ROUND(CY47-8,1),",",".")&amp;"'&gt;"&amp;DC47&amp;"&lt;/text&gt;","")</f>
        <v/>
      </c>
      <c r="DE47" s="58">
        <f>IF(CU47=1,IF(CZ47="Motriz","&lt;circle cx='"&amp;SUBSTITUTE(ROUND(728,1),",",".")&amp;"' cy='"&amp;SUBSTITUTE(ROUND(219.4,1),",",".")&amp;"' r='4.3' fill='#2A3439' stroke='#2A3439' stroke-width='1.3'/&gt;",IF(CZ47="Enlace","&lt;rect x='"&amp;SUBSTITUTE(ROUND((728)-3.96,1),",",".")&amp;"' y='"&amp;SUBSTITUTE(ROUND((219.4)-3.96,1),",",".")&amp;"' width='7.92' height='7.92' fill='#6699CC' stroke='#2A3439' stroke-width='1.3'/&gt;",IF(CZ47="Resultado","&lt;path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DF47" s="58">
        <f>7*$CU$14</f>
        <v/>
      </c>
      <c r="DG47" s="58">
        <f>IF(7&lt;=$CU$16,"&lt;line x1='"&amp;SUBSTITUTE(ROUND(90+DF47*$CU$22,1),",",".")&amp;"' y1='84' x2='"&amp;SUBSTITUTE(ROUND(90+DF47*$CU$22,1),",",".")&amp;"' y2='574' stroke='#FFFFFF'/&gt;&lt;text x='"&amp;SUBSTITUTE(ROUND(90+DF47*$CU$22,1),",",".")&amp;"' y='590' text-anchor='middle'&gt;"&amp;ROUND(DF47*100,2)&amp;" %&lt;/text&gt;","")</f>
        <v/>
      </c>
      <c r="DH47" s="58">
        <f>7*$CU$19</f>
        <v/>
      </c>
      <c r="DI47" s="58">
        <f>IF(7&lt;=$CU$21,"&lt;line x1='90' y1='"&amp;SUBSTITUTE(ROUND(574-DH47*$CU$23,1),",",".")&amp;"' x2='650' y2='"&amp;SUBSTITUTE(ROUND(574-DH47*$CU$23,1),",",".")&amp;"' stroke='#FFFFFF'/&gt;&lt;text x='84' y='"&amp;SUBSTITUTE(ROUND(574-DH47*$CU$23+3,1),",",".")&amp;"' text-anchor='end'&gt;"&amp;ROUND(DH47*100,2)&amp;" %&lt;/text&gt;","")</f>
        <v/>
      </c>
    </row>
    <row r="48">
      <c r="A48" s="58" t="n">
        <v>9</v>
      </c>
      <c r="B48" s="58">
        <f>IF($A48&lt;=nVariables,SUBSTITUTE(SUBSTITUTE(SUBSTITUTE(SUBSTITUTE(SUBSTITUTE(SUBSTITUTE(SUBSTITUTE(TRIM(CLEAN(IF(LEN(TRIM(M!$B18))&gt;46,LEFT(TRIM(M!$B18),45)&amp;"…",TRIM(M!$B18)))),"&amp;","&amp;amp;"),"&lt;","&amp;lt;"),"&gt;","&amp;gt;"),CHAR(34),"&amp;quot;"),CHAR(10)," "),CHAR(9)," "),CHAR(13)," "),"")</f>
        <v/>
      </c>
      <c r="C48" s="58">
        <f>IF($A48&lt;=nVariables,$A48&amp;". "&amp;B48,"")</f>
        <v/>
      </c>
      <c r="D48" s="58">
        <f>IF($A48&lt;=nVariables,IF(TRIM(M!$C18)&lt;&gt;"",TRIM(M!$C18),IF(LEN(TRIM(M!$B18))&gt;24,LEFT(TRIM(M!$B18),23)&amp;"…",TRIM(M!$B18))),"")</f>
        <v/>
      </c>
      <c r="E48" s="58">
        <f>IF($A48&lt;=nVariables,TRIM('Árbol de Problemas'!$F27),"")</f>
        <v/>
      </c>
      <c r="H48" s="58" t="n">
        <v>9</v>
      </c>
      <c r="I48" s="58">
        <f>IF(AND($I$4=1,H48&lt;=nVariables),1,0)</f>
        <v/>
      </c>
      <c r="J48" s="58">
        <f>IF(I48=1,'M1'!$F18,"")</f>
        <v/>
      </c>
      <c r="K48" s="58">
        <f>IF(I48=1,'M1'!$E18,"")</f>
        <v/>
      </c>
      <c r="L48" s="58">
        <f>IF(I48=1,90+J48*$I$22,"")</f>
        <v/>
      </c>
      <c r="M48" s="58">
        <f>IF(I48=1,574-K48*$I$23,"")</f>
        <v/>
      </c>
      <c r="N48" s="58">
        <f>IF(I48=1,'M1'!$I18,"")</f>
        <v/>
      </c>
      <c r="O48" s="58">
        <f>IF(I48=1,IF(N48="Motriz","#2A3439",IF(N48="Enlace","#6699CC",IF(N48="Resultado","#FFFFFF","#F5F5F5"))),"")</f>
        <v/>
      </c>
      <c r="P48" s="58">
        <f>IF(I48=1,IF(SUMPRODUCT((J$39:J47=J48)*(K$39:K47=K48))=0,1,0),0)</f>
        <v/>
      </c>
      <c r="Q48" s="58">
        <f>IF(P48=1,9&amp;IF(AND(J49=J48,K49=K48),","&amp;10,"")&amp;IF(AND(J50=J48,K50=K48),","&amp;11,"")&amp;IF(AND(J51=J48,K51=K48),","&amp;12,"")&amp;IF(AND(J52=J48,K52=K48),","&amp;13,"")&amp;IF(AND(J53=J48,K53=K48),","&amp;14,"")&amp;IF(AND(J54=J48,K54=K48),","&amp;15,"")&amp;IF(AND(J55=J48,K55=K48),","&amp;16,"")&amp;IF(AND(J56=J48,K56=K48),","&amp;17,"")&amp;IF(AND(J57=J48,K57=K48),","&amp;18,"")&amp;IF(AND(J58=J48,K58=K48),","&amp;19,"")&amp;IF(AND(J59=J48,K59=K48),","&amp;20,"")&amp;IF(AND(J60=J48,K60=K48),","&amp;21,"")&amp;IF(AND(J61=J48,K61=K48),","&amp;22,"")&amp;IF(AND(J62=J48,K62=K48),","&amp;23,"")&amp;IF(AND(J63=J48,K63=K48),","&amp;24,"")&amp;IF(AND(J64=J48,K64=K48),","&amp;25,"")&amp;IF(AND(J65=J48,K65=K48),","&amp;26,"")&amp;IF(AND(J66=J48,K66=K48),","&amp;27,"")&amp;IF(AND(J67=J48,K67=K48),","&amp;28,"")&amp;IF(AND(J68=J48,K68=K48),","&amp;29,"")&amp;IF(AND(J69=J48,K69=K48),","&amp;30,"")&amp;IF(AND(J70=J48,K70=K48),","&amp;31,"")&amp;IF(AND(J71=J48,K71=K48),","&amp;32,"")&amp;IF(AND(J72=J48,K72=K48),","&amp;33,"")&amp;IF(AND(J73=J48,K73=K48),","&amp;34,"")&amp;IF(AND(J74=J48,K74=K48),","&amp;35,"")&amp;IF(AND(J75=J48,K75=K48),","&amp;36,"")&amp;IF(AND(J76=J48,K76=K48),","&amp;37,"")&amp;IF(AND(J77=J48,K77=K48),","&amp;38,"")&amp;IF(AND(J78=J48,K78=K48),","&amp;39,"")&amp;IF(AND(J79=J48,K79=K48),","&amp;40,""),"")</f>
        <v/>
      </c>
      <c r="R48" s="58">
        <f>IF(P48=1,IF(N48="Motriz","&lt;circle cx='"&amp;SUBSTITUTE(ROUND(L48,1),",",".")&amp;"' cy='"&amp;SUBSTITUTE(ROUND(M48,1),",",".")&amp;"' r='6' fill='#2A3439' stroke='#2A3439' stroke-width='1.3'/&gt;",IF(N48="Enlace","&lt;rect x='"&amp;SUBSTITUTE(ROUND((L48)-5.52,1),",",".")&amp;"' y='"&amp;SUBSTITUTE(ROUND((M48)-5.52,1),",",".")&amp;"' width='11.04' height='11.04' fill='#6699CC' stroke='#2A3439' stroke-width='1.3'/&gt;",IF(N48="Resultado","&lt;path d='M"&amp;SUBSTITUTE(ROUND(L48,1),",",".")&amp;" "&amp;SUBSTITUTE(ROUND((M48)-6.9,1),",",".")&amp;"L"&amp;SUBSTITUTE(ROUND((L48)+6.3,1),",",".")&amp;" "&amp;SUBSTITUTE(ROUND((M48)+5.1,1),",",".")&amp;"L"&amp;SUBSTITUTE(ROUND((L48)-6.3,1),",",".")&amp;" "&amp;SUBSTITUTE(ROUND((M48)+5.1,1),",",".")&amp;"Z' fill='#FFFFFF' stroke='#2A3439' stroke-width='1.3'/&gt;","&lt;path d='M"&amp;SUBSTITUTE(ROUND(L48,1),",",".")&amp;" "&amp;SUBSTITUTE(ROUND((M48)-7.5,1),",",".")&amp;"L"&amp;SUBSTITUTE(ROUND((L48)+7.5,1),",",".")&amp;" "&amp;SUBSTITUTE(ROUND(M48,1),",",".")&amp;"L"&amp;SUBSTITUTE(ROUND(L48,1),",",".")&amp;" "&amp;SUBSTITUTE(ROUND((M48)+7.5,1),",",".")&amp;"L"&amp;SUBSTITUTE(ROUND((L48)-7.5,1),",",".")&amp;" "&amp;SUBSTITUTE(ROUND(M48,1),",",".")&amp;"Z' fill='#F5F5F5' stroke='#2A3439' stroke-width='1.3'/&gt;")))&amp;"&lt;text x='"&amp;SUBSTITUTE(ROUND(L48+9,1),",",".")&amp;"' y='"&amp;SUBSTITUTE(ROUND(M48-8,1),",",".")&amp;"'&gt;"&amp;Q48&amp;"&lt;/text&gt;","")</f>
        <v/>
      </c>
      <c r="S48" s="58">
        <f>IF(I48=1,IF(N48="Motriz","&lt;circle cx='"&amp;SUBSTITUTE(ROUND(728,1),",",".")&amp;"' cy='"&amp;SUBSTITUTE(ROUND(233.6,1),",",".")&amp;"' r='4.3' fill='#2A3439' stroke='#2A3439' stroke-width='1.3'/&gt;",IF(N48="Enlace","&lt;rect x='"&amp;SUBSTITUTE(ROUND((728)-3.96,1),",",".")&amp;"' y='"&amp;SUBSTITUTE(ROUND((233.6)-3.96,1),",",".")&amp;"' width='7.92' height='7.92' fill='#6699CC' stroke='#2A3439' stroke-width='1.3'/&gt;",IF(N48="Resultado","&lt;path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T48" s="58">
        <f>8*$I$14</f>
        <v/>
      </c>
      <c r="U48" s="58">
        <f>IF(8&lt;=$I$16,"&lt;line x1='"&amp;SUBSTITUTE(ROUND(90+T48*$I$22,1),",",".")&amp;"' y1='84' x2='"&amp;SUBSTITUTE(ROUND(90+T48*$I$22,1),",",".")&amp;"' y2='574' stroke='#FFFFFF'/&gt;&lt;text x='"&amp;SUBSTITUTE(ROUND(90+T48*$I$22,1),",",".")&amp;"' y='590' text-anchor='middle'&gt;"&amp;ROUND(T48*100,2)&amp;" %&lt;/text&gt;","")</f>
        <v/>
      </c>
      <c r="V48" s="58">
        <f>8*$I$19</f>
        <v/>
      </c>
      <c r="W48" s="58">
        <f>IF(8&lt;=$I$21,"&lt;line x1='90' y1='"&amp;SUBSTITUTE(ROUND(574-V48*$I$23,1),",",".")&amp;"' x2='650' y2='"&amp;SUBSTITUTE(ROUND(574-V48*$I$23,1),",",".")&amp;"' stroke='#FFFFFF'/&gt;&lt;text x='84' y='"&amp;SUBSTITUTE(ROUND(574-V48*$I$23+3,1),",",".")&amp;"' text-anchor='end'&gt;"&amp;ROUND(V48*100,2)&amp;" %&lt;/text&gt;","")</f>
        <v/>
      </c>
      <c r="Z48" s="58" t="n">
        <v>9</v>
      </c>
      <c r="AA48" s="58">
        <f>IF(AND($AA$4=1,Z48&lt;=nVariables),1,0)</f>
        <v/>
      </c>
      <c r="AB48" s="58">
        <f>IF(AA48=1,'M2'!$F18,"")</f>
        <v/>
      </c>
      <c r="AC48" s="58">
        <f>IF(AA48=1,'M2'!$E18,"")</f>
        <v/>
      </c>
      <c r="AD48" s="58">
        <f>IF(AA48=1,90+AB48*$AA$22,"")</f>
        <v/>
      </c>
      <c r="AE48" s="58">
        <f>IF(AA48=1,574-AC48*$AA$23,"")</f>
        <v/>
      </c>
      <c r="AF48" s="58">
        <f>IF(AA48=1,'M2'!$I18,"")</f>
        <v/>
      </c>
      <c r="AG48" s="58">
        <f>IF(AA48=1,IF(AF48="Motriz","#2A3439",IF(AF48="Enlace","#6699CC",IF(AF48="Resultado","#FFFFFF","#F5F5F5"))),"")</f>
        <v/>
      </c>
      <c r="AH48" s="58">
        <f>IF(AA48=1,IF(SUMPRODUCT((AB$39:AB47=AB48)*(AC$39:AC47=AC48))=0,1,0),0)</f>
        <v/>
      </c>
      <c r="AI48" s="58">
        <f>IF(AH48=1,9&amp;IF(AND(AB49=AB48,AC49=AC48),","&amp;10,"")&amp;IF(AND(AB50=AB48,AC50=AC48),","&amp;11,"")&amp;IF(AND(AB51=AB48,AC51=AC48),","&amp;12,"")&amp;IF(AND(AB52=AB48,AC52=AC48),","&amp;13,"")&amp;IF(AND(AB53=AB48,AC53=AC48),","&amp;14,"")&amp;IF(AND(AB54=AB48,AC54=AC48),","&amp;15,"")&amp;IF(AND(AB55=AB48,AC55=AC48),","&amp;16,"")&amp;IF(AND(AB56=AB48,AC56=AC48),","&amp;17,"")&amp;IF(AND(AB57=AB48,AC57=AC48),","&amp;18,"")&amp;IF(AND(AB58=AB48,AC58=AC48),","&amp;19,"")&amp;IF(AND(AB59=AB48,AC59=AC48),","&amp;20,"")&amp;IF(AND(AB60=AB48,AC60=AC48),","&amp;21,"")&amp;IF(AND(AB61=AB48,AC61=AC48),","&amp;22,"")&amp;IF(AND(AB62=AB48,AC62=AC48),","&amp;23,"")&amp;IF(AND(AB63=AB48,AC63=AC48),","&amp;24,"")&amp;IF(AND(AB64=AB48,AC64=AC48),","&amp;25,"")&amp;IF(AND(AB65=AB48,AC65=AC48),","&amp;26,"")&amp;IF(AND(AB66=AB48,AC66=AC48),","&amp;27,"")&amp;IF(AND(AB67=AB48,AC67=AC48),","&amp;28,"")&amp;IF(AND(AB68=AB48,AC68=AC48),","&amp;29,"")&amp;IF(AND(AB69=AB48,AC69=AC48),","&amp;30,"")&amp;IF(AND(AB70=AB48,AC70=AC48),","&amp;31,"")&amp;IF(AND(AB71=AB48,AC71=AC48),","&amp;32,"")&amp;IF(AND(AB72=AB48,AC72=AC48),","&amp;33,"")&amp;IF(AND(AB73=AB48,AC73=AC48),","&amp;34,"")&amp;IF(AND(AB74=AB48,AC74=AC48),","&amp;35,"")&amp;IF(AND(AB75=AB48,AC75=AC48),","&amp;36,"")&amp;IF(AND(AB76=AB48,AC76=AC48),","&amp;37,"")&amp;IF(AND(AB77=AB48,AC77=AC48),","&amp;38,"")&amp;IF(AND(AB78=AB48,AC78=AC48),","&amp;39,"")&amp;IF(AND(AB79=AB48,AC79=AC48),","&amp;40,""),"")</f>
        <v/>
      </c>
      <c r="AJ48" s="58">
        <f>IF(AH48=1,IF(AF48="Motriz","&lt;circle cx='"&amp;SUBSTITUTE(ROUND(AD48,1),",",".")&amp;"' cy='"&amp;SUBSTITUTE(ROUND(AE48,1),",",".")&amp;"' r='6' fill='#2A3439' stroke='#2A3439' stroke-width='1.3'/&gt;",IF(AF48="Enlace","&lt;rect x='"&amp;SUBSTITUTE(ROUND((AD48)-5.52,1),",",".")&amp;"' y='"&amp;SUBSTITUTE(ROUND((AE48)-5.52,1),",",".")&amp;"' width='11.04' height='11.04' fill='#6699CC' stroke='#2A3439' stroke-width='1.3'/&gt;",IF(AF48="Resultado","&lt;path d='M"&amp;SUBSTITUTE(ROUND(AD48,1),",",".")&amp;" "&amp;SUBSTITUTE(ROUND((AE48)-6.9,1),",",".")&amp;"L"&amp;SUBSTITUTE(ROUND((AD48)+6.3,1),",",".")&amp;" "&amp;SUBSTITUTE(ROUND((AE48)+5.1,1),",",".")&amp;"L"&amp;SUBSTITUTE(ROUND((AD48)-6.3,1),",",".")&amp;" "&amp;SUBSTITUTE(ROUND((AE48)+5.1,1),",",".")&amp;"Z' fill='#FFFFFF' stroke='#2A3439' stroke-width='1.3'/&gt;","&lt;path d='M"&amp;SUBSTITUTE(ROUND(AD48,1),",",".")&amp;" "&amp;SUBSTITUTE(ROUND((AE48)-7.5,1),",",".")&amp;"L"&amp;SUBSTITUTE(ROUND((AD48)+7.5,1),",",".")&amp;" "&amp;SUBSTITUTE(ROUND(AE48,1),",",".")&amp;"L"&amp;SUBSTITUTE(ROUND(AD48,1),",",".")&amp;" "&amp;SUBSTITUTE(ROUND((AE48)+7.5,1),",",".")&amp;"L"&amp;SUBSTITUTE(ROUND((AD48)-7.5,1),",",".")&amp;" "&amp;SUBSTITUTE(ROUND(AE48,1),",",".")&amp;"Z' fill='#F5F5F5' stroke='#2A3439' stroke-width='1.3'/&gt;")))&amp;"&lt;text x='"&amp;SUBSTITUTE(ROUND(AD48+9,1),",",".")&amp;"' y='"&amp;SUBSTITUTE(ROUND(AE48-8,1),",",".")&amp;"'&gt;"&amp;AI48&amp;"&lt;/text&gt;","")</f>
        <v/>
      </c>
      <c r="AK48" s="58">
        <f>IF(AA48=1,IF(AF48="Motriz","&lt;circle cx='"&amp;SUBSTITUTE(ROUND(728,1),",",".")&amp;"' cy='"&amp;SUBSTITUTE(ROUND(233.6,1),",",".")&amp;"' r='4.3' fill='#2A3439' stroke='#2A3439' stroke-width='1.3'/&gt;",IF(AF48="Enlace","&lt;rect x='"&amp;SUBSTITUTE(ROUND((728)-3.96,1),",",".")&amp;"' y='"&amp;SUBSTITUTE(ROUND((233.6)-3.96,1),",",".")&amp;"' width='7.92' height='7.92' fill='#6699CC' stroke='#2A3439' stroke-width='1.3'/&gt;",IF(AF48="Resultado","&lt;path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AL48" s="58">
        <f>8*$AA$14</f>
        <v/>
      </c>
      <c r="AM48" s="58">
        <f>IF(8&lt;=$AA$16,"&lt;line x1='"&amp;SUBSTITUTE(ROUND(90+AL48*$AA$22,1),",",".")&amp;"' y1='84' x2='"&amp;SUBSTITUTE(ROUND(90+AL48*$AA$22,1),",",".")&amp;"' y2='574' stroke='#FFFFFF'/&gt;&lt;text x='"&amp;SUBSTITUTE(ROUND(90+AL48*$AA$22,1),",",".")&amp;"' y='590' text-anchor='middle'&gt;"&amp;ROUND(AL48*100,2)&amp;" %&lt;/text&gt;","")</f>
        <v/>
      </c>
      <c r="AN48" s="58">
        <f>8*$AA$19</f>
        <v/>
      </c>
      <c r="AO48" s="58">
        <f>IF(8&lt;=$AA$21,"&lt;line x1='90' y1='"&amp;SUBSTITUTE(ROUND(574-AN48*$AA$23,1),",",".")&amp;"' x2='650' y2='"&amp;SUBSTITUTE(ROUND(574-AN48*$AA$23,1),",",".")&amp;"' stroke='#FFFFFF'/&gt;&lt;text x='84' y='"&amp;SUBSTITUTE(ROUND(574-AN48*$AA$23+3,1),",",".")&amp;"' text-anchor='end'&gt;"&amp;ROUND(AN48*100,2)&amp;" %&lt;/text&gt;","")</f>
        <v/>
      </c>
      <c r="AR48" s="58" t="n">
        <v>9</v>
      </c>
      <c r="AS48" s="58">
        <f>IF(AND($AS$4=1,AR48&lt;=nVariables),1,0)</f>
        <v/>
      </c>
      <c r="AT48" s="58">
        <f>IF(AS48=1,'M3'!$F18,"")</f>
        <v/>
      </c>
      <c r="AU48" s="58">
        <f>IF(AS48=1,'M3'!$E18,"")</f>
        <v/>
      </c>
      <c r="AV48" s="58">
        <f>IF(AS48=1,90+AT48*$AS$22,"")</f>
        <v/>
      </c>
      <c r="AW48" s="58">
        <f>IF(AS48=1,574-AU48*$AS$23,"")</f>
        <v/>
      </c>
      <c r="AX48" s="58">
        <f>IF(AS48=1,'M3'!$I18,"")</f>
        <v/>
      </c>
      <c r="AY48" s="58">
        <f>IF(AS48=1,IF(AX48="Motriz","#2A3439",IF(AX48="Enlace","#6699CC",IF(AX48="Resultado","#FFFFFF","#F5F5F5"))),"")</f>
        <v/>
      </c>
      <c r="AZ48" s="58">
        <f>IF(AS48=1,IF(SUMPRODUCT((AT$39:AT47=AT48)*(AU$39:AU47=AU48))=0,1,0),0)</f>
        <v/>
      </c>
      <c r="BA48" s="58">
        <f>IF(AZ48=1,9&amp;IF(AND(AT49=AT48,AU49=AU48),","&amp;10,"")&amp;IF(AND(AT50=AT48,AU50=AU48),","&amp;11,"")&amp;IF(AND(AT51=AT48,AU51=AU48),","&amp;12,"")&amp;IF(AND(AT52=AT48,AU52=AU48),","&amp;13,"")&amp;IF(AND(AT53=AT48,AU53=AU48),","&amp;14,"")&amp;IF(AND(AT54=AT48,AU54=AU48),","&amp;15,"")&amp;IF(AND(AT55=AT48,AU55=AU48),","&amp;16,"")&amp;IF(AND(AT56=AT48,AU56=AU48),","&amp;17,"")&amp;IF(AND(AT57=AT48,AU57=AU48),","&amp;18,"")&amp;IF(AND(AT58=AT48,AU58=AU48),","&amp;19,"")&amp;IF(AND(AT59=AT48,AU59=AU48),","&amp;20,"")&amp;IF(AND(AT60=AT48,AU60=AU48),","&amp;21,"")&amp;IF(AND(AT61=AT48,AU61=AU48),","&amp;22,"")&amp;IF(AND(AT62=AT48,AU62=AU48),","&amp;23,"")&amp;IF(AND(AT63=AT48,AU63=AU48),","&amp;24,"")&amp;IF(AND(AT64=AT48,AU64=AU48),","&amp;25,"")&amp;IF(AND(AT65=AT48,AU65=AU48),","&amp;26,"")&amp;IF(AND(AT66=AT48,AU66=AU48),","&amp;27,"")&amp;IF(AND(AT67=AT48,AU67=AU48),","&amp;28,"")&amp;IF(AND(AT68=AT48,AU68=AU48),","&amp;29,"")&amp;IF(AND(AT69=AT48,AU69=AU48),","&amp;30,"")&amp;IF(AND(AT70=AT48,AU70=AU48),","&amp;31,"")&amp;IF(AND(AT71=AT48,AU71=AU48),","&amp;32,"")&amp;IF(AND(AT72=AT48,AU72=AU48),","&amp;33,"")&amp;IF(AND(AT73=AT48,AU73=AU48),","&amp;34,"")&amp;IF(AND(AT74=AT48,AU74=AU48),","&amp;35,"")&amp;IF(AND(AT75=AT48,AU75=AU48),","&amp;36,"")&amp;IF(AND(AT76=AT48,AU76=AU48),","&amp;37,"")&amp;IF(AND(AT77=AT48,AU77=AU48),","&amp;38,"")&amp;IF(AND(AT78=AT48,AU78=AU48),","&amp;39,"")&amp;IF(AND(AT79=AT48,AU79=AU48),","&amp;40,""),"")</f>
        <v/>
      </c>
      <c r="BB48" s="58">
        <f>IF(AZ48=1,IF(AX48="Motriz","&lt;circle cx='"&amp;SUBSTITUTE(ROUND(AV48,1),",",".")&amp;"' cy='"&amp;SUBSTITUTE(ROUND(AW48,1),",",".")&amp;"' r='6' fill='#2A3439' stroke='#2A3439' stroke-width='1.3'/&gt;",IF(AX48="Enlace","&lt;rect x='"&amp;SUBSTITUTE(ROUND((AV48)-5.52,1),",",".")&amp;"' y='"&amp;SUBSTITUTE(ROUND((AW48)-5.52,1),",",".")&amp;"' width='11.04' height='11.04' fill='#6699CC' stroke='#2A3439' stroke-width='1.3'/&gt;",IF(AX48="Resultado","&lt;path d='M"&amp;SUBSTITUTE(ROUND(AV48,1),",",".")&amp;" "&amp;SUBSTITUTE(ROUND((AW48)-6.9,1),",",".")&amp;"L"&amp;SUBSTITUTE(ROUND((AV48)+6.3,1),",",".")&amp;" "&amp;SUBSTITUTE(ROUND((AW48)+5.1,1),",",".")&amp;"L"&amp;SUBSTITUTE(ROUND((AV48)-6.3,1),",",".")&amp;" "&amp;SUBSTITUTE(ROUND((AW48)+5.1,1),",",".")&amp;"Z' fill='#FFFFFF' stroke='#2A3439' stroke-width='1.3'/&gt;","&lt;path d='M"&amp;SUBSTITUTE(ROUND(AV48,1),",",".")&amp;" "&amp;SUBSTITUTE(ROUND((AW48)-7.5,1),",",".")&amp;"L"&amp;SUBSTITUTE(ROUND((AV48)+7.5,1),",",".")&amp;" "&amp;SUBSTITUTE(ROUND(AW48,1),",",".")&amp;"L"&amp;SUBSTITUTE(ROUND(AV48,1),",",".")&amp;" "&amp;SUBSTITUTE(ROUND((AW48)+7.5,1),",",".")&amp;"L"&amp;SUBSTITUTE(ROUND((AV48)-7.5,1),",",".")&amp;" "&amp;SUBSTITUTE(ROUND(AW48,1),",",".")&amp;"Z' fill='#F5F5F5' stroke='#2A3439' stroke-width='1.3'/&gt;")))&amp;"&lt;text x='"&amp;SUBSTITUTE(ROUND(AV48+9,1),",",".")&amp;"' y='"&amp;SUBSTITUTE(ROUND(AW48-8,1),",",".")&amp;"'&gt;"&amp;BA48&amp;"&lt;/text&gt;","")</f>
        <v/>
      </c>
      <c r="BC48" s="58">
        <f>IF(AS48=1,IF(AX48="Motriz","&lt;circle cx='"&amp;SUBSTITUTE(ROUND(728,1),",",".")&amp;"' cy='"&amp;SUBSTITUTE(ROUND(233.6,1),",",".")&amp;"' r='4.3' fill='#2A3439' stroke='#2A3439' stroke-width='1.3'/&gt;",IF(AX48="Enlace","&lt;rect x='"&amp;SUBSTITUTE(ROUND((728)-3.96,1),",",".")&amp;"' y='"&amp;SUBSTITUTE(ROUND((233.6)-3.96,1),",",".")&amp;"' width='7.92' height='7.92' fill='#6699CC' stroke='#2A3439' stroke-width='1.3'/&gt;",IF(AX48="Resultado","&lt;path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BD48" s="58">
        <f>8*$AS$14</f>
        <v/>
      </c>
      <c r="BE48" s="58">
        <f>IF(8&lt;=$AS$16,"&lt;line x1='"&amp;SUBSTITUTE(ROUND(90+BD48*$AS$22,1),",",".")&amp;"' y1='84' x2='"&amp;SUBSTITUTE(ROUND(90+BD48*$AS$22,1),",",".")&amp;"' y2='574' stroke='#FFFFFF'/&gt;&lt;text x='"&amp;SUBSTITUTE(ROUND(90+BD48*$AS$22,1),",",".")&amp;"' y='590' text-anchor='middle'&gt;"&amp;ROUND(BD48*100,2)&amp;" %&lt;/text&gt;","")</f>
        <v/>
      </c>
      <c r="BF48" s="58">
        <f>8*$AS$19</f>
        <v/>
      </c>
      <c r="BG48" s="58">
        <f>IF(8&lt;=$AS$21,"&lt;line x1='90' y1='"&amp;SUBSTITUTE(ROUND(574-BF48*$AS$23,1),",",".")&amp;"' x2='650' y2='"&amp;SUBSTITUTE(ROUND(574-BF48*$AS$23,1),",",".")&amp;"' stroke='#FFFFFF'/&gt;&lt;text x='84' y='"&amp;SUBSTITUTE(ROUND(574-BF48*$AS$23+3,1),",",".")&amp;"' text-anchor='end'&gt;"&amp;ROUND(BF48*100,2)&amp;" %&lt;/text&gt;","")</f>
        <v/>
      </c>
      <c r="BJ48" s="58" t="n">
        <v>9</v>
      </c>
      <c r="BK48" s="58">
        <f>IF(AND($BK$4=1,BJ48&lt;=nVariables),1,0)</f>
        <v/>
      </c>
      <c r="BL48" s="58">
        <f>IF(BK48=1,'M4'!$F18,"")</f>
        <v/>
      </c>
      <c r="BM48" s="58">
        <f>IF(BK48=1,'M4'!$E18,"")</f>
        <v/>
      </c>
      <c r="BN48" s="58">
        <f>IF(BK48=1,90+BL48*$BK$22,"")</f>
        <v/>
      </c>
      <c r="BO48" s="58">
        <f>IF(BK48=1,574-BM48*$BK$23,"")</f>
        <v/>
      </c>
      <c r="BP48" s="58">
        <f>IF(BK48=1,'M4'!$I18,"")</f>
        <v/>
      </c>
      <c r="BQ48" s="58">
        <f>IF(BK48=1,IF(BP48="Motriz","#2A3439",IF(BP48="Enlace","#6699CC",IF(BP48="Resultado","#FFFFFF","#F5F5F5"))),"")</f>
        <v/>
      </c>
      <c r="BR48" s="58">
        <f>IF(BK48=1,IF(SUMPRODUCT((BL$39:BL47=BL48)*(BM$39:BM47=BM48))=0,1,0),0)</f>
        <v/>
      </c>
      <c r="BS48" s="58">
        <f>IF(BR48=1,9&amp;IF(AND(BL49=BL48,BM49=BM48),","&amp;10,"")&amp;IF(AND(BL50=BL48,BM50=BM48),","&amp;11,"")&amp;IF(AND(BL51=BL48,BM51=BM48),","&amp;12,"")&amp;IF(AND(BL52=BL48,BM52=BM48),","&amp;13,"")&amp;IF(AND(BL53=BL48,BM53=BM48),","&amp;14,"")&amp;IF(AND(BL54=BL48,BM54=BM48),","&amp;15,"")&amp;IF(AND(BL55=BL48,BM55=BM48),","&amp;16,"")&amp;IF(AND(BL56=BL48,BM56=BM48),","&amp;17,"")&amp;IF(AND(BL57=BL48,BM57=BM48),","&amp;18,"")&amp;IF(AND(BL58=BL48,BM58=BM48),","&amp;19,"")&amp;IF(AND(BL59=BL48,BM59=BM48),","&amp;20,"")&amp;IF(AND(BL60=BL48,BM60=BM48),","&amp;21,"")&amp;IF(AND(BL61=BL48,BM61=BM48),","&amp;22,"")&amp;IF(AND(BL62=BL48,BM62=BM48),","&amp;23,"")&amp;IF(AND(BL63=BL48,BM63=BM48),","&amp;24,"")&amp;IF(AND(BL64=BL48,BM64=BM48),","&amp;25,"")&amp;IF(AND(BL65=BL48,BM65=BM48),","&amp;26,"")&amp;IF(AND(BL66=BL48,BM66=BM48),","&amp;27,"")&amp;IF(AND(BL67=BL48,BM67=BM48),","&amp;28,"")&amp;IF(AND(BL68=BL48,BM68=BM48),","&amp;29,"")&amp;IF(AND(BL69=BL48,BM69=BM48),","&amp;30,"")&amp;IF(AND(BL70=BL48,BM70=BM48),","&amp;31,"")&amp;IF(AND(BL71=BL48,BM71=BM48),","&amp;32,"")&amp;IF(AND(BL72=BL48,BM72=BM48),","&amp;33,"")&amp;IF(AND(BL73=BL48,BM73=BM48),","&amp;34,"")&amp;IF(AND(BL74=BL48,BM74=BM48),","&amp;35,"")&amp;IF(AND(BL75=BL48,BM75=BM48),","&amp;36,"")&amp;IF(AND(BL76=BL48,BM76=BM48),","&amp;37,"")&amp;IF(AND(BL77=BL48,BM77=BM48),","&amp;38,"")&amp;IF(AND(BL78=BL48,BM78=BM48),","&amp;39,"")&amp;IF(AND(BL79=BL48,BM79=BM48),","&amp;40,""),"")</f>
        <v/>
      </c>
      <c r="BT48" s="58">
        <f>IF(BR48=1,IF(BP48="Motriz","&lt;circle cx='"&amp;SUBSTITUTE(ROUND(BN48,1),",",".")&amp;"' cy='"&amp;SUBSTITUTE(ROUND(BO48,1),",",".")&amp;"' r='6' fill='#2A3439' stroke='#2A3439' stroke-width='1.3'/&gt;",IF(BP48="Enlace","&lt;rect x='"&amp;SUBSTITUTE(ROUND((BN48)-5.52,1),",",".")&amp;"' y='"&amp;SUBSTITUTE(ROUND((BO48)-5.52,1),",",".")&amp;"' width='11.04' height='11.04' fill='#6699CC' stroke='#2A3439' stroke-width='1.3'/&gt;",IF(BP48="Resultado","&lt;path d='M"&amp;SUBSTITUTE(ROUND(BN48,1),",",".")&amp;" "&amp;SUBSTITUTE(ROUND((BO48)-6.9,1),",",".")&amp;"L"&amp;SUBSTITUTE(ROUND((BN48)+6.3,1),",",".")&amp;" "&amp;SUBSTITUTE(ROUND((BO48)+5.1,1),",",".")&amp;"L"&amp;SUBSTITUTE(ROUND((BN48)-6.3,1),",",".")&amp;" "&amp;SUBSTITUTE(ROUND((BO48)+5.1,1),",",".")&amp;"Z' fill='#FFFFFF' stroke='#2A3439' stroke-width='1.3'/&gt;","&lt;path d='M"&amp;SUBSTITUTE(ROUND(BN48,1),",",".")&amp;" "&amp;SUBSTITUTE(ROUND((BO48)-7.5,1),",",".")&amp;"L"&amp;SUBSTITUTE(ROUND((BN48)+7.5,1),",",".")&amp;" "&amp;SUBSTITUTE(ROUND(BO48,1),",",".")&amp;"L"&amp;SUBSTITUTE(ROUND(BN48,1),",",".")&amp;" "&amp;SUBSTITUTE(ROUND((BO48)+7.5,1),",",".")&amp;"L"&amp;SUBSTITUTE(ROUND((BN48)-7.5,1),",",".")&amp;" "&amp;SUBSTITUTE(ROUND(BO48,1),",",".")&amp;"Z' fill='#F5F5F5' stroke='#2A3439' stroke-width='1.3'/&gt;")))&amp;"&lt;text x='"&amp;SUBSTITUTE(ROUND(BN48+9,1),",",".")&amp;"' y='"&amp;SUBSTITUTE(ROUND(BO48-8,1),",",".")&amp;"'&gt;"&amp;BS48&amp;"&lt;/text&gt;","")</f>
        <v/>
      </c>
      <c r="BU48" s="58">
        <f>IF(BK48=1,IF(BP48="Motriz","&lt;circle cx='"&amp;SUBSTITUTE(ROUND(728,1),",",".")&amp;"' cy='"&amp;SUBSTITUTE(ROUND(233.6,1),",",".")&amp;"' r='4.3' fill='#2A3439' stroke='#2A3439' stroke-width='1.3'/&gt;",IF(BP48="Enlace","&lt;rect x='"&amp;SUBSTITUTE(ROUND((728)-3.96,1),",",".")&amp;"' y='"&amp;SUBSTITUTE(ROUND((233.6)-3.96,1),",",".")&amp;"' width='7.92' height='7.92' fill='#6699CC' stroke='#2A3439' stroke-width='1.3'/&gt;",IF(BP48="Resultado","&lt;path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BV48" s="58">
        <f>8*$BK$14</f>
        <v/>
      </c>
      <c r="BW48" s="58">
        <f>IF(8&lt;=$BK$16,"&lt;line x1='"&amp;SUBSTITUTE(ROUND(90+BV48*$BK$22,1),",",".")&amp;"' y1='84' x2='"&amp;SUBSTITUTE(ROUND(90+BV48*$BK$22,1),",",".")&amp;"' y2='574' stroke='#FFFFFF'/&gt;&lt;text x='"&amp;SUBSTITUTE(ROUND(90+BV48*$BK$22,1),",",".")&amp;"' y='590' text-anchor='middle'&gt;"&amp;ROUND(BV48*100,2)&amp;" %&lt;/text&gt;","")</f>
        <v/>
      </c>
      <c r="BX48" s="58">
        <f>8*$BK$19</f>
        <v/>
      </c>
      <c r="BY48" s="58">
        <f>IF(8&lt;=$BK$21,"&lt;line x1='90' y1='"&amp;SUBSTITUTE(ROUND(574-BX48*$BK$23,1),",",".")&amp;"' x2='650' y2='"&amp;SUBSTITUTE(ROUND(574-BX48*$BK$23,1),",",".")&amp;"' stroke='#FFFFFF'/&gt;&lt;text x='84' y='"&amp;SUBSTITUTE(ROUND(574-BX48*$BK$23+3,1),",",".")&amp;"' text-anchor='end'&gt;"&amp;ROUND(BX48*100,2)&amp;" %&lt;/text&gt;","")</f>
        <v/>
      </c>
      <c r="CB48" s="58" t="n">
        <v>9</v>
      </c>
      <c r="CC48" s="58">
        <f>IF(AND($CC$4=1,CB48&lt;=nVariables),1,0)</f>
        <v/>
      </c>
      <c r="CD48" s="58">
        <f>IF(CC48=1,'M5'!$F18,"")</f>
        <v/>
      </c>
      <c r="CE48" s="58">
        <f>IF(CC48=1,'M5'!$E18,"")</f>
        <v/>
      </c>
      <c r="CF48" s="58">
        <f>IF(CC48=1,90+CD48*$CC$22,"")</f>
        <v/>
      </c>
      <c r="CG48" s="58">
        <f>IF(CC48=1,574-CE48*$CC$23,"")</f>
        <v/>
      </c>
      <c r="CH48" s="58">
        <f>IF(CC48=1,'M5'!$I18,"")</f>
        <v/>
      </c>
      <c r="CI48" s="58">
        <f>IF(CC48=1,IF(CH48="Motriz","#2A3439",IF(CH48="Enlace","#6699CC",IF(CH48="Resultado","#FFFFFF","#F5F5F5"))),"")</f>
        <v/>
      </c>
      <c r="CJ48" s="58">
        <f>IF(CC48=1,IF(SUMPRODUCT((CD$39:CD47=CD48)*(CE$39:CE47=CE48))=0,1,0),0)</f>
        <v/>
      </c>
      <c r="CK48" s="58">
        <f>IF(CJ48=1,9&amp;IF(AND(CD49=CD48,CE49=CE48),","&amp;10,"")&amp;IF(AND(CD50=CD48,CE50=CE48),","&amp;11,"")&amp;IF(AND(CD51=CD48,CE51=CE48),","&amp;12,"")&amp;IF(AND(CD52=CD48,CE52=CE48),","&amp;13,"")&amp;IF(AND(CD53=CD48,CE53=CE48),","&amp;14,"")&amp;IF(AND(CD54=CD48,CE54=CE48),","&amp;15,"")&amp;IF(AND(CD55=CD48,CE55=CE48),","&amp;16,"")&amp;IF(AND(CD56=CD48,CE56=CE48),","&amp;17,"")&amp;IF(AND(CD57=CD48,CE57=CE48),","&amp;18,"")&amp;IF(AND(CD58=CD48,CE58=CE48),","&amp;19,"")&amp;IF(AND(CD59=CD48,CE59=CE48),","&amp;20,"")&amp;IF(AND(CD60=CD48,CE60=CE48),","&amp;21,"")&amp;IF(AND(CD61=CD48,CE61=CE48),","&amp;22,"")&amp;IF(AND(CD62=CD48,CE62=CE48),","&amp;23,"")&amp;IF(AND(CD63=CD48,CE63=CE48),","&amp;24,"")&amp;IF(AND(CD64=CD48,CE64=CE48),","&amp;25,"")&amp;IF(AND(CD65=CD48,CE65=CE48),","&amp;26,"")&amp;IF(AND(CD66=CD48,CE66=CE48),","&amp;27,"")&amp;IF(AND(CD67=CD48,CE67=CE48),","&amp;28,"")&amp;IF(AND(CD68=CD48,CE68=CE48),","&amp;29,"")&amp;IF(AND(CD69=CD48,CE69=CE48),","&amp;30,"")&amp;IF(AND(CD70=CD48,CE70=CE48),","&amp;31,"")&amp;IF(AND(CD71=CD48,CE71=CE48),","&amp;32,"")&amp;IF(AND(CD72=CD48,CE72=CE48),","&amp;33,"")&amp;IF(AND(CD73=CD48,CE73=CE48),","&amp;34,"")&amp;IF(AND(CD74=CD48,CE74=CE48),","&amp;35,"")&amp;IF(AND(CD75=CD48,CE75=CE48),","&amp;36,"")&amp;IF(AND(CD76=CD48,CE76=CE48),","&amp;37,"")&amp;IF(AND(CD77=CD48,CE77=CE48),","&amp;38,"")&amp;IF(AND(CD78=CD48,CE78=CE48),","&amp;39,"")&amp;IF(AND(CD79=CD48,CE79=CE48),","&amp;40,""),"")</f>
        <v/>
      </c>
      <c r="CL48" s="58">
        <f>IF(CJ48=1,IF(CH48="Motriz","&lt;circle cx='"&amp;SUBSTITUTE(ROUND(CF48,1),",",".")&amp;"' cy='"&amp;SUBSTITUTE(ROUND(CG48,1),",",".")&amp;"' r='6' fill='#2A3439' stroke='#2A3439' stroke-width='1.3'/&gt;",IF(CH48="Enlace","&lt;rect x='"&amp;SUBSTITUTE(ROUND((CF48)-5.52,1),",",".")&amp;"' y='"&amp;SUBSTITUTE(ROUND((CG48)-5.52,1),",",".")&amp;"' width='11.04' height='11.04' fill='#6699CC' stroke='#2A3439' stroke-width='1.3'/&gt;",IF(CH48="Resultado","&lt;path d='M"&amp;SUBSTITUTE(ROUND(CF48,1),",",".")&amp;" "&amp;SUBSTITUTE(ROUND((CG48)-6.9,1),",",".")&amp;"L"&amp;SUBSTITUTE(ROUND((CF48)+6.3,1),",",".")&amp;" "&amp;SUBSTITUTE(ROUND((CG48)+5.1,1),",",".")&amp;"L"&amp;SUBSTITUTE(ROUND((CF48)-6.3,1),",",".")&amp;" "&amp;SUBSTITUTE(ROUND((CG48)+5.1,1),",",".")&amp;"Z' fill='#FFFFFF' stroke='#2A3439' stroke-width='1.3'/&gt;","&lt;path d='M"&amp;SUBSTITUTE(ROUND(CF48,1),",",".")&amp;" "&amp;SUBSTITUTE(ROUND((CG48)-7.5,1),",",".")&amp;"L"&amp;SUBSTITUTE(ROUND((CF48)+7.5,1),",",".")&amp;" "&amp;SUBSTITUTE(ROUND(CG48,1),",",".")&amp;"L"&amp;SUBSTITUTE(ROUND(CF48,1),",",".")&amp;" "&amp;SUBSTITUTE(ROUND((CG48)+7.5,1),",",".")&amp;"L"&amp;SUBSTITUTE(ROUND((CF48)-7.5,1),",",".")&amp;" "&amp;SUBSTITUTE(ROUND(CG48,1),",",".")&amp;"Z' fill='#F5F5F5' stroke='#2A3439' stroke-width='1.3'/&gt;")))&amp;"&lt;text x='"&amp;SUBSTITUTE(ROUND(CF48+9,1),",",".")&amp;"' y='"&amp;SUBSTITUTE(ROUND(CG48-8,1),",",".")&amp;"'&gt;"&amp;CK48&amp;"&lt;/text&gt;","")</f>
        <v/>
      </c>
      <c r="CM48" s="58">
        <f>IF(CC48=1,IF(CH48="Motriz","&lt;circle cx='"&amp;SUBSTITUTE(ROUND(728,1),",",".")&amp;"' cy='"&amp;SUBSTITUTE(ROUND(233.6,1),",",".")&amp;"' r='4.3' fill='#2A3439' stroke='#2A3439' stroke-width='1.3'/&gt;",IF(CH48="Enlace","&lt;rect x='"&amp;SUBSTITUTE(ROUND((728)-3.96,1),",",".")&amp;"' y='"&amp;SUBSTITUTE(ROUND((233.6)-3.96,1),",",".")&amp;"' width='7.92' height='7.92' fill='#6699CC' stroke='#2A3439' stroke-width='1.3'/&gt;",IF(CH48="Resultado","&lt;path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CN48" s="58">
        <f>8*$CC$14</f>
        <v/>
      </c>
      <c r="CO48" s="58">
        <f>IF(8&lt;=$CC$16,"&lt;line x1='"&amp;SUBSTITUTE(ROUND(90+CN48*$CC$22,1),",",".")&amp;"' y1='84' x2='"&amp;SUBSTITUTE(ROUND(90+CN48*$CC$22,1),",",".")&amp;"' y2='574' stroke='#FFFFFF'/&gt;&lt;text x='"&amp;SUBSTITUTE(ROUND(90+CN48*$CC$22,1),",",".")&amp;"' y='590' text-anchor='middle'&gt;"&amp;ROUND(CN48*100,2)&amp;" %&lt;/text&gt;","")</f>
        <v/>
      </c>
      <c r="CP48" s="58">
        <f>8*$CC$19</f>
        <v/>
      </c>
      <c r="CQ48" s="58">
        <f>IF(8&lt;=$CC$21,"&lt;line x1='90' y1='"&amp;SUBSTITUTE(ROUND(574-CP48*$CC$23,1),",",".")&amp;"' x2='650' y2='"&amp;SUBSTITUTE(ROUND(574-CP48*$CC$23,1),",",".")&amp;"' stroke='#FFFFFF'/&gt;&lt;text x='84' y='"&amp;SUBSTITUTE(ROUND(574-CP48*$CC$23+3,1),",",".")&amp;"' text-anchor='end'&gt;"&amp;ROUND(CP48*100,2)&amp;" %&lt;/text&gt;","")</f>
        <v/>
      </c>
      <c r="CT48" s="58" t="n">
        <v>9</v>
      </c>
      <c r="CU48" s="58">
        <f>IF(AND($CU$4=1,CT48&lt;=nVariables),1,0)</f>
        <v/>
      </c>
      <c r="CV48" s="58">
        <f>IF(CU48=1,'M6'!$F18,"")</f>
        <v/>
      </c>
      <c r="CW48" s="58">
        <f>IF(CU48=1,'M6'!$E18,"")</f>
        <v/>
      </c>
      <c r="CX48" s="58">
        <f>IF(CU48=1,90+CV48*$CU$22,"")</f>
        <v/>
      </c>
      <c r="CY48" s="58">
        <f>IF(CU48=1,574-CW48*$CU$23,"")</f>
        <v/>
      </c>
      <c r="CZ48" s="58">
        <f>IF(CU48=1,'M6'!$I18,"")</f>
        <v/>
      </c>
      <c r="DA48" s="58">
        <f>IF(CU48=1,IF(CZ48="Motriz","#2A3439",IF(CZ48="Enlace","#6699CC",IF(CZ48="Resultado","#FFFFFF","#F5F5F5"))),"")</f>
        <v/>
      </c>
      <c r="DB48" s="58">
        <f>IF(CU48=1,IF(SUMPRODUCT((CV$39:CV47=CV48)*(CW$39:CW47=CW48))=0,1,0),0)</f>
        <v/>
      </c>
      <c r="DC48" s="58">
        <f>IF(DB48=1,9&amp;IF(AND(CV49=CV48,CW49=CW48),","&amp;10,"")&amp;IF(AND(CV50=CV48,CW50=CW48),","&amp;11,"")&amp;IF(AND(CV51=CV48,CW51=CW48),","&amp;12,"")&amp;IF(AND(CV52=CV48,CW52=CW48),","&amp;13,"")&amp;IF(AND(CV53=CV48,CW53=CW48),","&amp;14,"")&amp;IF(AND(CV54=CV48,CW54=CW48),","&amp;15,"")&amp;IF(AND(CV55=CV48,CW55=CW48),","&amp;16,"")&amp;IF(AND(CV56=CV48,CW56=CW48),","&amp;17,"")&amp;IF(AND(CV57=CV48,CW57=CW48),","&amp;18,"")&amp;IF(AND(CV58=CV48,CW58=CW48),","&amp;19,"")&amp;IF(AND(CV59=CV48,CW59=CW48),","&amp;20,"")&amp;IF(AND(CV60=CV48,CW60=CW48),","&amp;21,"")&amp;IF(AND(CV61=CV48,CW61=CW48),","&amp;22,"")&amp;IF(AND(CV62=CV48,CW62=CW48),","&amp;23,"")&amp;IF(AND(CV63=CV48,CW63=CW48),","&amp;24,"")&amp;IF(AND(CV64=CV48,CW64=CW48),","&amp;25,"")&amp;IF(AND(CV65=CV48,CW65=CW48),","&amp;26,"")&amp;IF(AND(CV66=CV48,CW66=CW48),","&amp;27,"")&amp;IF(AND(CV67=CV48,CW67=CW48),","&amp;28,"")&amp;IF(AND(CV68=CV48,CW68=CW48),","&amp;29,"")&amp;IF(AND(CV69=CV48,CW69=CW48),","&amp;30,"")&amp;IF(AND(CV70=CV48,CW70=CW48),","&amp;31,"")&amp;IF(AND(CV71=CV48,CW71=CW48),","&amp;32,"")&amp;IF(AND(CV72=CV48,CW72=CW48),","&amp;33,"")&amp;IF(AND(CV73=CV48,CW73=CW48),","&amp;34,"")&amp;IF(AND(CV74=CV48,CW74=CW48),","&amp;35,"")&amp;IF(AND(CV75=CV48,CW75=CW48),","&amp;36,"")&amp;IF(AND(CV76=CV48,CW76=CW48),","&amp;37,"")&amp;IF(AND(CV77=CV48,CW77=CW48),","&amp;38,"")&amp;IF(AND(CV78=CV48,CW78=CW48),","&amp;39,"")&amp;IF(AND(CV79=CV48,CW79=CW48),","&amp;40,""),"")</f>
        <v/>
      </c>
      <c r="DD48" s="58">
        <f>IF(DB48=1,IF(CZ48="Motriz","&lt;circle cx='"&amp;SUBSTITUTE(ROUND(CX48,1),",",".")&amp;"' cy='"&amp;SUBSTITUTE(ROUND(CY48,1),",",".")&amp;"' r='6' fill='#2A3439' stroke='#2A3439' stroke-width='1.3'/&gt;",IF(CZ48="Enlace","&lt;rect x='"&amp;SUBSTITUTE(ROUND((CX48)-5.52,1),",",".")&amp;"' y='"&amp;SUBSTITUTE(ROUND((CY48)-5.52,1),",",".")&amp;"' width='11.04' height='11.04' fill='#6699CC' stroke='#2A3439' stroke-width='1.3'/&gt;",IF(CZ48="Resultado","&lt;path d='M"&amp;SUBSTITUTE(ROUND(CX48,1),",",".")&amp;" "&amp;SUBSTITUTE(ROUND((CY48)-6.9,1),",",".")&amp;"L"&amp;SUBSTITUTE(ROUND((CX48)+6.3,1),",",".")&amp;" "&amp;SUBSTITUTE(ROUND((CY48)+5.1,1),",",".")&amp;"L"&amp;SUBSTITUTE(ROUND((CX48)-6.3,1),",",".")&amp;" "&amp;SUBSTITUTE(ROUND((CY48)+5.1,1),",",".")&amp;"Z' fill='#FFFFFF' stroke='#2A3439' stroke-width='1.3'/&gt;","&lt;path d='M"&amp;SUBSTITUTE(ROUND(CX48,1),",",".")&amp;" "&amp;SUBSTITUTE(ROUND((CY48)-7.5,1),",",".")&amp;"L"&amp;SUBSTITUTE(ROUND((CX48)+7.5,1),",",".")&amp;" "&amp;SUBSTITUTE(ROUND(CY48,1),",",".")&amp;"L"&amp;SUBSTITUTE(ROUND(CX48,1),",",".")&amp;" "&amp;SUBSTITUTE(ROUND((CY48)+7.5,1),",",".")&amp;"L"&amp;SUBSTITUTE(ROUND((CX48)-7.5,1),",",".")&amp;" "&amp;SUBSTITUTE(ROUND(CY48,1),",",".")&amp;"Z' fill='#F5F5F5' stroke='#2A3439' stroke-width='1.3'/&gt;")))&amp;"&lt;text x='"&amp;SUBSTITUTE(ROUND(CX48+9,1),",",".")&amp;"' y='"&amp;SUBSTITUTE(ROUND(CY48-8,1),",",".")&amp;"'&gt;"&amp;DC48&amp;"&lt;/text&gt;","")</f>
        <v/>
      </c>
      <c r="DE48" s="58">
        <f>IF(CU48=1,IF(CZ48="Motriz","&lt;circle cx='"&amp;SUBSTITUTE(ROUND(728,1),",",".")&amp;"' cy='"&amp;SUBSTITUTE(ROUND(233.6,1),",",".")&amp;"' r='4.3' fill='#2A3439' stroke='#2A3439' stroke-width='1.3'/&gt;",IF(CZ48="Enlace","&lt;rect x='"&amp;SUBSTITUTE(ROUND((728)-3.96,1),",",".")&amp;"' y='"&amp;SUBSTITUTE(ROUND((233.6)-3.96,1),",",".")&amp;"' width='7.92' height='7.92' fill='#6699CC' stroke='#2A3439' stroke-width='1.3'/&gt;",IF(CZ48="Resultado","&lt;path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DF48" s="58">
        <f>8*$CU$14</f>
        <v/>
      </c>
      <c r="DG48" s="58">
        <f>IF(8&lt;=$CU$16,"&lt;line x1='"&amp;SUBSTITUTE(ROUND(90+DF48*$CU$22,1),",",".")&amp;"' y1='84' x2='"&amp;SUBSTITUTE(ROUND(90+DF48*$CU$22,1),",",".")&amp;"' y2='574' stroke='#FFFFFF'/&gt;&lt;text x='"&amp;SUBSTITUTE(ROUND(90+DF48*$CU$22,1),",",".")&amp;"' y='590' text-anchor='middle'&gt;"&amp;ROUND(DF48*100,2)&amp;" %&lt;/text&gt;","")</f>
        <v/>
      </c>
      <c r="DH48" s="58">
        <f>8*$CU$19</f>
        <v/>
      </c>
      <c r="DI48" s="58">
        <f>IF(8&lt;=$CU$21,"&lt;line x1='90' y1='"&amp;SUBSTITUTE(ROUND(574-DH48*$CU$23,1),",",".")&amp;"' x2='650' y2='"&amp;SUBSTITUTE(ROUND(574-DH48*$CU$23,1),",",".")&amp;"' stroke='#FFFFFF'/&gt;&lt;text x='84' y='"&amp;SUBSTITUTE(ROUND(574-DH48*$CU$23+3,1),",",".")&amp;"' text-anchor='end'&gt;"&amp;ROUND(DH48*100,2)&amp;" %&lt;/text&gt;","")</f>
        <v/>
      </c>
    </row>
    <row r="49">
      <c r="A49" s="58" t="n">
        <v>10</v>
      </c>
      <c r="B49" s="58">
        <f>IF($A49&lt;=nVariables,SUBSTITUTE(SUBSTITUTE(SUBSTITUTE(SUBSTITUTE(SUBSTITUTE(SUBSTITUTE(SUBSTITUTE(TRIM(CLEAN(IF(LEN(TRIM(M!$B19))&gt;46,LEFT(TRIM(M!$B19),45)&amp;"…",TRIM(M!$B19)))),"&amp;","&amp;amp;"),"&lt;","&amp;lt;"),"&gt;","&amp;gt;"),CHAR(34),"&amp;quot;"),CHAR(10)," "),CHAR(9)," "),CHAR(13)," "),"")</f>
        <v/>
      </c>
      <c r="C49" s="58">
        <f>IF($A49&lt;=nVariables,$A49&amp;". "&amp;B49,"")</f>
        <v/>
      </c>
      <c r="D49" s="58">
        <f>IF($A49&lt;=nVariables,IF(TRIM(M!$C19)&lt;&gt;"",TRIM(M!$C19),IF(LEN(TRIM(M!$B19))&gt;24,LEFT(TRIM(M!$B19),23)&amp;"…",TRIM(M!$B19))),"")</f>
        <v/>
      </c>
      <c r="E49" s="58">
        <f>IF($A49&lt;=nVariables,TRIM('Árbol de Problemas'!$F28),"")</f>
        <v/>
      </c>
      <c r="H49" s="58" t="n">
        <v>10</v>
      </c>
      <c r="I49" s="58">
        <f>IF(AND($I$4=1,H49&lt;=nVariables),1,0)</f>
        <v/>
      </c>
      <c r="J49" s="58">
        <f>IF(I49=1,'M1'!$F19,"")</f>
        <v/>
      </c>
      <c r="K49" s="58">
        <f>IF(I49=1,'M1'!$E19,"")</f>
        <v/>
      </c>
      <c r="L49" s="58">
        <f>IF(I49=1,90+J49*$I$22,"")</f>
        <v/>
      </c>
      <c r="M49" s="58">
        <f>IF(I49=1,574-K49*$I$23,"")</f>
        <v/>
      </c>
      <c r="N49" s="58">
        <f>IF(I49=1,'M1'!$I19,"")</f>
        <v/>
      </c>
      <c r="O49" s="58">
        <f>IF(I49=1,IF(N49="Motriz","#2A3439",IF(N49="Enlace","#6699CC",IF(N49="Resultado","#FFFFFF","#F5F5F5"))),"")</f>
        <v/>
      </c>
      <c r="P49" s="58">
        <f>IF(I49=1,IF(SUMPRODUCT((J$39:J48=J49)*(K$39:K48=K49))=0,1,0),0)</f>
        <v/>
      </c>
      <c r="Q49" s="58">
        <f>IF(P49=1,10&amp;IF(AND(J50=J49,K50=K49),","&amp;11,"")&amp;IF(AND(J51=J49,K51=K49),","&amp;12,"")&amp;IF(AND(J52=J49,K52=K49),","&amp;13,"")&amp;IF(AND(J53=J49,K53=K49),","&amp;14,"")&amp;IF(AND(J54=J49,K54=K49),","&amp;15,"")&amp;IF(AND(J55=J49,K55=K49),","&amp;16,"")&amp;IF(AND(J56=J49,K56=K49),","&amp;17,"")&amp;IF(AND(J57=J49,K57=K49),","&amp;18,"")&amp;IF(AND(J58=J49,K58=K49),","&amp;19,"")&amp;IF(AND(J59=J49,K59=K49),","&amp;20,"")&amp;IF(AND(J60=J49,K60=K49),","&amp;21,"")&amp;IF(AND(J61=J49,K61=K49),","&amp;22,"")&amp;IF(AND(J62=J49,K62=K49),","&amp;23,"")&amp;IF(AND(J63=J49,K63=K49),","&amp;24,"")&amp;IF(AND(J64=J49,K64=K49),","&amp;25,"")&amp;IF(AND(J65=J49,K65=K49),","&amp;26,"")&amp;IF(AND(J66=J49,K66=K49),","&amp;27,"")&amp;IF(AND(J67=J49,K67=K49),","&amp;28,"")&amp;IF(AND(J68=J49,K68=K49),","&amp;29,"")&amp;IF(AND(J69=J49,K69=K49),","&amp;30,"")&amp;IF(AND(J70=J49,K70=K49),","&amp;31,"")&amp;IF(AND(J71=J49,K71=K49),","&amp;32,"")&amp;IF(AND(J72=J49,K72=K49),","&amp;33,"")&amp;IF(AND(J73=J49,K73=K49),","&amp;34,"")&amp;IF(AND(J74=J49,K74=K49),","&amp;35,"")&amp;IF(AND(J75=J49,K75=K49),","&amp;36,"")&amp;IF(AND(J76=J49,K76=K49),","&amp;37,"")&amp;IF(AND(J77=J49,K77=K49),","&amp;38,"")&amp;IF(AND(J78=J49,K78=K49),","&amp;39,"")&amp;IF(AND(J79=J49,K79=K49),","&amp;40,""),"")</f>
        <v/>
      </c>
      <c r="R49" s="58">
        <f>IF(P49=1,IF(N49="Motriz","&lt;circle cx='"&amp;SUBSTITUTE(ROUND(L49,1),",",".")&amp;"' cy='"&amp;SUBSTITUTE(ROUND(M49,1),",",".")&amp;"' r='6' fill='#2A3439' stroke='#2A3439' stroke-width='1.3'/&gt;",IF(N49="Enlace","&lt;rect x='"&amp;SUBSTITUTE(ROUND((L49)-5.52,1),",",".")&amp;"' y='"&amp;SUBSTITUTE(ROUND((M49)-5.52,1),",",".")&amp;"' width='11.04' height='11.04' fill='#6699CC' stroke='#2A3439' stroke-width='1.3'/&gt;",IF(N49="Resultado","&lt;path d='M"&amp;SUBSTITUTE(ROUND(L49,1),",",".")&amp;" "&amp;SUBSTITUTE(ROUND((M49)-6.9,1),",",".")&amp;"L"&amp;SUBSTITUTE(ROUND((L49)+6.3,1),",",".")&amp;" "&amp;SUBSTITUTE(ROUND((M49)+5.1,1),",",".")&amp;"L"&amp;SUBSTITUTE(ROUND((L49)-6.3,1),",",".")&amp;" "&amp;SUBSTITUTE(ROUND((M49)+5.1,1),",",".")&amp;"Z' fill='#FFFFFF' stroke='#2A3439' stroke-width='1.3'/&gt;","&lt;path d='M"&amp;SUBSTITUTE(ROUND(L49,1),",",".")&amp;" "&amp;SUBSTITUTE(ROUND((M49)-7.5,1),",",".")&amp;"L"&amp;SUBSTITUTE(ROUND((L49)+7.5,1),",",".")&amp;" "&amp;SUBSTITUTE(ROUND(M49,1),",",".")&amp;"L"&amp;SUBSTITUTE(ROUND(L49,1),",",".")&amp;" "&amp;SUBSTITUTE(ROUND((M49)+7.5,1),",",".")&amp;"L"&amp;SUBSTITUTE(ROUND((L49)-7.5,1),",",".")&amp;" "&amp;SUBSTITUTE(ROUND(M49,1),",",".")&amp;"Z' fill='#F5F5F5' stroke='#2A3439' stroke-width='1.3'/&gt;")))&amp;"&lt;text x='"&amp;SUBSTITUTE(ROUND(L49+9,1),",",".")&amp;"' y='"&amp;SUBSTITUTE(ROUND(M49-8,1),",",".")&amp;"'&gt;"&amp;Q49&amp;"&lt;/text&gt;","")</f>
        <v/>
      </c>
      <c r="S49" s="58">
        <f>IF(I49=1,IF(N49="Motriz","&lt;circle cx='"&amp;SUBSTITUTE(ROUND(728,1),",",".")&amp;"' cy='"&amp;SUBSTITUTE(ROUND(247.8,1),",",".")&amp;"' r='4.3' fill='#2A3439' stroke='#2A3439' stroke-width='1.3'/&gt;",IF(N49="Enlace","&lt;rect x='"&amp;SUBSTITUTE(ROUND((728)-3.96,1),",",".")&amp;"' y='"&amp;SUBSTITUTE(ROUND((247.8)-3.96,1),",",".")&amp;"' width='7.92' height='7.92' fill='#6699CC' stroke='#2A3439' stroke-width='1.3'/&gt;",IF(N49="Resultado","&lt;path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T49" s="58">
        <f>9*$I$14</f>
        <v/>
      </c>
      <c r="U49" s="58">
        <f>IF(9&lt;=$I$16,"&lt;line x1='"&amp;SUBSTITUTE(ROUND(90+T49*$I$22,1),",",".")&amp;"' y1='84' x2='"&amp;SUBSTITUTE(ROUND(90+T49*$I$22,1),",",".")&amp;"' y2='574' stroke='#FFFFFF'/&gt;&lt;text x='"&amp;SUBSTITUTE(ROUND(90+T49*$I$22,1),",",".")&amp;"' y='590' text-anchor='middle'&gt;"&amp;ROUND(T49*100,2)&amp;" %&lt;/text&gt;","")</f>
        <v/>
      </c>
      <c r="V49" s="58">
        <f>9*$I$19</f>
        <v/>
      </c>
      <c r="W49" s="58">
        <f>IF(9&lt;=$I$21,"&lt;line x1='90' y1='"&amp;SUBSTITUTE(ROUND(574-V49*$I$23,1),",",".")&amp;"' x2='650' y2='"&amp;SUBSTITUTE(ROUND(574-V49*$I$23,1),",",".")&amp;"' stroke='#FFFFFF'/&gt;&lt;text x='84' y='"&amp;SUBSTITUTE(ROUND(574-V49*$I$23+3,1),",",".")&amp;"' text-anchor='end'&gt;"&amp;ROUND(V49*100,2)&amp;" %&lt;/text&gt;","")</f>
        <v/>
      </c>
      <c r="Z49" s="58" t="n">
        <v>10</v>
      </c>
      <c r="AA49" s="58">
        <f>IF(AND($AA$4=1,Z49&lt;=nVariables),1,0)</f>
        <v/>
      </c>
      <c r="AB49" s="58">
        <f>IF(AA49=1,'M2'!$F19,"")</f>
        <v/>
      </c>
      <c r="AC49" s="58">
        <f>IF(AA49=1,'M2'!$E19,"")</f>
        <v/>
      </c>
      <c r="AD49" s="58">
        <f>IF(AA49=1,90+AB49*$AA$22,"")</f>
        <v/>
      </c>
      <c r="AE49" s="58">
        <f>IF(AA49=1,574-AC49*$AA$23,"")</f>
        <v/>
      </c>
      <c r="AF49" s="58">
        <f>IF(AA49=1,'M2'!$I19,"")</f>
        <v/>
      </c>
      <c r="AG49" s="58">
        <f>IF(AA49=1,IF(AF49="Motriz","#2A3439",IF(AF49="Enlace","#6699CC",IF(AF49="Resultado","#FFFFFF","#F5F5F5"))),"")</f>
        <v/>
      </c>
      <c r="AH49" s="58">
        <f>IF(AA49=1,IF(SUMPRODUCT((AB$39:AB48=AB49)*(AC$39:AC48=AC49))=0,1,0),0)</f>
        <v/>
      </c>
      <c r="AI49" s="58">
        <f>IF(AH49=1,10&amp;IF(AND(AB50=AB49,AC50=AC49),","&amp;11,"")&amp;IF(AND(AB51=AB49,AC51=AC49),","&amp;12,"")&amp;IF(AND(AB52=AB49,AC52=AC49),","&amp;13,"")&amp;IF(AND(AB53=AB49,AC53=AC49),","&amp;14,"")&amp;IF(AND(AB54=AB49,AC54=AC49),","&amp;15,"")&amp;IF(AND(AB55=AB49,AC55=AC49),","&amp;16,"")&amp;IF(AND(AB56=AB49,AC56=AC49),","&amp;17,"")&amp;IF(AND(AB57=AB49,AC57=AC49),","&amp;18,"")&amp;IF(AND(AB58=AB49,AC58=AC49),","&amp;19,"")&amp;IF(AND(AB59=AB49,AC59=AC49),","&amp;20,"")&amp;IF(AND(AB60=AB49,AC60=AC49),","&amp;21,"")&amp;IF(AND(AB61=AB49,AC61=AC49),","&amp;22,"")&amp;IF(AND(AB62=AB49,AC62=AC49),","&amp;23,"")&amp;IF(AND(AB63=AB49,AC63=AC49),","&amp;24,"")&amp;IF(AND(AB64=AB49,AC64=AC49),","&amp;25,"")&amp;IF(AND(AB65=AB49,AC65=AC49),","&amp;26,"")&amp;IF(AND(AB66=AB49,AC66=AC49),","&amp;27,"")&amp;IF(AND(AB67=AB49,AC67=AC49),","&amp;28,"")&amp;IF(AND(AB68=AB49,AC68=AC49),","&amp;29,"")&amp;IF(AND(AB69=AB49,AC69=AC49),","&amp;30,"")&amp;IF(AND(AB70=AB49,AC70=AC49),","&amp;31,"")&amp;IF(AND(AB71=AB49,AC71=AC49),","&amp;32,"")&amp;IF(AND(AB72=AB49,AC72=AC49),","&amp;33,"")&amp;IF(AND(AB73=AB49,AC73=AC49),","&amp;34,"")&amp;IF(AND(AB74=AB49,AC74=AC49),","&amp;35,"")&amp;IF(AND(AB75=AB49,AC75=AC49),","&amp;36,"")&amp;IF(AND(AB76=AB49,AC76=AC49),","&amp;37,"")&amp;IF(AND(AB77=AB49,AC77=AC49),","&amp;38,"")&amp;IF(AND(AB78=AB49,AC78=AC49),","&amp;39,"")&amp;IF(AND(AB79=AB49,AC79=AC49),","&amp;40,""),"")</f>
        <v/>
      </c>
      <c r="AJ49" s="58">
        <f>IF(AH49=1,IF(AF49="Motriz","&lt;circle cx='"&amp;SUBSTITUTE(ROUND(AD49,1),",",".")&amp;"' cy='"&amp;SUBSTITUTE(ROUND(AE49,1),",",".")&amp;"' r='6' fill='#2A3439' stroke='#2A3439' stroke-width='1.3'/&gt;",IF(AF49="Enlace","&lt;rect x='"&amp;SUBSTITUTE(ROUND((AD49)-5.52,1),",",".")&amp;"' y='"&amp;SUBSTITUTE(ROUND((AE49)-5.52,1),",",".")&amp;"' width='11.04' height='11.04' fill='#6699CC' stroke='#2A3439' stroke-width='1.3'/&gt;",IF(AF49="Resultado","&lt;path d='M"&amp;SUBSTITUTE(ROUND(AD49,1),",",".")&amp;" "&amp;SUBSTITUTE(ROUND((AE49)-6.9,1),",",".")&amp;"L"&amp;SUBSTITUTE(ROUND((AD49)+6.3,1),",",".")&amp;" "&amp;SUBSTITUTE(ROUND((AE49)+5.1,1),",",".")&amp;"L"&amp;SUBSTITUTE(ROUND((AD49)-6.3,1),",",".")&amp;" "&amp;SUBSTITUTE(ROUND((AE49)+5.1,1),",",".")&amp;"Z' fill='#FFFFFF' stroke='#2A3439' stroke-width='1.3'/&gt;","&lt;path d='M"&amp;SUBSTITUTE(ROUND(AD49,1),",",".")&amp;" "&amp;SUBSTITUTE(ROUND((AE49)-7.5,1),",",".")&amp;"L"&amp;SUBSTITUTE(ROUND((AD49)+7.5,1),",",".")&amp;" "&amp;SUBSTITUTE(ROUND(AE49,1),",",".")&amp;"L"&amp;SUBSTITUTE(ROUND(AD49,1),",",".")&amp;" "&amp;SUBSTITUTE(ROUND((AE49)+7.5,1),",",".")&amp;"L"&amp;SUBSTITUTE(ROUND((AD49)-7.5,1),",",".")&amp;" "&amp;SUBSTITUTE(ROUND(AE49,1),",",".")&amp;"Z' fill='#F5F5F5' stroke='#2A3439' stroke-width='1.3'/&gt;")))&amp;"&lt;text x='"&amp;SUBSTITUTE(ROUND(AD49+9,1),",",".")&amp;"' y='"&amp;SUBSTITUTE(ROUND(AE49-8,1),",",".")&amp;"'&gt;"&amp;AI49&amp;"&lt;/text&gt;","")</f>
        <v/>
      </c>
      <c r="AK49" s="58">
        <f>IF(AA49=1,IF(AF49="Motriz","&lt;circle cx='"&amp;SUBSTITUTE(ROUND(728,1),",",".")&amp;"' cy='"&amp;SUBSTITUTE(ROUND(247.8,1),",",".")&amp;"' r='4.3' fill='#2A3439' stroke='#2A3439' stroke-width='1.3'/&gt;",IF(AF49="Enlace","&lt;rect x='"&amp;SUBSTITUTE(ROUND((728)-3.96,1),",",".")&amp;"' y='"&amp;SUBSTITUTE(ROUND((247.8)-3.96,1),",",".")&amp;"' width='7.92' height='7.92' fill='#6699CC' stroke='#2A3439' stroke-width='1.3'/&gt;",IF(AF49="Resultado","&lt;path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AL49" s="58">
        <f>9*$AA$14</f>
        <v/>
      </c>
      <c r="AM49" s="58">
        <f>IF(9&lt;=$AA$16,"&lt;line x1='"&amp;SUBSTITUTE(ROUND(90+AL49*$AA$22,1),",",".")&amp;"' y1='84' x2='"&amp;SUBSTITUTE(ROUND(90+AL49*$AA$22,1),",",".")&amp;"' y2='574' stroke='#FFFFFF'/&gt;&lt;text x='"&amp;SUBSTITUTE(ROUND(90+AL49*$AA$22,1),",",".")&amp;"' y='590' text-anchor='middle'&gt;"&amp;ROUND(AL49*100,2)&amp;" %&lt;/text&gt;","")</f>
        <v/>
      </c>
      <c r="AN49" s="58">
        <f>9*$AA$19</f>
        <v/>
      </c>
      <c r="AO49" s="58">
        <f>IF(9&lt;=$AA$21,"&lt;line x1='90' y1='"&amp;SUBSTITUTE(ROUND(574-AN49*$AA$23,1),",",".")&amp;"' x2='650' y2='"&amp;SUBSTITUTE(ROUND(574-AN49*$AA$23,1),",",".")&amp;"' stroke='#FFFFFF'/&gt;&lt;text x='84' y='"&amp;SUBSTITUTE(ROUND(574-AN49*$AA$23+3,1),",",".")&amp;"' text-anchor='end'&gt;"&amp;ROUND(AN49*100,2)&amp;" %&lt;/text&gt;","")</f>
        <v/>
      </c>
      <c r="AR49" s="58" t="n">
        <v>10</v>
      </c>
      <c r="AS49" s="58">
        <f>IF(AND($AS$4=1,AR49&lt;=nVariables),1,0)</f>
        <v/>
      </c>
      <c r="AT49" s="58">
        <f>IF(AS49=1,'M3'!$F19,"")</f>
        <v/>
      </c>
      <c r="AU49" s="58">
        <f>IF(AS49=1,'M3'!$E19,"")</f>
        <v/>
      </c>
      <c r="AV49" s="58">
        <f>IF(AS49=1,90+AT49*$AS$22,"")</f>
        <v/>
      </c>
      <c r="AW49" s="58">
        <f>IF(AS49=1,574-AU49*$AS$23,"")</f>
        <v/>
      </c>
      <c r="AX49" s="58">
        <f>IF(AS49=1,'M3'!$I19,"")</f>
        <v/>
      </c>
      <c r="AY49" s="58">
        <f>IF(AS49=1,IF(AX49="Motriz","#2A3439",IF(AX49="Enlace","#6699CC",IF(AX49="Resultado","#FFFFFF","#F5F5F5"))),"")</f>
        <v/>
      </c>
      <c r="AZ49" s="58">
        <f>IF(AS49=1,IF(SUMPRODUCT((AT$39:AT48=AT49)*(AU$39:AU48=AU49))=0,1,0),0)</f>
        <v/>
      </c>
      <c r="BA49" s="58">
        <f>IF(AZ49=1,10&amp;IF(AND(AT50=AT49,AU50=AU49),","&amp;11,"")&amp;IF(AND(AT51=AT49,AU51=AU49),","&amp;12,"")&amp;IF(AND(AT52=AT49,AU52=AU49),","&amp;13,"")&amp;IF(AND(AT53=AT49,AU53=AU49),","&amp;14,"")&amp;IF(AND(AT54=AT49,AU54=AU49),","&amp;15,"")&amp;IF(AND(AT55=AT49,AU55=AU49),","&amp;16,"")&amp;IF(AND(AT56=AT49,AU56=AU49),","&amp;17,"")&amp;IF(AND(AT57=AT49,AU57=AU49),","&amp;18,"")&amp;IF(AND(AT58=AT49,AU58=AU49),","&amp;19,"")&amp;IF(AND(AT59=AT49,AU59=AU49),","&amp;20,"")&amp;IF(AND(AT60=AT49,AU60=AU49),","&amp;21,"")&amp;IF(AND(AT61=AT49,AU61=AU49),","&amp;22,"")&amp;IF(AND(AT62=AT49,AU62=AU49),","&amp;23,"")&amp;IF(AND(AT63=AT49,AU63=AU49),","&amp;24,"")&amp;IF(AND(AT64=AT49,AU64=AU49),","&amp;25,"")&amp;IF(AND(AT65=AT49,AU65=AU49),","&amp;26,"")&amp;IF(AND(AT66=AT49,AU66=AU49),","&amp;27,"")&amp;IF(AND(AT67=AT49,AU67=AU49),","&amp;28,"")&amp;IF(AND(AT68=AT49,AU68=AU49),","&amp;29,"")&amp;IF(AND(AT69=AT49,AU69=AU49),","&amp;30,"")&amp;IF(AND(AT70=AT49,AU70=AU49),","&amp;31,"")&amp;IF(AND(AT71=AT49,AU71=AU49),","&amp;32,"")&amp;IF(AND(AT72=AT49,AU72=AU49),","&amp;33,"")&amp;IF(AND(AT73=AT49,AU73=AU49),","&amp;34,"")&amp;IF(AND(AT74=AT49,AU74=AU49),","&amp;35,"")&amp;IF(AND(AT75=AT49,AU75=AU49),","&amp;36,"")&amp;IF(AND(AT76=AT49,AU76=AU49),","&amp;37,"")&amp;IF(AND(AT77=AT49,AU77=AU49),","&amp;38,"")&amp;IF(AND(AT78=AT49,AU78=AU49),","&amp;39,"")&amp;IF(AND(AT79=AT49,AU79=AU49),","&amp;40,""),"")</f>
        <v/>
      </c>
      <c r="BB49" s="58">
        <f>IF(AZ49=1,IF(AX49="Motriz","&lt;circle cx='"&amp;SUBSTITUTE(ROUND(AV49,1),",",".")&amp;"' cy='"&amp;SUBSTITUTE(ROUND(AW49,1),",",".")&amp;"' r='6' fill='#2A3439' stroke='#2A3439' stroke-width='1.3'/&gt;",IF(AX49="Enlace","&lt;rect x='"&amp;SUBSTITUTE(ROUND((AV49)-5.52,1),",",".")&amp;"' y='"&amp;SUBSTITUTE(ROUND((AW49)-5.52,1),",",".")&amp;"' width='11.04' height='11.04' fill='#6699CC' stroke='#2A3439' stroke-width='1.3'/&gt;",IF(AX49="Resultado","&lt;path d='M"&amp;SUBSTITUTE(ROUND(AV49,1),",",".")&amp;" "&amp;SUBSTITUTE(ROUND((AW49)-6.9,1),",",".")&amp;"L"&amp;SUBSTITUTE(ROUND((AV49)+6.3,1),",",".")&amp;" "&amp;SUBSTITUTE(ROUND((AW49)+5.1,1),",",".")&amp;"L"&amp;SUBSTITUTE(ROUND((AV49)-6.3,1),",",".")&amp;" "&amp;SUBSTITUTE(ROUND((AW49)+5.1,1),",",".")&amp;"Z' fill='#FFFFFF' stroke='#2A3439' stroke-width='1.3'/&gt;","&lt;path d='M"&amp;SUBSTITUTE(ROUND(AV49,1),",",".")&amp;" "&amp;SUBSTITUTE(ROUND((AW49)-7.5,1),",",".")&amp;"L"&amp;SUBSTITUTE(ROUND((AV49)+7.5,1),",",".")&amp;" "&amp;SUBSTITUTE(ROUND(AW49,1),",",".")&amp;"L"&amp;SUBSTITUTE(ROUND(AV49,1),",",".")&amp;" "&amp;SUBSTITUTE(ROUND((AW49)+7.5,1),",",".")&amp;"L"&amp;SUBSTITUTE(ROUND((AV49)-7.5,1),",",".")&amp;" "&amp;SUBSTITUTE(ROUND(AW49,1),",",".")&amp;"Z' fill='#F5F5F5' stroke='#2A3439' stroke-width='1.3'/&gt;")))&amp;"&lt;text x='"&amp;SUBSTITUTE(ROUND(AV49+9,1),",",".")&amp;"' y='"&amp;SUBSTITUTE(ROUND(AW49-8,1),",",".")&amp;"'&gt;"&amp;BA49&amp;"&lt;/text&gt;","")</f>
        <v/>
      </c>
      <c r="BC49" s="58">
        <f>IF(AS49=1,IF(AX49="Motriz","&lt;circle cx='"&amp;SUBSTITUTE(ROUND(728,1),",",".")&amp;"' cy='"&amp;SUBSTITUTE(ROUND(247.8,1),",",".")&amp;"' r='4.3' fill='#2A3439' stroke='#2A3439' stroke-width='1.3'/&gt;",IF(AX49="Enlace","&lt;rect x='"&amp;SUBSTITUTE(ROUND((728)-3.96,1),",",".")&amp;"' y='"&amp;SUBSTITUTE(ROUND((247.8)-3.96,1),",",".")&amp;"' width='7.92' height='7.92' fill='#6699CC' stroke='#2A3439' stroke-width='1.3'/&gt;",IF(AX49="Resultado","&lt;path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BD49" s="58">
        <f>9*$AS$14</f>
        <v/>
      </c>
      <c r="BE49" s="58">
        <f>IF(9&lt;=$AS$16,"&lt;line x1='"&amp;SUBSTITUTE(ROUND(90+BD49*$AS$22,1),",",".")&amp;"' y1='84' x2='"&amp;SUBSTITUTE(ROUND(90+BD49*$AS$22,1),",",".")&amp;"' y2='574' stroke='#FFFFFF'/&gt;&lt;text x='"&amp;SUBSTITUTE(ROUND(90+BD49*$AS$22,1),",",".")&amp;"' y='590' text-anchor='middle'&gt;"&amp;ROUND(BD49*100,2)&amp;" %&lt;/text&gt;","")</f>
        <v/>
      </c>
      <c r="BF49" s="58">
        <f>9*$AS$19</f>
        <v/>
      </c>
      <c r="BG49" s="58">
        <f>IF(9&lt;=$AS$21,"&lt;line x1='90' y1='"&amp;SUBSTITUTE(ROUND(574-BF49*$AS$23,1),",",".")&amp;"' x2='650' y2='"&amp;SUBSTITUTE(ROUND(574-BF49*$AS$23,1),",",".")&amp;"' stroke='#FFFFFF'/&gt;&lt;text x='84' y='"&amp;SUBSTITUTE(ROUND(574-BF49*$AS$23+3,1),",",".")&amp;"' text-anchor='end'&gt;"&amp;ROUND(BF49*100,2)&amp;" %&lt;/text&gt;","")</f>
        <v/>
      </c>
      <c r="BJ49" s="58" t="n">
        <v>10</v>
      </c>
      <c r="BK49" s="58">
        <f>IF(AND($BK$4=1,BJ49&lt;=nVariables),1,0)</f>
        <v/>
      </c>
      <c r="BL49" s="58">
        <f>IF(BK49=1,'M4'!$F19,"")</f>
        <v/>
      </c>
      <c r="BM49" s="58">
        <f>IF(BK49=1,'M4'!$E19,"")</f>
        <v/>
      </c>
      <c r="BN49" s="58">
        <f>IF(BK49=1,90+BL49*$BK$22,"")</f>
        <v/>
      </c>
      <c r="BO49" s="58">
        <f>IF(BK49=1,574-BM49*$BK$23,"")</f>
        <v/>
      </c>
      <c r="BP49" s="58">
        <f>IF(BK49=1,'M4'!$I19,"")</f>
        <v/>
      </c>
      <c r="BQ49" s="58">
        <f>IF(BK49=1,IF(BP49="Motriz","#2A3439",IF(BP49="Enlace","#6699CC",IF(BP49="Resultado","#FFFFFF","#F5F5F5"))),"")</f>
        <v/>
      </c>
      <c r="BR49" s="58">
        <f>IF(BK49=1,IF(SUMPRODUCT((BL$39:BL48=BL49)*(BM$39:BM48=BM49))=0,1,0),0)</f>
        <v/>
      </c>
      <c r="BS49" s="58">
        <f>IF(BR49=1,10&amp;IF(AND(BL50=BL49,BM50=BM49),","&amp;11,"")&amp;IF(AND(BL51=BL49,BM51=BM49),","&amp;12,"")&amp;IF(AND(BL52=BL49,BM52=BM49),","&amp;13,"")&amp;IF(AND(BL53=BL49,BM53=BM49),","&amp;14,"")&amp;IF(AND(BL54=BL49,BM54=BM49),","&amp;15,"")&amp;IF(AND(BL55=BL49,BM55=BM49),","&amp;16,"")&amp;IF(AND(BL56=BL49,BM56=BM49),","&amp;17,"")&amp;IF(AND(BL57=BL49,BM57=BM49),","&amp;18,"")&amp;IF(AND(BL58=BL49,BM58=BM49),","&amp;19,"")&amp;IF(AND(BL59=BL49,BM59=BM49),","&amp;20,"")&amp;IF(AND(BL60=BL49,BM60=BM49),","&amp;21,"")&amp;IF(AND(BL61=BL49,BM61=BM49),","&amp;22,"")&amp;IF(AND(BL62=BL49,BM62=BM49),","&amp;23,"")&amp;IF(AND(BL63=BL49,BM63=BM49),","&amp;24,"")&amp;IF(AND(BL64=BL49,BM64=BM49),","&amp;25,"")&amp;IF(AND(BL65=BL49,BM65=BM49),","&amp;26,"")&amp;IF(AND(BL66=BL49,BM66=BM49),","&amp;27,"")&amp;IF(AND(BL67=BL49,BM67=BM49),","&amp;28,"")&amp;IF(AND(BL68=BL49,BM68=BM49),","&amp;29,"")&amp;IF(AND(BL69=BL49,BM69=BM49),","&amp;30,"")&amp;IF(AND(BL70=BL49,BM70=BM49),","&amp;31,"")&amp;IF(AND(BL71=BL49,BM71=BM49),","&amp;32,"")&amp;IF(AND(BL72=BL49,BM72=BM49),","&amp;33,"")&amp;IF(AND(BL73=BL49,BM73=BM49),","&amp;34,"")&amp;IF(AND(BL74=BL49,BM74=BM49),","&amp;35,"")&amp;IF(AND(BL75=BL49,BM75=BM49),","&amp;36,"")&amp;IF(AND(BL76=BL49,BM76=BM49),","&amp;37,"")&amp;IF(AND(BL77=BL49,BM77=BM49),","&amp;38,"")&amp;IF(AND(BL78=BL49,BM78=BM49),","&amp;39,"")&amp;IF(AND(BL79=BL49,BM79=BM49),","&amp;40,""),"")</f>
        <v/>
      </c>
      <c r="BT49" s="58">
        <f>IF(BR49=1,IF(BP49="Motriz","&lt;circle cx='"&amp;SUBSTITUTE(ROUND(BN49,1),",",".")&amp;"' cy='"&amp;SUBSTITUTE(ROUND(BO49,1),",",".")&amp;"' r='6' fill='#2A3439' stroke='#2A3439' stroke-width='1.3'/&gt;",IF(BP49="Enlace","&lt;rect x='"&amp;SUBSTITUTE(ROUND((BN49)-5.52,1),",",".")&amp;"' y='"&amp;SUBSTITUTE(ROUND((BO49)-5.52,1),",",".")&amp;"' width='11.04' height='11.04' fill='#6699CC' stroke='#2A3439' stroke-width='1.3'/&gt;",IF(BP49="Resultado","&lt;path d='M"&amp;SUBSTITUTE(ROUND(BN49,1),",",".")&amp;" "&amp;SUBSTITUTE(ROUND((BO49)-6.9,1),",",".")&amp;"L"&amp;SUBSTITUTE(ROUND((BN49)+6.3,1),",",".")&amp;" "&amp;SUBSTITUTE(ROUND((BO49)+5.1,1),",",".")&amp;"L"&amp;SUBSTITUTE(ROUND((BN49)-6.3,1),",",".")&amp;" "&amp;SUBSTITUTE(ROUND((BO49)+5.1,1),",",".")&amp;"Z' fill='#FFFFFF' stroke='#2A3439' stroke-width='1.3'/&gt;","&lt;path d='M"&amp;SUBSTITUTE(ROUND(BN49,1),",",".")&amp;" "&amp;SUBSTITUTE(ROUND((BO49)-7.5,1),",",".")&amp;"L"&amp;SUBSTITUTE(ROUND((BN49)+7.5,1),",",".")&amp;" "&amp;SUBSTITUTE(ROUND(BO49,1),",",".")&amp;"L"&amp;SUBSTITUTE(ROUND(BN49,1),",",".")&amp;" "&amp;SUBSTITUTE(ROUND((BO49)+7.5,1),",",".")&amp;"L"&amp;SUBSTITUTE(ROUND((BN49)-7.5,1),",",".")&amp;" "&amp;SUBSTITUTE(ROUND(BO49,1),",",".")&amp;"Z' fill='#F5F5F5' stroke='#2A3439' stroke-width='1.3'/&gt;")))&amp;"&lt;text x='"&amp;SUBSTITUTE(ROUND(BN49+9,1),",",".")&amp;"' y='"&amp;SUBSTITUTE(ROUND(BO49-8,1),",",".")&amp;"'&gt;"&amp;BS49&amp;"&lt;/text&gt;","")</f>
        <v/>
      </c>
      <c r="BU49" s="58">
        <f>IF(BK49=1,IF(BP49="Motriz","&lt;circle cx='"&amp;SUBSTITUTE(ROUND(728,1),",",".")&amp;"' cy='"&amp;SUBSTITUTE(ROUND(247.8,1),",",".")&amp;"' r='4.3' fill='#2A3439' stroke='#2A3439' stroke-width='1.3'/&gt;",IF(BP49="Enlace","&lt;rect x='"&amp;SUBSTITUTE(ROUND((728)-3.96,1),",",".")&amp;"' y='"&amp;SUBSTITUTE(ROUND((247.8)-3.96,1),",",".")&amp;"' width='7.92' height='7.92' fill='#6699CC' stroke='#2A3439' stroke-width='1.3'/&gt;",IF(BP49="Resultado","&lt;path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BV49" s="58">
        <f>9*$BK$14</f>
        <v/>
      </c>
      <c r="BW49" s="58">
        <f>IF(9&lt;=$BK$16,"&lt;line x1='"&amp;SUBSTITUTE(ROUND(90+BV49*$BK$22,1),",",".")&amp;"' y1='84' x2='"&amp;SUBSTITUTE(ROUND(90+BV49*$BK$22,1),",",".")&amp;"' y2='574' stroke='#FFFFFF'/&gt;&lt;text x='"&amp;SUBSTITUTE(ROUND(90+BV49*$BK$22,1),",",".")&amp;"' y='590' text-anchor='middle'&gt;"&amp;ROUND(BV49*100,2)&amp;" %&lt;/text&gt;","")</f>
        <v/>
      </c>
      <c r="BX49" s="58">
        <f>9*$BK$19</f>
        <v/>
      </c>
      <c r="BY49" s="58">
        <f>IF(9&lt;=$BK$21,"&lt;line x1='90' y1='"&amp;SUBSTITUTE(ROUND(574-BX49*$BK$23,1),",",".")&amp;"' x2='650' y2='"&amp;SUBSTITUTE(ROUND(574-BX49*$BK$23,1),",",".")&amp;"' stroke='#FFFFFF'/&gt;&lt;text x='84' y='"&amp;SUBSTITUTE(ROUND(574-BX49*$BK$23+3,1),",",".")&amp;"' text-anchor='end'&gt;"&amp;ROUND(BX49*100,2)&amp;" %&lt;/text&gt;","")</f>
        <v/>
      </c>
      <c r="CB49" s="58" t="n">
        <v>10</v>
      </c>
      <c r="CC49" s="58">
        <f>IF(AND($CC$4=1,CB49&lt;=nVariables),1,0)</f>
        <v/>
      </c>
      <c r="CD49" s="58">
        <f>IF(CC49=1,'M5'!$F19,"")</f>
        <v/>
      </c>
      <c r="CE49" s="58">
        <f>IF(CC49=1,'M5'!$E19,"")</f>
        <v/>
      </c>
      <c r="CF49" s="58">
        <f>IF(CC49=1,90+CD49*$CC$22,"")</f>
        <v/>
      </c>
      <c r="CG49" s="58">
        <f>IF(CC49=1,574-CE49*$CC$23,"")</f>
        <v/>
      </c>
      <c r="CH49" s="58">
        <f>IF(CC49=1,'M5'!$I19,"")</f>
        <v/>
      </c>
      <c r="CI49" s="58">
        <f>IF(CC49=1,IF(CH49="Motriz","#2A3439",IF(CH49="Enlace","#6699CC",IF(CH49="Resultado","#FFFFFF","#F5F5F5"))),"")</f>
        <v/>
      </c>
      <c r="CJ49" s="58">
        <f>IF(CC49=1,IF(SUMPRODUCT((CD$39:CD48=CD49)*(CE$39:CE48=CE49))=0,1,0),0)</f>
        <v/>
      </c>
      <c r="CK49" s="58">
        <f>IF(CJ49=1,10&amp;IF(AND(CD50=CD49,CE50=CE49),","&amp;11,"")&amp;IF(AND(CD51=CD49,CE51=CE49),","&amp;12,"")&amp;IF(AND(CD52=CD49,CE52=CE49),","&amp;13,"")&amp;IF(AND(CD53=CD49,CE53=CE49),","&amp;14,"")&amp;IF(AND(CD54=CD49,CE54=CE49),","&amp;15,"")&amp;IF(AND(CD55=CD49,CE55=CE49),","&amp;16,"")&amp;IF(AND(CD56=CD49,CE56=CE49),","&amp;17,"")&amp;IF(AND(CD57=CD49,CE57=CE49),","&amp;18,"")&amp;IF(AND(CD58=CD49,CE58=CE49),","&amp;19,"")&amp;IF(AND(CD59=CD49,CE59=CE49),","&amp;20,"")&amp;IF(AND(CD60=CD49,CE60=CE49),","&amp;21,"")&amp;IF(AND(CD61=CD49,CE61=CE49),","&amp;22,"")&amp;IF(AND(CD62=CD49,CE62=CE49),","&amp;23,"")&amp;IF(AND(CD63=CD49,CE63=CE49),","&amp;24,"")&amp;IF(AND(CD64=CD49,CE64=CE49),","&amp;25,"")&amp;IF(AND(CD65=CD49,CE65=CE49),","&amp;26,"")&amp;IF(AND(CD66=CD49,CE66=CE49),","&amp;27,"")&amp;IF(AND(CD67=CD49,CE67=CE49),","&amp;28,"")&amp;IF(AND(CD68=CD49,CE68=CE49),","&amp;29,"")&amp;IF(AND(CD69=CD49,CE69=CE49),","&amp;30,"")&amp;IF(AND(CD70=CD49,CE70=CE49),","&amp;31,"")&amp;IF(AND(CD71=CD49,CE71=CE49),","&amp;32,"")&amp;IF(AND(CD72=CD49,CE72=CE49),","&amp;33,"")&amp;IF(AND(CD73=CD49,CE73=CE49),","&amp;34,"")&amp;IF(AND(CD74=CD49,CE74=CE49),","&amp;35,"")&amp;IF(AND(CD75=CD49,CE75=CE49),","&amp;36,"")&amp;IF(AND(CD76=CD49,CE76=CE49),","&amp;37,"")&amp;IF(AND(CD77=CD49,CE77=CE49),","&amp;38,"")&amp;IF(AND(CD78=CD49,CE78=CE49),","&amp;39,"")&amp;IF(AND(CD79=CD49,CE79=CE49),","&amp;40,""),"")</f>
        <v/>
      </c>
      <c r="CL49" s="58">
        <f>IF(CJ49=1,IF(CH49="Motriz","&lt;circle cx='"&amp;SUBSTITUTE(ROUND(CF49,1),",",".")&amp;"' cy='"&amp;SUBSTITUTE(ROUND(CG49,1),",",".")&amp;"' r='6' fill='#2A3439' stroke='#2A3439' stroke-width='1.3'/&gt;",IF(CH49="Enlace","&lt;rect x='"&amp;SUBSTITUTE(ROUND((CF49)-5.52,1),",",".")&amp;"' y='"&amp;SUBSTITUTE(ROUND((CG49)-5.52,1),",",".")&amp;"' width='11.04' height='11.04' fill='#6699CC' stroke='#2A3439' stroke-width='1.3'/&gt;",IF(CH49="Resultado","&lt;path d='M"&amp;SUBSTITUTE(ROUND(CF49,1),",",".")&amp;" "&amp;SUBSTITUTE(ROUND((CG49)-6.9,1),",",".")&amp;"L"&amp;SUBSTITUTE(ROUND((CF49)+6.3,1),",",".")&amp;" "&amp;SUBSTITUTE(ROUND((CG49)+5.1,1),",",".")&amp;"L"&amp;SUBSTITUTE(ROUND((CF49)-6.3,1),",",".")&amp;" "&amp;SUBSTITUTE(ROUND((CG49)+5.1,1),",",".")&amp;"Z' fill='#FFFFFF' stroke='#2A3439' stroke-width='1.3'/&gt;","&lt;path d='M"&amp;SUBSTITUTE(ROUND(CF49,1),",",".")&amp;" "&amp;SUBSTITUTE(ROUND((CG49)-7.5,1),",",".")&amp;"L"&amp;SUBSTITUTE(ROUND((CF49)+7.5,1),",",".")&amp;" "&amp;SUBSTITUTE(ROUND(CG49,1),",",".")&amp;"L"&amp;SUBSTITUTE(ROUND(CF49,1),",",".")&amp;" "&amp;SUBSTITUTE(ROUND((CG49)+7.5,1),",",".")&amp;"L"&amp;SUBSTITUTE(ROUND((CF49)-7.5,1),",",".")&amp;" "&amp;SUBSTITUTE(ROUND(CG49,1),",",".")&amp;"Z' fill='#F5F5F5' stroke='#2A3439' stroke-width='1.3'/&gt;")))&amp;"&lt;text x='"&amp;SUBSTITUTE(ROUND(CF49+9,1),",",".")&amp;"' y='"&amp;SUBSTITUTE(ROUND(CG49-8,1),",",".")&amp;"'&gt;"&amp;CK49&amp;"&lt;/text&gt;","")</f>
        <v/>
      </c>
      <c r="CM49" s="58">
        <f>IF(CC49=1,IF(CH49="Motriz","&lt;circle cx='"&amp;SUBSTITUTE(ROUND(728,1),",",".")&amp;"' cy='"&amp;SUBSTITUTE(ROUND(247.8,1),",",".")&amp;"' r='4.3' fill='#2A3439' stroke='#2A3439' stroke-width='1.3'/&gt;",IF(CH49="Enlace","&lt;rect x='"&amp;SUBSTITUTE(ROUND((728)-3.96,1),",",".")&amp;"' y='"&amp;SUBSTITUTE(ROUND((247.8)-3.96,1),",",".")&amp;"' width='7.92' height='7.92' fill='#6699CC' stroke='#2A3439' stroke-width='1.3'/&gt;",IF(CH49="Resultado","&lt;path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CN49" s="58">
        <f>9*$CC$14</f>
        <v/>
      </c>
      <c r="CO49" s="58">
        <f>IF(9&lt;=$CC$16,"&lt;line x1='"&amp;SUBSTITUTE(ROUND(90+CN49*$CC$22,1),",",".")&amp;"' y1='84' x2='"&amp;SUBSTITUTE(ROUND(90+CN49*$CC$22,1),",",".")&amp;"' y2='574' stroke='#FFFFFF'/&gt;&lt;text x='"&amp;SUBSTITUTE(ROUND(90+CN49*$CC$22,1),",",".")&amp;"' y='590' text-anchor='middle'&gt;"&amp;ROUND(CN49*100,2)&amp;" %&lt;/text&gt;","")</f>
        <v/>
      </c>
      <c r="CP49" s="58">
        <f>9*$CC$19</f>
        <v/>
      </c>
      <c r="CQ49" s="58">
        <f>IF(9&lt;=$CC$21,"&lt;line x1='90' y1='"&amp;SUBSTITUTE(ROUND(574-CP49*$CC$23,1),",",".")&amp;"' x2='650' y2='"&amp;SUBSTITUTE(ROUND(574-CP49*$CC$23,1),",",".")&amp;"' stroke='#FFFFFF'/&gt;&lt;text x='84' y='"&amp;SUBSTITUTE(ROUND(574-CP49*$CC$23+3,1),",",".")&amp;"' text-anchor='end'&gt;"&amp;ROUND(CP49*100,2)&amp;" %&lt;/text&gt;","")</f>
        <v/>
      </c>
      <c r="CT49" s="58" t="n">
        <v>10</v>
      </c>
      <c r="CU49" s="58">
        <f>IF(AND($CU$4=1,CT49&lt;=nVariables),1,0)</f>
        <v/>
      </c>
      <c r="CV49" s="58">
        <f>IF(CU49=1,'M6'!$F19,"")</f>
        <v/>
      </c>
      <c r="CW49" s="58">
        <f>IF(CU49=1,'M6'!$E19,"")</f>
        <v/>
      </c>
      <c r="CX49" s="58">
        <f>IF(CU49=1,90+CV49*$CU$22,"")</f>
        <v/>
      </c>
      <c r="CY49" s="58">
        <f>IF(CU49=1,574-CW49*$CU$23,"")</f>
        <v/>
      </c>
      <c r="CZ49" s="58">
        <f>IF(CU49=1,'M6'!$I19,"")</f>
        <v/>
      </c>
      <c r="DA49" s="58">
        <f>IF(CU49=1,IF(CZ49="Motriz","#2A3439",IF(CZ49="Enlace","#6699CC",IF(CZ49="Resultado","#FFFFFF","#F5F5F5"))),"")</f>
        <v/>
      </c>
      <c r="DB49" s="58">
        <f>IF(CU49=1,IF(SUMPRODUCT((CV$39:CV48=CV49)*(CW$39:CW48=CW49))=0,1,0),0)</f>
        <v/>
      </c>
      <c r="DC49" s="58">
        <f>IF(DB49=1,10&amp;IF(AND(CV50=CV49,CW50=CW49),","&amp;11,"")&amp;IF(AND(CV51=CV49,CW51=CW49),","&amp;12,"")&amp;IF(AND(CV52=CV49,CW52=CW49),","&amp;13,"")&amp;IF(AND(CV53=CV49,CW53=CW49),","&amp;14,"")&amp;IF(AND(CV54=CV49,CW54=CW49),","&amp;15,"")&amp;IF(AND(CV55=CV49,CW55=CW49),","&amp;16,"")&amp;IF(AND(CV56=CV49,CW56=CW49),","&amp;17,"")&amp;IF(AND(CV57=CV49,CW57=CW49),","&amp;18,"")&amp;IF(AND(CV58=CV49,CW58=CW49),","&amp;19,"")&amp;IF(AND(CV59=CV49,CW59=CW49),","&amp;20,"")&amp;IF(AND(CV60=CV49,CW60=CW49),","&amp;21,"")&amp;IF(AND(CV61=CV49,CW61=CW49),","&amp;22,"")&amp;IF(AND(CV62=CV49,CW62=CW49),","&amp;23,"")&amp;IF(AND(CV63=CV49,CW63=CW49),","&amp;24,"")&amp;IF(AND(CV64=CV49,CW64=CW49),","&amp;25,"")&amp;IF(AND(CV65=CV49,CW65=CW49),","&amp;26,"")&amp;IF(AND(CV66=CV49,CW66=CW49),","&amp;27,"")&amp;IF(AND(CV67=CV49,CW67=CW49),","&amp;28,"")&amp;IF(AND(CV68=CV49,CW68=CW49),","&amp;29,"")&amp;IF(AND(CV69=CV49,CW69=CW49),","&amp;30,"")&amp;IF(AND(CV70=CV49,CW70=CW49),","&amp;31,"")&amp;IF(AND(CV71=CV49,CW71=CW49),","&amp;32,"")&amp;IF(AND(CV72=CV49,CW72=CW49),","&amp;33,"")&amp;IF(AND(CV73=CV49,CW73=CW49),","&amp;34,"")&amp;IF(AND(CV74=CV49,CW74=CW49),","&amp;35,"")&amp;IF(AND(CV75=CV49,CW75=CW49),","&amp;36,"")&amp;IF(AND(CV76=CV49,CW76=CW49),","&amp;37,"")&amp;IF(AND(CV77=CV49,CW77=CW49),","&amp;38,"")&amp;IF(AND(CV78=CV49,CW78=CW49),","&amp;39,"")&amp;IF(AND(CV79=CV49,CW79=CW49),","&amp;40,""),"")</f>
        <v/>
      </c>
      <c r="DD49" s="58">
        <f>IF(DB49=1,IF(CZ49="Motriz","&lt;circle cx='"&amp;SUBSTITUTE(ROUND(CX49,1),",",".")&amp;"' cy='"&amp;SUBSTITUTE(ROUND(CY49,1),",",".")&amp;"' r='6' fill='#2A3439' stroke='#2A3439' stroke-width='1.3'/&gt;",IF(CZ49="Enlace","&lt;rect x='"&amp;SUBSTITUTE(ROUND((CX49)-5.52,1),",",".")&amp;"' y='"&amp;SUBSTITUTE(ROUND((CY49)-5.52,1),",",".")&amp;"' width='11.04' height='11.04' fill='#6699CC' stroke='#2A3439' stroke-width='1.3'/&gt;",IF(CZ49="Resultado","&lt;path d='M"&amp;SUBSTITUTE(ROUND(CX49,1),",",".")&amp;" "&amp;SUBSTITUTE(ROUND((CY49)-6.9,1),",",".")&amp;"L"&amp;SUBSTITUTE(ROUND((CX49)+6.3,1),",",".")&amp;" "&amp;SUBSTITUTE(ROUND((CY49)+5.1,1),",",".")&amp;"L"&amp;SUBSTITUTE(ROUND((CX49)-6.3,1),",",".")&amp;" "&amp;SUBSTITUTE(ROUND((CY49)+5.1,1),",",".")&amp;"Z' fill='#FFFFFF' stroke='#2A3439' stroke-width='1.3'/&gt;","&lt;path d='M"&amp;SUBSTITUTE(ROUND(CX49,1),",",".")&amp;" "&amp;SUBSTITUTE(ROUND((CY49)-7.5,1),",",".")&amp;"L"&amp;SUBSTITUTE(ROUND((CX49)+7.5,1),",",".")&amp;" "&amp;SUBSTITUTE(ROUND(CY49,1),",",".")&amp;"L"&amp;SUBSTITUTE(ROUND(CX49,1),",",".")&amp;" "&amp;SUBSTITUTE(ROUND((CY49)+7.5,1),",",".")&amp;"L"&amp;SUBSTITUTE(ROUND((CX49)-7.5,1),",",".")&amp;" "&amp;SUBSTITUTE(ROUND(CY49,1),",",".")&amp;"Z' fill='#F5F5F5' stroke='#2A3439' stroke-width='1.3'/&gt;")))&amp;"&lt;text x='"&amp;SUBSTITUTE(ROUND(CX49+9,1),",",".")&amp;"' y='"&amp;SUBSTITUTE(ROUND(CY49-8,1),",",".")&amp;"'&gt;"&amp;DC49&amp;"&lt;/text&gt;","")</f>
        <v/>
      </c>
      <c r="DE49" s="58">
        <f>IF(CU49=1,IF(CZ49="Motriz","&lt;circle cx='"&amp;SUBSTITUTE(ROUND(728,1),",",".")&amp;"' cy='"&amp;SUBSTITUTE(ROUND(247.8,1),",",".")&amp;"' r='4.3' fill='#2A3439' stroke='#2A3439' stroke-width='1.3'/&gt;",IF(CZ49="Enlace","&lt;rect x='"&amp;SUBSTITUTE(ROUND((728)-3.96,1),",",".")&amp;"' y='"&amp;SUBSTITUTE(ROUND((247.8)-3.96,1),",",".")&amp;"' width='7.92' height='7.92' fill='#6699CC' stroke='#2A3439' stroke-width='1.3'/&gt;",IF(CZ49="Resultado","&lt;path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DF49" s="58">
        <f>9*$CU$14</f>
        <v/>
      </c>
      <c r="DG49" s="58">
        <f>IF(9&lt;=$CU$16,"&lt;line x1='"&amp;SUBSTITUTE(ROUND(90+DF49*$CU$22,1),",",".")&amp;"' y1='84' x2='"&amp;SUBSTITUTE(ROUND(90+DF49*$CU$22,1),",",".")&amp;"' y2='574' stroke='#FFFFFF'/&gt;&lt;text x='"&amp;SUBSTITUTE(ROUND(90+DF49*$CU$22,1),",",".")&amp;"' y='590' text-anchor='middle'&gt;"&amp;ROUND(DF49*100,2)&amp;" %&lt;/text&gt;","")</f>
        <v/>
      </c>
      <c r="DH49" s="58">
        <f>9*$CU$19</f>
        <v/>
      </c>
      <c r="DI49" s="58">
        <f>IF(9&lt;=$CU$21,"&lt;line x1='90' y1='"&amp;SUBSTITUTE(ROUND(574-DH49*$CU$23,1),",",".")&amp;"' x2='650' y2='"&amp;SUBSTITUTE(ROUND(574-DH49*$CU$23,1),",",".")&amp;"' stroke='#FFFFFF'/&gt;&lt;text x='84' y='"&amp;SUBSTITUTE(ROUND(574-DH49*$CU$23+3,1),",",".")&amp;"' text-anchor='end'&gt;"&amp;ROUND(DH49*100,2)&amp;" %&lt;/text&gt;","")</f>
        <v/>
      </c>
    </row>
    <row r="50">
      <c r="A50" s="58" t="n">
        <v>11</v>
      </c>
      <c r="B50" s="58">
        <f>IF($A50&lt;=nVariables,SUBSTITUTE(SUBSTITUTE(SUBSTITUTE(SUBSTITUTE(SUBSTITUTE(SUBSTITUTE(SUBSTITUTE(TRIM(CLEAN(IF(LEN(TRIM(M!$B20))&gt;46,LEFT(TRIM(M!$B20),45)&amp;"…",TRIM(M!$B20)))),"&amp;","&amp;amp;"),"&lt;","&amp;lt;"),"&gt;","&amp;gt;"),CHAR(34),"&amp;quot;"),CHAR(10)," "),CHAR(9)," "),CHAR(13)," "),"")</f>
        <v/>
      </c>
      <c r="C50" s="58">
        <f>IF($A50&lt;=nVariables,$A50&amp;". "&amp;B50,"")</f>
        <v/>
      </c>
      <c r="D50" s="58">
        <f>IF($A50&lt;=nVariables,IF(TRIM(M!$C20)&lt;&gt;"",TRIM(M!$C20),IF(LEN(TRIM(M!$B20))&gt;24,LEFT(TRIM(M!$B20),23)&amp;"…",TRIM(M!$B20))),"")</f>
        <v/>
      </c>
      <c r="E50" s="58">
        <f>IF($A50&lt;=nVariables,TRIM('Árbol de Problemas'!$F29),"")</f>
        <v/>
      </c>
      <c r="H50" s="58" t="n">
        <v>11</v>
      </c>
      <c r="I50" s="58">
        <f>IF(AND($I$4=1,H50&lt;=nVariables),1,0)</f>
        <v/>
      </c>
      <c r="J50" s="58">
        <f>IF(I50=1,'M1'!$F20,"")</f>
        <v/>
      </c>
      <c r="K50" s="58">
        <f>IF(I50=1,'M1'!$E20,"")</f>
        <v/>
      </c>
      <c r="L50" s="58">
        <f>IF(I50=1,90+J50*$I$22,"")</f>
        <v/>
      </c>
      <c r="M50" s="58">
        <f>IF(I50=1,574-K50*$I$23,"")</f>
        <v/>
      </c>
      <c r="N50" s="58">
        <f>IF(I50=1,'M1'!$I20,"")</f>
        <v/>
      </c>
      <c r="O50" s="58">
        <f>IF(I50=1,IF(N50="Motriz","#2A3439",IF(N50="Enlace","#6699CC",IF(N50="Resultado","#FFFFFF","#F5F5F5"))),"")</f>
        <v/>
      </c>
      <c r="P50" s="58">
        <f>IF(I50=1,IF(SUMPRODUCT((J$39:J49=J50)*(K$39:K49=K50))=0,1,0),0)</f>
        <v/>
      </c>
      <c r="Q50" s="58">
        <f>IF(P50=1,11&amp;IF(AND(J51=J50,K51=K50),","&amp;12,"")&amp;IF(AND(J52=J50,K52=K50),","&amp;13,"")&amp;IF(AND(J53=J50,K53=K50),","&amp;14,"")&amp;IF(AND(J54=J50,K54=K50),","&amp;15,"")&amp;IF(AND(J55=J50,K55=K50),","&amp;16,"")&amp;IF(AND(J56=J50,K56=K50),","&amp;17,"")&amp;IF(AND(J57=J50,K57=K50),","&amp;18,"")&amp;IF(AND(J58=J50,K58=K50),","&amp;19,"")&amp;IF(AND(J59=J50,K59=K50),","&amp;20,"")&amp;IF(AND(J60=J50,K60=K50),","&amp;21,"")&amp;IF(AND(J61=J50,K61=K50),","&amp;22,"")&amp;IF(AND(J62=J50,K62=K50),","&amp;23,"")&amp;IF(AND(J63=J50,K63=K50),","&amp;24,"")&amp;IF(AND(J64=J50,K64=K50),","&amp;25,"")&amp;IF(AND(J65=J50,K65=K50),","&amp;26,"")&amp;IF(AND(J66=J50,K66=K50),","&amp;27,"")&amp;IF(AND(J67=J50,K67=K50),","&amp;28,"")&amp;IF(AND(J68=J50,K68=K50),","&amp;29,"")&amp;IF(AND(J69=J50,K69=K50),","&amp;30,"")&amp;IF(AND(J70=J50,K70=K50),","&amp;31,"")&amp;IF(AND(J71=J50,K71=K50),","&amp;32,"")&amp;IF(AND(J72=J50,K72=K50),","&amp;33,"")&amp;IF(AND(J73=J50,K73=K50),","&amp;34,"")&amp;IF(AND(J74=J50,K74=K50),","&amp;35,"")&amp;IF(AND(J75=J50,K75=K50),","&amp;36,"")&amp;IF(AND(J76=J50,K76=K50),","&amp;37,"")&amp;IF(AND(J77=J50,K77=K50),","&amp;38,"")&amp;IF(AND(J78=J50,K78=K50),","&amp;39,"")&amp;IF(AND(J79=J50,K79=K50),","&amp;40,""),"")</f>
        <v/>
      </c>
      <c r="R50" s="58">
        <f>IF(P50=1,IF(N50="Motriz","&lt;circle cx='"&amp;SUBSTITUTE(ROUND(L50,1),",",".")&amp;"' cy='"&amp;SUBSTITUTE(ROUND(M50,1),",",".")&amp;"' r='6' fill='#2A3439' stroke='#2A3439' stroke-width='1.3'/&gt;",IF(N50="Enlace","&lt;rect x='"&amp;SUBSTITUTE(ROUND((L50)-5.52,1),",",".")&amp;"' y='"&amp;SUBSTITUTE(ROUND((M50)-5.52,1),",",".")&amp;"' width='11.04' height='11.04' fill='#6699CC' stroke='#2A3439' stroke-width='1.3'/&gt;",IF(N50="Resultado","&lt;path d='M"&amp;SUBSTITUTE(ROUND(L50,1),",",".")&amp;" "&amp;SUBSTITUTE(ROUND((M50)-6.9,1),",",".")&amp;"L"&amp;SUBSTITUTE(ROUND((L50)+6.3,1),",",".")&amp;" "&amp;SUBSTITUTE(ROUND((M50)+5.1,1),",",".")&amp;"L"&amp;SUBSTITUTE(ROUND((L50)-6.3,1),",",".")&amp;" "&amp;SUBSTITUTE(ROUND((M50)+5.1,1),",",".")&amp;"Z' fill='#FFFFFF' stroke='#2A3439' stroke-width='1.3'/&gt;","&lt;path d='M"&amp;SUBSTITUTE(ROUND(L50,1),",",".")&amp;" "&amp;SUBSTITUTE(ROUND((M50)-7.5,1),",",".")&amp;"L"&amp;SUBSTITUTE(ROUND((L50)+7.5,1),",",".")&amp;" "&amp;SUBSTITUTE(ROUND(M50,1),",",".")&amp;"L"&amp;SUBSTITUTE(ROUND(L50,1),",",".")&amp;" "&amp;SUBSTITUTE(ROUND((M50)+7.5,1),",",".")&amp;"L"&amp;SUBSTITUTE(ROUND((L50)-7.5,1),",",".")&amp;" "&amp;SUBSTITUTE(ROUND(M50,1),",",".")&amp;"Z' fill='#F5F5F5' stroke='#2A3439' stroke-width='1.3'/&gt;")))&amp;"&lt;text x='"&amp;SUBSTITUTE(ROUND(L50+9,1),",",".")&amp;"' y='"&amp;SUBSTITUTE(ROUND(M50-8,1),",",".")&amp;"'&gt;"&amp;Q50&amp;"&lt;/text&gt;","")</f>
        <v/>
      </c>
      <c r="S50" s="58">
        <f>IF(I50=1,IF(N50="Motriz","&lt;circle cx='"&amp;SUBSTITUTE(ROUND(728,1),",",".")&amp;"' cy='"&amp;SUBSTITUTE(ROUND(262,1),",",".")&amp;"' r='4.3' fill='#2A3439' stroke='#2A3439' stroke-width='1.3'/&gt;",IF(N50="Enlace","&lt;rect x='"&amp;SUBSTITUTE(ROUND((728)-3.96,1),",",".")&amp;"' y='"&amp;SUBSTITUTE(ROUND((262)-3.96,1),",",".")&amp;"' width='7.92' height='7.92' fill='#6699CC' stroke='#2A3439' stroke-width='1.3'/&gt;",IF(N50="Resultado","&lt;path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T50" s="58">
        <f>10*$I$14</f>
        <v/>
      </c>
      <c r="U50" s="58">
        <f>IF(10&lt;=$I$16,"&lt;line x1='"&amp;SUBSTITUTE(ROUND(90+T50*$I$22,1),",",".")&amp;"' y1='84' x2='"&amp;SUBSTITUTE(ROUND(90+T50*$I$22,1),",",".")&amp;"' y2='574' stroke='#FFFFFF'/&gt;&lt;text x='"&amp;SUBSTITUTE(ROUND(90+T50*$I$22,1),",",".")&amp;"' y='590' text-anchor='middle'&gt;"&amp;ROUND(T50*100,2)&amp;" %&lt;/text&gt;","")</f>
        <v/>
      </c>
      <c r="V50" s="58">
        <f>10*$I$19</f>
        <v/>
      </c>
      <c r="W50" s="58">
        <f>IF(10&lt;=$I$21,"&lt;line x1='90' y1='"&amp;SUBSTITUTE(ROUND(574-V50*$I$23,1),",",".")&amp;"' x2='650' y2='"&amp;SUBSTITUTE(ROUND(574-V50*$I$23,1),",",".")&amp;"' stroke='#FFFFFF'/&gt;&lt;text x='84' y='"&amp;SUBSTITUTE(ROUND(574-V50*$I$23+3,1),",",".")&amp;"' text-anchor='end'&gt;"&amp;ROUND(V50*100,2)&amp;" %&lt;/text&gt;","")</f>
        <v/>
      </c>
      <c r="Z50" s="58" t="n">
        <v>11</v>
      </c>
      <c r="AA50" s="58">
        <f>IF(AND($AA$4=1,Z50&lt;=nVariables),1,0)</f>
        <v/>
      </c>
      <c r="AB50" s="58">
        <f>IF(AA50=1,'M2'!$F20,"")</f>
        <v/>
      </c>
      <c r="AC50" s="58">
        <f>IF(AA50=1,'M2'!$E20,"")</f>
        <v/>
      </c>
      <c r="AD50" s="58">
        <f>IF(AA50=1,90+AB50*$AA$22,"")</f>
        <v/>
      </c>
      <c r="AE50" s="58">
        <f>IF(AA50=1,574-AC50*$AA$23,"")</f>
        <v/>
      </c>
      <c r="AF50" s="58">
        <f>IF(AA50=1,'M2'!$I20,"")</f>
        <v/>
      </c>
      <c r="AG50" s="58">
        <f>IF(AA50=1,IF(AF50="Motriz","#2A3439",IF(AF50="Enlace","#6699CC",IF(AF50="Resultado","#FFFFFF","#F5F5F5"))),"")</f>
        <v/>
      </c>
      <c r="AH50" s="58">
        <f>IF(AA50=1,IF(SUMPRODUCT((AB$39:AB49=AB50)*(AC$39:AC49=AC50))=0,1,0),0)</f>
        <v/>
      </c>
      <c r="AI50" s="58">
        <f>IF(AH50=1,11&amp;IF(AND(AB51=AB50,AC51=AC50),","&amp;12,"")&amp;IF(AND(AB52=AB50,AC52=AC50),","&amp;13,"")&amp;IF(AND(AB53=AB50,AC53=AC50),","&amp;14,"")&amp;IF(AND(AB54=AB50,AC54=AC50),","&amp;15,"")&amp;IF(AND(AB55=AB50,AC55=AC50),","&amp;16,"")&amp;IF(AND(AB56=AB50,AC56=AC50),","&amp;17,"")&amp;IF(AND(AB57=AB50,AC57=AC50),","&amp;18,"")&amp;IF(AND(AB58=AB50,AC58=AC50),","&amp;19,"")&amp;IF(AND(AB59=AB50,AC59=AC50),","&amp;20,"")&amp;IF(AND(AB60=AB50,AC60=AC50),","&amp;21,"")&amp;IF(AND(AB61=AB50,AC61=AC50),","&amp;22,"")&amp;IF(AND(AB62=AB50,AC62=AC50),","&amp;23,"")&amp;IF(AND(AB63=AB50,AC63=AC50),","&amp;24,"")&amp;IF(AND(AB64=AB50,AC64=AC50),","&amp;25,"")&amp;IF(AND(AB65=AB50,AC65=AC50),","&amp;26,"")&amp;IF(AND(AB66=AB50,AC66=AC50),","&amp;27,"")&amp;IF(AND(AB67=AB50,AC67=AC50),","&amp;28,"")&amp;IF(AND(AB68=AB50,AC68=AC50),","&amp;29,"")&amp;IF(AND(AB69=AB50,AC69=AC50),","&amp;30,"")&amp;IF(AND(AB70=AB50,AC70=AC50),","&amp;31,"")&amp;IF(AND(AB71=AB50,AC71=AC50),","&amp;32,"")&amp;IF(AND(AB72=AB50,AC72=AC50),","&amp;33,"")&amp;IF(AND(AB73=AB50,AC73=AC50),","&amp;34,"")&amp;IF(AND(AB74=AB50,AC74=AC50),","&amp;35,"")&amp;IF(AND(AB75=AB50,AC75=AC50),","&amp;36,"")&amp;IF(AND(AB76=AB50,AC76=AC50),","&amp;37,"")&amp;IF(AND(AB77=AB50,AC77=AC50),","&amp;38,"")&amp;IF(AND(AB78=AB50,AC78=AC50),","&amp;39,"")&amp;IF(AND(AB79=AB50,AC79=AC50),","&amp;40,""),"")</f>
        <v/>
      </c>
      <c r="AJ50" s="58">
        <f>IF(AH50=1,IF(AF50="Motriz","&lt;circle cx='"&amp;SUBSTITUTE(ROUND(AD50,1),",",".")&amp;"' cy='"&amp;SUBSTITUTE(ROUND(AE50,1),",",".")&amp;"' r='6' fill='#2A3439' stroke='#2A3439' stroke-width='1.3'/&gt;",IF(AF50="Enlace","&lt;rect x='"&amp;SUBSTITUTE(ROUND((AD50)-5.52,1),",",".")&amp;"' y='"&amp;SUBSTITUTE(ROUND((AE50)-5.52,1),",",".")&amp;"' width='11.04' height='11.04' fill='#6699CC' stroke='#2A3439' stroke-width='1.3'/&gt;",IF(AF50="Resultado","&lt;path d='M"&amp;SUBSTITUTE(ROUND(AD50,1),",",".")&amp;" "&amp;SUBSTITUTE(ROUND((AE50)-6.9,1),",",".")&amp;"L"&amp;SUBSTITUTE(ROUND((AD50)+6.3,1),",",".")&amp;" "&amp;SUBSTITUTE(ROUND((AE50)+5.1,1),",",".")&amp;"L"&amp;SUBSTITUTE(ROUND((AD50)-6.3,1),",",".")&amp;" "&amp;SUBSTITUTE(ROUND((AE50)+5.1,1),",",".")&amp;"Z' fill='#FFFFFF' stroke='#2A3439' stroke-width='1.3'/&gt;","&lt;path d='M"&amp;SUBSTITUTE(ROUND(AD50,1),",",".")&amp;" "&amp;SUBSTITUTE(ROUND((AE50)-7.5,1),",",".")&amp;"L"&amp;SUBSTITUTE(ROUND((AD50)+7.5,1),",",".")&amp;" "&amp;SUBSTITUTE(ROUND(AE50,1),",",".")&amp;"L"&amp;SUBSTITUTE(ROUND(AD50,1),",",".")&amp;" "&amp;SUBSTITUTE(ROUND((AE50)+7.5,1),",",".")&amp;"L"&amp;SUBSTITUTE(ROUND((AD50)-7.5,1),",",".")&amp;" "&amp;SUBSTITUTE(ROUND(AE50,1),",",".")&amp;"Z' fill='#F5F5F5' stroke='#2A3439' stroke-width='1.3'/&gt;")))&amp;"&lt;text x='"&amp;SUBSTITUTE(ROUND(AD50+9,1),",",".")&amp;"' y='"&amp;SUBSTITUTE(ROUND(AE50-8,1),",",".")&amp;"'&gt;"&amp;AI50&amp;"&lt;/text&gt;","")</f>
        <v/>
      </c>
      <c r="AK50" s="58">
        <f>IF(AA50=1,IF(AF50="Motriz","&lt;circle cx='"&amp;SUBSTITUTE(ROUND(728,1),",",".")&amp;"' cy='"&amp;SUBSTITUTE(ROUND(262,1),",",".")&amp;"' r='4.3' fill='#2A3439' stroke='#2A3439' stroke-width='1.3'/&gt;",IF(AF50="Enlace","&lt;rect x='"&amp;SUBSTITUTE(ROUND((728)-3.96,1),",",".")&amp;"' y='"&amp;SUBSTITUTE(ROUND((262)-3.96,1),",",".")&amp;"' width='7.92' height='7.92' fill='#6699CC' stroke='#2A3439' stroke-width='1.3'/&gt;",IF(AF50="Resultado","&lt;path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AL50" s="58">
        <f>10*$AA$14</f>
        <v/>
      </c>
      <c r="AM50" s="58">
        <f>IF(10&lt;=$AA$16,"&lt;line x1='"&amp;SUBSTITUTE(ROUND(90+AL50*$AA$22,1),",",".")&amp;"' y1='84' x2='"&amp;SUBSTITUTE(ROUND(90+AL50*$AA$22,1),",",".")&amp;"' y2='574' stroke='#FFFFFF'/&gt;&lt;text x='"&amp;SUBSTITUTE(ROUND(90+AL50*$AA$22,1),",",".")&amp;"' y='590' text-anchor='middle'&gt;"&amp;ROUND(AL50*100,2)&amp;" %&lt;/text&gt;","")</f>
        <v/>
      </c>
      <c r="AN50" s="58">
        <f>10*$AA$19</f>
        <v/>
      </c>
      <c r="AO50" s="58">
        <f>IF(10&lt;=$AA$21,"&lt;line x1='90' y1='"&amp;SUBSTITUTE(ROUND(574-AN50*$AA$23,1),",",".")&amp;"' x2='650' y2='"&amp;SUBSTITUTE(ROUND(574-AN50*$AA$23,1),",",".")&amp;"' stroke='#FFFFFF'/&gt;&lt;text x='84' y='"&amp;SUBSTITUTE(ROUND(574-AN50*$AA$23+3,1),",",".")&amp;"' text-anchor='end'&gt;"&amp;ROUND(AN50*100,2)&amp;" %&lt;/text&gt;","")</f>
        <v/>
      </c>
      <c r="AR50" s="58" t="n">
        <v>11</v>
      </c>
      <c r="AS50" s="58">
        <f>IF(AND($AS$4=1,AR50&lt;=nVariables),1,0)</f>
        <v/>
      </c>
      <c r="AT50" s="58">
        <f>IF(AS50=1,'M3'!$F20,"")</f>
        <v/>
      </c>
      <c r="AU50" s="58">
        <f>IF(AS50=1,'M3'!$E20,"")</f>
        <v/>
      </c>
      <c r="AV50" s="58">
        <f>IF(AS50=1,90+AT50*$AS$22,"")</f>
        <v/>
      </c>
      <c r="AW50" s="58">
        <f>IF(AS50=1,574-AU50*$AS$23,"")</f>
        <v/>
      </c>
      <c r="AX50" s="58">
        <f>IF(AS50=1,'M3'!$I20,"")</f>
        <v/>
      </c>
      <c r="AY50" s="58">
        <f>IF(AS50=1,IF(AX50="Motriz","#2A3439",IF(AX50="Enlace","#6699CC",IF(AX50="Resultado","#FFFFFF","#F5F5F5"))),"")</f>
        <v/>
      </c>
      <c r="AZ50" s="58">
        <f>IF(AS50=1,IF(SUMPRODUCT((AT$39:AT49=AT50)*(AU$39:AU49=AU50))=0,1,0),0)</f>
        <v/>
      </c>
      <c r="BA50" s="58">
        <f>IF(AZ50=1,11&amp;IF(AND(AT51=AT50,AU51=AU50),","&amp;12,"")&amp;IF(AND(AT52=AT50,AU52=AU50),","&amp;13,"")&amp;IF(AND(AT53=AT50,AU53=AU50),","&amp;14,"")&amp;IF(AND(AT54=AT50,AU54=AU50),","&amp;15,"")&amp;IF(AND(AT55=AT50,AU55=AU50),","&amp;16,"")&amp;IF(AND(AT56=AT50,AU56=AU50),","&amp;17,"")&amp;IF(AND(AT57=AT50,AU57=AU50),","&amp;18,"")&amp;IF(AND(AT58=AT50,AU58=AU50),","&amp;19,"")&amp;IF(AND(AT59=AT50,AU59=AU50),","&amp;20,"")&amp;IF(AND(AT60=AT50,AU60=AU50),","&amp;21,"")&amp;IF(AND(AT61=AT50,AU61=AU50),","&amp;22,"")&amp;IF(AND(AT62=AT50,AU62=AU50),","&amp;23,"")&amp;IF(AND(AT63=AT50,AU63=AU50),","&amp;24,"")&amp;IF(AND(AT64=AT50,AU64=AU50),","&amp;25,"")&amp;IF(AND(AT65=AT50,AU65=AU50),","&amp;26,"")&amp;IF(AND(AT66=AT50,AU66=AU50),","&amp;27,"")&amp;IF(AND(AT67=AT50,AU67=AU50),","&amp;28,"")&amp;IF(AND(AT68=AT50,AU68=AU50),","&amp;29,"")&amp;IF(AND(AT69=AT50,AU69=AU50),","&amp;30,"")&amp;IF(AND(AT70=AT50,AU70=AU50),","&amp;31,"")&amp;IF(AND(AT71=AT50,AU71=AU50),","&amp;32,"")&amp;IF(AND(AT72=AT50,AU72=AU50),","&amp;33,"")&amp;IF(AND(AT73=AT50,AU73=AU50),","&amp;34,"")&amp;IF(AND(AT74=AT50,AU74=AU50),","&amp;35,"")&amp;IF(AND(AT75=AT50,AU75=AU50),","&amp;36,"")&amp;IF(AND(AT76=AT50,AU76=AU50),","&amp;37,"")&amp;IF(AND(AT77=AT50,AU77=AU50),","&amp;38,"")&amp;IF(AND(AT78=AT50,AU78=AU50),","&amp;39,"")&amp;IF(AND(AT79=AT50,AU79=AU50),","&amp;40,""),"")</f>
        <v/>
      </c>
      <c r="BB50" s="58">
        <f>IF(AZ50=1,IF(AX50="Motriz","&lt;circle cx='"&amp;SUBSTITUTE(ROUND(AV50,1),",",".")&amp;"' cy='"&amp;SUBSTITUTE(ROUND(AW50,1),",",".")&amp;"' r='6' fill='#2A3439' stroke='#2A3439' stroke-width='1.3'/&gt;",IF(AX50="Enlace","&lt;rect x='"&amp;SUBSTITUTE(ROUND((AV50)-5.52,1),",",".")&amp;"' y='"&amp;SUBSTITUTE(ROUND((AW50)-5.52,1),",",".")&amp;"' width='11.04' height='11.04' fill='#6699CC' stroke='#2A3439' stroke-width='1.3'/&gt;",IF(AX50="Resultado","&lt;path d='M"&amp;SUBSTITUTE(ROUND(AV50,1),",",".")&amp;" "&amp;SUBSTITUTE(ROUND((AW50)-6.9,1),",",".")&amp;"L"&amp;SUBSTITUTE(ROUND((AV50)+6.3,1),",",".")&amp;" "&amp;SUBSTITUTE(ROUND((AW50)+5.1,1),",",".")&amp;"L"&amp;SUBSTITUTE(ROUND((AV50)-6.3,1),",",".")&amp;" "&amp;SUBSTITUTE(ROUND((AW50)+5.1,1),",",".")&amp;"Z' fill='#FFFFFF' stroke='#2A3439' stroke-width='1.3'/&gt;","&lt;path d='M"&amp;SUBSTITUTE(ROUND(AV50,1),",",".")&amp;" "&amp;SUBSTITUTE(ROUND((AW50)-7.5,1),",",".")&amp;"L"&amp;SUBSTITUTE(ROUND((AV50)+7.5,1),",",".")&amp;" "&amp;SUBSTITUTE(ROUND(AW50,1),",",".")&amp;"L"&amp;SUBSTITUTE(ROUND(AV50,1),",",".")&amp;" "&amp;SUBSTITUTE(ROUND((AW50)+7.5,1),",",".")&amp;"L"&amp;SUBSTITUTE(ROUND((AV50)-7.5,1),",",".")&amp;" "&amp;SUBSTITUTE(ROUND(AW50,1),",",".")&amp;"Z' fill='#F5F5F5' stroke='#2A3439' stroke-width='1.3'/&gt;")))&amp;"&lt;text x='"&amp;SUBSTITUTE(ROUND(AV50+9,1),",",".")&amp;"' y='"&amp;SUBSTITUTE(ROUND(AW50-8,1),",",".")&amp;"'&gt;"&amp;BA50&amp;"&lt;/text&gt;","")</f>
        <v/>
      </c>
      <c r="BC50" s="58">
        <f>IF(AS50=1,IF(AX50="Motriz","&lt;circle cx='"&amp;SUBSTITUTE(ROUND(728,1),",",".")&amp;"' cy='"&amp;SUBSTITUTE(ROUND(262,1),",",".")&amp;"' r='4.3' fill='#2A3439' stroke='#2A3439' stroke-width='1.3'/&gt;",IF(AX50="Enlace","&lt;rect x='"&amp;SUBSTITUTE(ROUND((728)-3.96,1),",",".")&amp;"' y='"&amp;SUBSTITUTE(ROUND((262)-3.96,1),",",".")&amp;"' width='7.92' height='7.92' fill='#6699CC' stroke='#2A3439' stroke-width='1.3'/&gt;",IF(AX50="Resultado","&lt;path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BD50" s="58">
        <f>10*$AS$14</f>
        <v/>
      </c>
      <c r="BE50" s="58">
        <f>IF(10&lt;=$AS$16,"&lt;line x1='"&amp;SUBSTITUTE(ROUND(90+BD50*$AS$22,1),",",".")&amp;"' y1='84' x2='"&amp;SUBSTITUTE(ROUND(90+BD50*$AS$22,1),",",".")&amp;"' y2='574' stroke='#FFFFFF'/&gt;&lt;text x='"&amp;SUBSTITUTE(ROUND(90+BD50*$AS$22,1),",",".")&amp;"' y='590' text-anchor='middle'&gt;"&amp;ROUND(BD50*100,2)&amp;" %&lt;/text&gt;","")</f>
        <v/>
      </c>
      <c r="BF50" s="58">
        <f>10*$AS$19</f>
        <v/>
      </c>
      <c r="BG50" s="58">
        <f>IF(10&lt;=$AS$21,"&lt;line x1='90' y1='"&amp;SUBSTITUTE(ROUND(574-BF50*$AS$23,1),",",".")&amp;"' x2='650' y2='"&amp;SUBSTITUTE(ROUND(574-BF50*$AS$23,1),",",".")&amp;"' stroke='#FFFFFF'/&gt;&lt;text x='84' y='"&amp;SUBSTITUTE(ROUND(574-BF50*$AS$23+3,1),",",".")&amp;"' text-anchor='end'&gt;"&amp;ROUND(BF50*100,2)&amp;" %&lt;/text&gt;","")</f>
        <v/>
      </c>
      <c r="BJ50" s="58" t="n">
        <v>11</v>
      </c>
      <c r="BK50" s="58">
        <f>IF(AND($BK$4=1,BJ50&lt;=nVariables),1,0)</f>
        <v/>
      </c>
      <c r="BL50" s="58">
        <f>IF(BK50=1,'M4'!$F20,"")</f>
        <v/>
      </c>
      <c r="BM50" s="58">
        <f>IF(BK50=1,'M4'!$E20,"")</f>
        <v/>
      </c>
      <c r="BN50" s="58">
        <f>IF(BK50=1,90+BL50*$BK$22,"")</f>
        <v/>
      </c>
      <c r="BO50" s="58">
        <f>IF(BK50=1,574-BM50*$BK$23,"")</f>
        <v/>
      </c>
      <c r="BP50" s="58">
        <f>IF(BK50=1,'M4'!$I20,"")</f>
        <v/>
      </c>
      <c r="BQ50" s="58">
        <f>IF(BK50=1,IF(BP50="Motriz","#2A3439",IF(BP50="Enlace","#6699CC",IF(BP50="Resultado","#FFFFFF","#F5F5F5"))),"")</f>
        <v/>
      </c>
      <c r="BR50" s="58">
        <f>IF(BK50=1,IF(SUMPRODUCT((BL$39:BL49=BL50)*(BM$39:BM49=BM50))=0,1,0),0)</f>
        <v/>
      </c>
      <c r="BS50" s="58">
        <f>IF(BR50=1,11&amp;IF(AND(BL51=BL50,BM51=BM50),","&amp;12,"")&amp;IF(AND(BL52=BL50,BM52=BM50),","&amp;13,"")&amp;IF(AND(BL53=BL50,BM53=BM50),","&amp;14,"")&amp;IF(AND(BL54=BL50,BM54=BM50),","&amp;15,"")&amp;IF(AND(BL55=BL50,BM55=BM50),","&amp;16,"")&amp;IF(AND(BL56=BL50,BM56=BM50),","&amp;17,"")&amp;IF(AND(BL57=BL50,BM57=BM50),","&amp;18,"")&amp;IF(AND(BL58=BL50,BM58=BM50),","&amp;19,"")&amp;IF(AND(BL59=BL50,BM59=BM50),","&amp;20,"")&amp;IF(AND(BL60=BL50,BM60=BM50),","&amp;21,"")&amp;IF(AND(BL61=BL50,BM61=BM50),","&amp;22,"")&amp;IF(AND(BL62=BL50,BM62=BM50),","&amp;23,"")&amp;IF(AND(BL63=BL50,BM63=BM50),","&amp;24,"")&amp;IF(AND(BL64=BL50,BM64=BM50),","&amp;25,"")&amp;IF(AND(BL65=BL50,BM65=BM50),","&amp;26,"")&amp;IF(AND(BL66=BL50,BM66=BM50),","&amp;27,"")&amp;IF(AND(BL67=BL50,BM67=BM50),","&amp;28,"")&amp;IF(AND(BL68=BL50,BM68=BM50),","&amp;29,"")&amp;IF(AND(BL69=BL50,BM69=BM50),","&amp;30,"")&amp;IF(AND(BL70=BL50,BM70=BM50),","&amp;31,"")&amp;IF(AND(BL71=BL50,BM71=BM50),","&amp;32,"")&amp;IF(AND(BL72=BL50,BM72=BM50),","&amp;33,"")&amp;IF(AND(BL73=BL50,BM73=BM50),","&amp;34,"")&amp;IF(AND(BL74=BL50,BM74=BM50),","&amp;35,"")&amp;IF(AND(BL75=BL50,BM75=BM50),","&amp;36,"")&amp;IF(AND(BL76=BL50,BM76=BM50),","&amp;37,"")&amp;IF(AND(BL77=BL50,BM77=BM50),","&amp;38,"")&amp;IF(AND(BL78=BL50,BM78=BM50),","&amp;39,"")&amp;IF(AND(BL79=BL50,BM79=BM50),","&amp;40,""),"")</f>
        <v/>
      </c>
      <c r="BT50" s="58">
        <f>IF(BR50=1,IF(BP50="Motriz","&lt;circle cx='"&amp;SUBSTITUTE(ROUND(BN50,1),",",".")&amp;"' cy='"&amp;SUBSTITUTE(ROUND(BO50,1),",",".")&amp;"' r='6' fill='#2A3439' stroke='#2A3439' stroke-width='1.3'/&gt;",IF(BP50="Enlace","&lt;rect x='"&amp;SUBSTITUTE(ROUND((BN50)-5.52,1),",",".")&amp;"' y='"&amp;SUBSTITUTE(ROUND((BO50)-5.52,1),",",".")&amp;"' width='11.04' height='11.04' fill='#6699CC' stroke='#2A3439' stroke-width='1.3'/&gt;",IF(BP50="Resultado","&lt;path d='M"&amp;SUBSTITUTE(ROUND(BN50,1),",",".")&amp;" "&amp;SUBSTITUTE(ROUND((BO50)-6.9,1),",",".")&amp;"L"&amp;SUBSTITUTE(ROUND((BN50)+6.3,1),",",".")&amp;" "&amp;SUBSTITUTE(ROUND((BO50)+5.1,1),",",".")&amp;"L"&amp;SUBSTITUTE(ROUND((BN50)-6.3,1),",",".")&amp;" "&amp;SUBSTITUTE(ROUND((BO50)+5.1,1),",",".")&amp;"Z' fill='#FFFFFF' stroke='#2A3439' stroke-width='1.3'/&gt;","&lt;path d='M"&amp;SUBSTITUTE(ROUND(BN50,1),",",".")&amp;" "&amp;SUBSTITUTE(ROUND((BO50)-7.5,1),",",".")&amp;"L"&amp;SUBSTITUTE(ROUND((BN50)+7.5,1),",",".")&amp;" "&amp;SUBSTITUTE(ROUND(BO50,1),",",".")&amp;"L"&amp;SUBSTITUTE(ROUND(BN50,1),",",".")&amp;" "&amp;SUBSTITUTE(ROUND((BO50)+7.5,1),",",".")&amp;"L"&amp;SUBSTITUTE(ROUND((BN50)-7.5,1),",",".")&amp;" "&amp;SUBSTITUTE(ROUND(BO50,1),",",".")&amp;"Z' fill='#F5F5F5' stroke='#2A3439' stroke-width='1.3'/&gt;")))&amp;"&lt;text x='"&amp;SUBSTITUTE(ROUND(BN50+9,1),",",".")&amp;"' y='"&amp;SUBSTITUTE(ROUND(BO50-8,1),",",".")&amp;"'&gt;"&amp;BS50&amp;"&lt;/text&gt;","")</f>
        <v/>
      </c>
      <c r="BU50" s="58">
        <f>IF(BK50=1,IF(BP50="Motriz","&lt;circle cx='"&amp;SUBSTITUTE(ROUND(728,1),",",".")&amp;"' cy='"&amp;SUBSTITUTE(ROUND(262,1),",",".")&amp;"' r='4.3' fill='#2A3439' stroke='#2A3439' stroke-width='1.3'/&gt;",IF(BP50="Enlace","&lt;rect x='"&amp;SUBSTITUTE(ROUND((728)-3.96,1),",",".")&amp;"' y='"&amp;SUBSTITUTE(ROUND((262)-3.96,1),",",".")&amp;"' width='7.92' height='7.92' fill='#6699CC' stroke='#2A3439' stroke-width='1.3'/&gt;",IF(BP50="Resultado","&lt;path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BV50" s="58">
        <f>10*$BK$14</f>
        <v/>
      </c>
      <c r="BW50" s="58">
        <f>IF(10&lt;=$BK$16,"&lt;line x1='"&amp;SUBSTITUTE(ROUND(90+BV50*$BK$22,1),",",".")&amp;"' y1='84' x2='"&amp;SUBSTITUTE(ROUND(90+BV50*$BK$22,1),",",".")&amp;"' y2='574' stroke='#FFFFFF'/&gt;&lt;text x='"&amp;SUBSTITUTE(ROUND(90+BV50*$BK$22,1),",",".")&amp;"' y='590' text-anchor='middle'&gt;"&amp;ROUND(BV50*100,2)&amp;" %&lt;/text&gt;","")</f>
        <v/>
      </c>
      <c r="BX50" s="58">
        <f>10*$BK$19</f>
        <v/>
      </c>
      <c r="BY50" s="58">
        <f>IF(10&lt;=$BK$21,"&lt;line x1='90' y1='"&amp;SUBSTITUTE(ROUND(574-BX50*$BK$23,1),",",".")&amp;"' x2='650' y2='"&amp;SUBSTITUTE(ROUND(574-BX50*$BK$23,1),",",".")&amp;"' stroke='#FFFFFF'/&gt;&lt;text x='84' y='"&amp;SUBSTITUTE(ROUND(574-BX50*$BK$23+3,1),",",".")&amp;"' text-anchor='end'&gt;"&amp;ROUND(BX50*100,2)&amp;" %&lt;/text&gt;","")</f>
        <v/>
      </c>
      <c r="CB50" s="58" t="n">
        <v>11</v>
      </c>
      <c r="CC50" s="58">
        <f>IF(AND($CC$4=1,CB50&lt;=nVariables),1,0)</f>
        <v/>
      </c>
      <c r="CD50" s="58">
        <f>IF(CC50=1,'M5'!$F20,"")</f>
        <v/>
      </c>
      <c r="CE50" s="58">
        <f>IF(CC50=1,'M5'!$E20,"")</f>
        <v/>
      </c>
      <c r="CF50" s="58">
        <f>IF(CC50=1,90+CD50*$CC$22,"")</f>
        <v/>
      </c>
      <c r="CG50" s="58">
        <f>IF(CC50=1,574-CE50*$CC$23,"")</f>
        <v/>
      </c>
      <c r="CH50" s="58">
        <f>IF(CC50=1,'M5'!$I20,"")</f>
        <v/>
      </c>
      <c r="CI50" s="58">
        <f>IF(CC50=1,IF(CH50="Motriz","#2A3439",IF(CH50="Enlace","#6699CC",IF(CH50="Resultado","#FFFFFF","#F5F5F5"))),"")</f>
        <v/>
      </c>
      <c r="CJ50" s="58">
        <f>IF(CC50=1,IF(SUMPRODUCT((CD$39:CD49=CD50)*(CE$39:CE49=CE50))=0,1,0),0)</f>
        <v/>
      </c>
      <c r="CK50" s="58">
        <f>IF(CJ50=1,11&amp;IF(AND(CD51=CD50,CE51=CE50),","&amp;12,"")&amp;IF(AND(CD52=CD50,CE52=CE50),","&amp;13,"")&amp;IF(AND(CD53=CD50,CE53=CE50),","&amp;14,"")&amp;IF(AND(CD54=CD50,CE54=CE50),","&amp;15,"")&amp;IF(AND(CD55=CD50,CE55=CE50),","&amp;16,"")&amp;IF(AND(CD56=CD50,CE56=CE50),","&amp;17,"")&amp;IF(AND(CD57=CD50,CE57=CE50),","&amp;18,"")&amp;IF(AND(CD58=CD50,CE58=CE50),","&amp;19,"")&amp;IF(AND(CD59=CD50,CE59=CE50),","&amp;20,"")&amp;IF(AND(CD60=CD50,CE60=CE50),","&amp;21,"")&amp;IF(AND(CD61=CD50,CE61=CE50),","&amp;22,"")&amp;IF(AND(CD62=CD50,CE62=CE50),","&amp;23,"")&amp;IF(AND(CD63=CD50,CE63=CE50),","&amp;24,"")&amp;IF(AND(CD64=CD50,CE64=CE50),","&amp;25,"")&amp;IF(AND(CD65=CD50,CE65=CE50),","&amp;26,"")&amp;IF(AND(CD66=CD50,CE66=CE50),","&amp;27,"")&amp;IF(AND(CD67=CD50,CE67=CE50),","&amp;28,"")&amp;IF(AND(CD68=CD50,CE68=CE50),","&amp;29,"")&amp;IF(AND(CD69=CD50,CE69=CE50),","&amp;30,"")&amp;IF(AND(CD70=CD50,CE70=CE50),","&amp;31,"")&amp;IF(AND(CD71=CD50,CE71=CE50),","&amp;32,"")&amp;IF(AND(CD72=CD50,CE72=CE50),","&amp;33,"")&amp;IF(AND(CD73=CD50,CE73=CE50),","&amp;34,"")&amp;IF(AND(CD74=CD50,CE74=CE50),","&amp;35,"")&amp;IF(AND(CD75=CD50,CE75=CE50),","&amp;36,"")&amp;IF(AND(CD76=CD50,CE76=CE50),","&amp;37,"")&amp;IF(AND(CD77=CD50,CE77=CE50),","&amp;38,"")&amp;IF(AND(CD78=CD50,CE78=CE50),","&amp;39,"")&amp;IF(AND(CD79=CD50,CE79=CE50),","&amp;40,""),"")</f>
        <v/>
      </c>
      <c r="CL50" s="58">
        <f>IF(CJ50=1,IF(CH50="Motriz","&lt;circle cx='"&amp;SUBSTITUTE(ROUND(CF50,1),",",".")&amp;"' cy='"&amp;SUBSTITUTE(ROUND(CG50,1),",",".")&amp;"' r='6' fill='#2A3439' stroke='#2A3439' stroke-width='1.3'/&gt;",IF(CH50="Enlace","&lt;rect x='"&amp;SUBSTITUTE(ROUND((CF50)-5.52,1),",",".")&amp;"' y='"&amp;SUBSTITUTE(ROUND((CG50)-5.52,1),",",".")&amp;"' width='11.04' height='11.04' fill='#6699CC' stroke='#2A3439' stroke-width='1.3'/&gt;",IF(CH50="Resultado","&lt;path d='M"&amp;SUBSTITUTE(ROUND(CF50,1),",",".")&amp;" "&amp;SUBSTITUTE(ROUND((CG50)-6.9,1),",",".")&amp;"L"&amp;SUBSTITUTE(ROUND((CF50)+6.3,1),",",".")&amp;" "&amp;SUBSTITUTE(ROUND((CG50)+5.1,1),",",".")&amp;"L"&amp;SUBSTITUTE(ROUND((CF50)-6.3,1),",",".")&amp;" "&amp;SUBSTITUTE(ROUND((CG50)+5.1,1),",",".")&amp;"Z' fill='#FFFFFF' stroke='#2A3439' stroke-width='1.3'/&gt;","&lt;path d='M"&amp;SUBSTITUTE(ROUND(CF50,1),",",".")&amp;" "&amp;SUBSTITUTE(ROUND((CG50)-7.5,1),",",".")&amp;"L"&amp;SUBSTITUTE(ROUND((CF50)+7.5,1),",",".")&amp;" "&amp;SUBSTITUTE(ROUND(CG50,1),",",".")&amp;"L"&amp;SUBSTITUTE(ROUND(CF50,1),",",".")&amp;" "&amp;SUBSTITUTE(ROUND((CG50)+7.5,1),",",".")&amp;"L"&amp;SUBSTITUTE(ROUND((CF50)-7.5,1),",",".")&amp;" "&amp;SUBSTITUTE(ROUND(CG50,1),",",".")&amp;"Z' fill='#F5F5F5' stroke='#2A3439' stroke-width='1.3'/&gt;")))&amp;"&lt;text x='"&amp;SUBSTITUTE(ROUND(CF50+9,1),",",".")&amp;"' y='"&amp;SUBSTITUTE(ROUND(CG50-8,1),",",".")&amp;"'&gt;"&amp;CK50&amp;"&lt;/text&gt;","")</f>
        <v/>
      </c>
      <c r="CM50" s="58">
        <f>IF(CC50=1,IF(CH50="Motriz","&lt;circle cx='"&amp;SUBSTITUTE(ROUND(728,1),",",".")&amp;"' cy='"&amp;SUBSTITUTE(ROUND(262,1),",",".")&amp;"' r='4.3' fill='#2A3439' stroke='#2A3439' stroke-width='1.3'/&gt;",IF(CH50="Enlace","&lt;rect x='"&amp;SUBSTITUTE(ROUND((728)-3.96,1),",",".")&amp;"' y='"&amp;SUBSTITUTE(ROUND((262)-3.96,1),",",".")&amp;"' width='7.92' height='7.92' fill='#6699CC' stroke='#2A3439' stroke-width='1.3'/&gt;",IF(CH50="Resultado","&lt;path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CN50" s="58">
        <f>10*$CC$14</f>
        <v/>
      </c>
      <c r="CO50" s="58">
        <f>IF(10&lt;=$CC$16,"&lt;line x1='"&amp;SUBSTITUTE(ROUND(90+CN50*$CC$22,1),",",".")&amp;"' y1='84' x2='"&amp;SUBSTITUTE(ROUND(90+CN50*$CC$22,1),",",".")&amp;"' y2='574' stroke='#FFFFFF'/&gt;&lt;text x='"&amp;SUBSTITUTE(ROUND(90+CN50*$CC$22,1),",",".")&amp;"' y='590' text-anchor='middle'&gt;"&amp;ROUND(CN50*100,2)&amp;" %&lt;/text&gt;","")</f>
        <v/>
      </c>
      <c r="CP50" s="58">
        <f>10*$CC$19</f>
        <v/>
      </c>
      <c r="CQ50" s="58">
        <f>IF(10&lt;=$CC$21,"&lt;line x1='90' y1='"&amp;SUBSTITUTE(ROUND(574-CP50*$CC$23,1),",",".")&amp;"' x2='650' y2='"&amp;SUBSTITUTE(ROUND(574-CP50*$CC$23,1),",",".")&amp;"' stroke='#FFFFFF'/&gt;&lt;text x='84' y='"&amp;SUBSTITUTE(ROUND(574-CP50*$CC$23+3,1),",",".")&amp;"' text-anchor='end'&gt;"&amp;ROUND(CP50*100,2)&amp;" %&lt;/text&gt;","")</f>
        <v/>
      </c>
      <c r="CT50" s="58" t="n">
        <v>11</v>
      </c>
      <c r="CU50" s="58">
        <f>IF(AND($CU$4=1,CT50&lt;=nVariables),1,0)</f>
        <v/>
      </c>
      <c r="CV50" s="58">
        <f>IF(CU50=1,'M6'!$F20,"")</f>
        <v/>
      </c>
      <c r="CW50" s="58">
        <f>IF(CU50=1,'M6'!$E20,"")</f>
        <v/>
      </c>
      <c r="CX50" s="58">
        <f>IF(CU50=1,90+CV50*$CU$22,"")</f>
        <v/>
      </c>
      <c r="CY50" s="58">
        <f>IF(CU50=1,574-CW50*$CU$23,"")</f>
        <v/>
      </c>
      <c r="CZ50" s="58">
        <f>IF(CU50=1,'M6'!$I20,"")</f>
        <v/>
      </c>
      <c r="DA50" s="58">
        <f>IF(CU50=1,IF(CZ50="Motriz","#2A3439",IF(CZ50="Enlace","#6699CC",IF(CZ50="Resultado","#FFFFFF","#F5F5F5"))),"")</f>
        <v/>
      </c>
      <c r="DB50" s="58">
        <f>IF(CU50=1,IF(SUMPRODUCT((CV$39:CV49=CV50)*(CW$39:CW49=CW50))=0,1,0),0)</f>
        <v/>
      </c>
      <c r="DC50" s="58">
        <f>IF(DB50=1,11&amp;IF(AND(CV51=CV50,CW51=CW50),","&amp;12,"")&amp;IF(AND(CV52=CV50,CW52=CW50),","&amp;13,"")&amp;IF(AND(CV53=CV50,CW53=CW50),","&amp;14,"")&amp;IF(AND(CV54=CV50,CW54=CW50),","&amp;15,"")&amp;IF(AND(CV55=CV50,CW55=CW50),","&amp;16,"")&amp;IF(AND(CV56=CV50,CW56=CW50),","&amp;17,"")&amp;IF(AND(CV57=CV50,CW57=CW50),","&amp;18,"")&amp;IF(AND(CV58=CV50,CW58=CW50),","&amp;19,"")&amp;IF(AND(CV59=CV50,CW59=CW50),","&amp;20,"")&amp;IF(AND(CV60=CV50,CW60=CW50),","&amp;21,"")&amp;IF(AND(CV61=CV50,CW61=CW50),","&amp;22,"")&amp;IF(AND(CV62=CV50,CW62=CW50),","&amp;23,"")&amp;IF(AND(CV63=CV50,CW63=CW50),","&amp;24,"")&amp;IF(AND(CV64=CV50,CW64=CW50),","&amp;25,"")&amp;IF(AND(CV65=CV50,CW65=CW50),","&amp;26,"")&amp;IF(AND(CV66=CV50,CW66=CW50),","&amp;27,"")&amp;IF(AND(CV67=CV50,CW67=CW50),","&amp;28,"")&amp;IF(AND(CV68=CV50,CW68=CW50),","&amp;29,"")&amp;IF(AND(CV69=CV50,CW69=CW50),","&amp;30,"")&amp;IF(AND(CV70=CV50,CW70=CW50),","&amp;31,"")&amp;IF(AND(CV71=CV50,CW71=CW50),","&amp;32,"")&amp;IF(AND(CV72=CV50,CW72=CW50),","&amp;33,"")&amp;IF(AND(CV73=CV50,CW73=CW50),","&amp;34,"")&amp;IF(AND(CV74=CV50,CW74=CW50),","&amp;35,"")&amp;IF(AND(CV75=CV50,CW75=CW50),","&amp;36,"")&amp;IF(AND(CV76=CV50,CW76=CW50),","&amp;37,"")&amp;IF(AND(CV77=CV50,CW77=CW50),","&amp;38,"")&amp;IF(AND(CV78=CV50,CW78=CW50),","&amp;39,"")&amp;IF(AND(CV79=CV50,CW79=CW50),","&amp;40,""),"")</f>
        <v/>
      </c>
      <c r="DD50" s="58">
        <f>IF(DB50=1,IF(CZ50="Motriz","&lt;circle cx='"&amp;SUBSTITUTE(ROUND(CX50,1),",",".")&amp;"' cy='"&amp;SUBSTITUTE(ROUND(CY50,1),",",".")&amp;"' r='6' fill='#2A3439' stroke='#2A3439' stroke-width='1.3'/&gt;",IF(CZ50="Enlace","&lt;rect x='"&amp;SUBSTITUTE(ROUND((CX50)-5.52,1),",",".")&amp;"' y='"&amp;SUBSTITUTE(ROUND((CY50)-5.52,1),",",".")&amp;"' width='11.04' height='11.04' fill='#6699CC' stroke='#2A3439' stroke-width='1.3'/&gt;",IF(CZ50="Resultado","&lt;path d='M"&amp;SUBSTITUTE(ROUND(CX50,1),",",".")&amp;" "&amp;SUBSTITUTE(ROUND((CY50)-6.9,1),",",".")&amp;"L"&amp;SUBSTITUTE(ROUND((CX50)+6.3,1),",",".")&amp;" "&amp;SUBSTITUTE(ROUND((CY50)+5.1,1),",",".")&amp;"L"&amp;SUBSTITUTE(ROUND((CX50)-6.3,1),",",".")&amp;" "&amp;SUBSTITUTE(ROUND((CY50)+5.1,1),",",".")&amp;"Z' fill='#FFFFFF' stroke='#2A3439' stroke-width='1.3'/&gt;","&lt;path d='M"&amp;SUBSTITUTE(ROUND(CX50,1),",",".")&amp;" "&amp;SUBSTITUTE(ROUND((CY50)-7.5,1),",",".")&amp;"L"&amp;SUBSTITUTE(ROUND((CX50)+7.5,1),",",".")&amp;" "&amp;SUBSTITUTE(ROUND(CY50,1),",",".")&amp;"L"&amp;SUBSTITUTE(ROUND(CX50,1),",",".")&amp;" "&amp;SUBSTITUTE(ROUND((CY50)+7.5,1),",",".")&amp;"L"&amp;SUBSTITUTE(ROUND((CX50)-7.5,1),",",".")&amp;" "&amp;SUBSTITUTE(ROUND(CY50,1),",",".")&amp;"Z' fill='#F5F5F5' stroke='#2A3439' stroke-width='1.3'/&gt;")))&amp;"&lt;text x='"&amp;SUBSTITUTE(ROUND(CX50+9,1),",",".")&amp;"' y='"&amp;SUBSTITUTE(ROUND(CY50-8,1),",",".")&amp;"'&gt;"&amp;DC50&amp;"&lt;/text&gt;","")</f>
        <v/>
      </c>
      <c r="DE50" s="58">
        <f>IF(CU50=1,IF(CZ50="Motriz","&lt;circle cx='"&amp;SUBSTITUTE(ROUND(728,1),",",".")&amp;"' cy='"&amp;SUBSTITUTE(ROUND(262,1),",",".")&amp;"' r='4.3' fill='#2A3439' stroke='#2A3439' stroke-width='1.3'/&gt;",IF(CZ50="Enlace","&lt;rect x='"&amp;SUBSTITUTE(ROUND((728)-3.96,1),",",".")&amp;"' y='"&amp;SUBSTITUTE(ROUND((262)-3.96,1),",",".")&amp;"' width='7.92' height='7.92' fill='#6699CC' stroke='#2A3439' stroke-width='1.3'/&gt;",IF(CZ50="Resultado","&lt;path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DF50" s="58">
        <f>10*$CU$14</f>
        <v/>
      </c>
      <c r="DG50" s="58">
        <f>IF(10&lt;=$CU$16,"&lt;line x1='"&amp;SUBSTITUTE(ROUND(90+DF50*$CU$22,1),",",".")&amp;"' y1='84' x2='"&amp;SUBSTITUTE(ROUND(90+DF50*$CU$22,1),",",".")&amp;"' y2='574' stroke='#FFFFFF'/&gt;&lt;text x='"&amp;SUBSTITUTE(ROUND(90+DF50*$CU$22,1),",",".")&amp;"' y='590' text-anchor='middle'&gt;"&amp;ROUND(DF50*100,2)&amp;" %&lt;/text&gt;","")</f>
        <v/>
      </c>
      <c r="DH50" s="58">
        <f>10*$CU$19</f>
        <v/>
      </c>
      <c r="DI50" s="58">
        <f>IF(10&lt;=$CU$21,"&lt;line x1='90' y1='"&amp;SUBSTITUTE(ROUND(574-DH50*$CU$23,1),",",".")&amp;"' x2='650' y2='"&amp;SUBSTITUTE(ROUND(574-DH50*$CU$23,1),",",".")&amp;"' stroke='#FFFFFF'/&gt;&lt;text x='84' y='"&amp;SUBSTITUTE(ROUND(574-DH50*$CU$23+3,1),",",".")&amp;"' text-anchor='end'&gt;"&amp;ROUND(DH50*100,2)&amp;" %&lt;/text&gt;","")</f>
        <v/>
      </c>
    </row>
    <row r="51">
      <c r="A51" s="58" t="n">
        <v>12</v>
      </c>
      <c r="B51" s="58">
        <f>IF($A51&lt;=nVariables,SUBSTITUTE(SUBSTITUTE(SUBSTITUTE(SUBSTITUTE(SUBSTITUTE(SUBSTITUTE(SUBSTITUTE(TRIM(CLEAN(IF(LEN(TRIM(M!$B21))&gt;46,LEFT(TRIM(M!$B21),45)&amp;"…",TRIM(M!$B21)))),"&amp;","&amp;amp;"),"&lt;","&amp;lt;"),"&gt;","&amp;gt;"),CHAR(34),"&amp;quot;"),CHAR(10)," "),CHAR(9)," "),CHAR(13)," "),"")</f>
        <v/>
      </c>
      <c r="C51" s="58">
        <f>IF($A51&lt;=nVariables,$A51&amp;". "&amp;B51,"")</f>
        <v/>
      </c>
      <c r="D51" s="58">
        <f>IF($A51&lt;=nVariables,IF(TRIM(M!$C21)&lt;&gt;"",TRIM(M!$C21),IF(LEN(TRIM(M!$B21))&gt;24,LEFT(TRIM(M!$B21),23)&amp;"…",TRIM(M!$B21))),"")</f>
        <v/>
      </c>
      <c r="E51" s="58">
        <f>IF($A51&lt;=nVariables,TRIM('Árbol de Problemas'!$F30),"")</f>
        <v/>
      </c>
      <c r="H51" s="58" t="n">
        <v>12</v>
      </c>
      <c r="I51" s="58">
        <f>IF(AND($I$4=1,H51&lt;=nVariables),1,0)</f>
        <v/>
      </c>
      <c r="J51" s="58">
        <f>IF(I51=1,'M1'!$F21,"")</f>
        <v/>
      </c>
      <c r="K51" s="58">
        <f>IF(I51=1,'M1'!$E21,"")</f>
        <v/>
      </c>
      <c r="L51" s="58">
        <f>IF(I51=1,90+J51*$I$22,"")</f>
        <v/>
      </c>
      <c r="M51" s="58">
        <f>IF(I51=1,574-K51*$I$23,"")</f>
        <v/>
      </c>
      <c r="N51" s="58">
        <f>IF(I51=1,'M1'!$I21,"")</f>
        <v/>
      </c>
      <c r="O51" s="58">
        <f>IF(I51=1,IF(N51="Motriz","#2A3439",IF(N51="Enlace","#6699CC",IF(N51="Resultado","#FFFFFF","#F5F5F5"))),"")</f>
        <v/>
      </c>
      <c r="P51" s="58">
        <f>IF(I51=1,IF(SUMPRODUCT((J$39:J50=J51)*(K$39:K50=K51))=0,1,0),0)</f>
        <v/>
      </c>
      <c r="Q51" s="58">
        <f>IF(P51=1,12&amp;IF(AND(J52=J51,K52=K51),","&amp;13,"")&amp;IF(AND(J53=J51,K53=K51),","&amp;14,"")&amp;IF(AND(J54=J51,K54=K51),","&amp;15,"")&amp;IF(AND(J55=J51,K55=K51),","&amp;16,"")&amp;IF(AND(J56=J51,K56=K51),","&amp;17,"")&amp;IF(AND(J57=J51,K57=K51),","&amp;18,"")&amp;IF(AND(J58=J51,K58=K51),","&amp;19,"")&amp;IF(AND(J59=J51,K59=K51),","&amp;20,"")&amp;IF(AND(J60=J51,K60=K51),","&amp;21,"")&amp;IF(AND(J61=J51,K61=K51),","&amp;22,"")&amp;IF(AND(J62=J51,K62=K51),","&amp;23,"")&amp;IF(AND(J63=J51,K63=K51),","&amp;24,"")&amp;IF(AND(J64=J51,K64=K51),","&amp;25,"")&amp;IF(AND(J65=J51,K65=K51),","&amp;26,"")&amp;IF(AND(J66=J51,K66=K51),","&amp;27,"")&amp;IF(AND(J67=J51,K67=K51),","&amp;28,"")&amp;IF(AND(J68=J51,K68=K51),","&amp;29,"")&amp;IF(AND(J69=J51,K69=K51),","&amp;30,"")&amp;IF(AND(J70=J51,K70=K51),","&amp;31,"")&amp;IF(AND(J71=J51,K71=K51),","&amp;32,"")&amp;IF(AND(J72=J51,K72=K51),","&amp;33,"")&amp;IF(AND(J73=J51,K73=K51),","&amp;34,"")&amp;IF(AND(J74=J51,K74=K51),","&amp;35,"")&amp;IF(AND(J75=J51,K75=K51),","&amp;36,"")&amp;IF(AND(J76=J51,K76=K51),","&amp;37,"")&amp;IF(AND(J77=J51,K77=K51),","&amp;38,"")&amp;IF(AND(J78=J51,K78=K51),","&amp;39,"")&amp;IF(AND(J79=J51,K79=K51),","&amp;40,""),"")</f>
        <v/>
      </c>
      <c r="R51" s="58">
        <f>IF(P51=1,IF(N51="Motriz","&lt;circle cx='"&amp;SUBSTITUTE(ROUND(L51,1),",",".")&amp;"' cy='"&amp;SUBSTITUTE(ROUND(M51,1),",",".")&amp;"' r='6' fill='#2A3439' stroke='#2A3439' stroke-width='1.3'/&gt;",IF(N51="Enlace","&lt;rect x='"&amp;SUBSTITUTE(ROUND((L51)-5.52,1),",",".")&amp;"' y='"&amp;SUBSTITUTE(ROUND((M51)-5.52,1),",",".")&amp;"' width='11.04' height='11.04' fill='#6699CC' stroke='#2A3439' stroke-width='1.3'/&gt;",IF(N51="Resultado","&lt;path d='M"&amp;SUBSTITUTE(ROUND(L51,1),",",".")&amp;" "&amp;SUBSTITUTE(ROUND((M51)-6.9,1),",",".")&amp;"L"&amp;SUBSTITUTE(ROUND((L51)+6.3,1),",",".")&amp;" "&amp;SUBSTITUTE(ROUND((M51)+5.1,1),",",".")&amp;"L"&amp;SUBSTITUTE(ROUND((L51)-6.3,1),",",".")&amp;" "&amp;SUBSTITUTE(ROUND((M51)+5.1,1),",",".")&amp;"Z' fill='#FFFFFF' stroke='#2A3439' stroke-width='1.3'/&gt;","&lt;path d='M"&amp;SUBSTITUTE(ROUND(L51,1),",",".")&amp;" "&amp;SUBSTITUTE(ROUND((M51)-7.5,1),",",".")&amp;"L"&amp;SUBSTITUTE(ROUND((L51)+7.5,1),",",".")&amp;" "&amp;SUBSTITUTE(ROUND(M51,1),",",".")&amp;"L"&amp;SUBSTITUTE(ROUND(L51,1),",",".")&amp;" "&amp;SUBSTITUTE(ROUND((M51)+7.5,1),",",".")&amp;"L"&amp;SUBSTITUTE(ROUND((L51)-7.5,1),",",".")&amp;" "&amp;SUBSTITUTE(ROUND(M51,1),",",".")&amp;"Z' fill='#F5F5F5' stroke='#2A3439' stroke-width='1.3'/&gt;")))&amp;"&lt;text x='"&amp;SUBSTITUTE(ROUND(L51+9,1),",",".")&amp;"' y='"&amp;SUBSTITUTE(ROUND(M51-8,1),",",".")&amp;"'&gt;"&amp;Q51&amp;"&lt;/text&gt;","")</f>
        <v/>
      </c>
      <c r="S51" s="58">
        <f>IF(I51=1,IF(N51="Motriz","&lt;circle cx='"&amp;SUBSTITUTE(ROUND(728,1),",",".")&amp;"' cy='"&amp;SUBSTITUTE(ROUND(276.2,1),",",".")&amp;"' r='4.3' fill='#2A3439' stroke='#2A3439' stroke-width='1.3'/&gt;",IF(N51="Enlace","&lt;rect x='"&amp;SUBSTITUTE(ROUND((728)-3.96,1),",",".")&amp;"' y='"&amp;SUBSTITUTE(ROUND((276.2)-3.96,1),",",".")&amp;"' width='7.92' height='7.92' fill='#6699CC' stroke='#2A3439' stroke-width='1.3'/&gt;",IF(N51="Resultado","&lt;path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T51" s="58">
        <f>11*$I$14</f>
        <v/>
      </c>
      <c r="U51" s="58">
        <f>IF(11&lt;=$I$16,"&lt;line x1='"&amp;SUBSTITUTE(ROUND(90+T51*$I$22,1),",",".")&amp;"' y1='84' x2='"&amp;SUBSTITUTE(ROUND(90+T51*$I$22,1),",",".")&amp;"' y2='574' stroke='#FFFFFF'/&gt;&lt;text x='"&amp;SUBSTITUTE(ROUND(90+T51*$I$22,1),",",".")&amp;"' y='590' text-anchor='middle'&gt;"&amp;ROUND(T51*100,2)&amp;" %&lt;/text&gt;","")</f>
        <v/>
      </c>
      <c r="V51" s="58">
        <f>11*$I$19</f>
        <v/>
      </c>
      <c r="W51" s="58">
        <f>IF(11&lt;=$I$21,"&lt;line x1='90' y1='"&amp;SUBSTITUTE(ROUND(574-V51*$I$23,1),",",".")&amp;"' x2='650' y2='"&amp;SUBSTITUTE(ROUND(574-V51*$I$23,1),",",".")&amp;"' stroke='#FFFFFF'/&gt;&lt;text x='84' y='"&amp;SUBSTITUTE(ROUND(574-V51*$I$23+3,1),",",".")&amp;"' text-anchor='end'&gt;"&amp;ROUND(V51*100,2)&amp;" %&lt;/text&gt;","")</f>
        <v/>
      </c>
      <c r="Z51" s="58" t="n">
        <v>12</v>
      </c>
      <c r="AA51" s="58">
        <f>IF(AND($AA$4=1,Z51&lt;=nVariables),1,0)</f>
        <v/>
      </c>
      <c r="AB51" s="58">
        <f>IF(AA51=1,'M2'!$F21,"")</f>
        <v/>
      </c>
      <c r="AC51" s="58">
        <f>IF(AA51=1,'M2'!$E21,"")</f>
        <v/>
      </c>
      <c r="AD51" s="58">
        <f>IF(AA51=1,90+AB51*$AA$22,"")</f>
        <v/>
      </c>
      <c r="AE51" s="58">
        <f>IF(AA51=1,574-AC51*$AA$23,"")</f>
        <v/>
      </c>
      <c r="AF51" s="58">
        <f>IF(AA51=1,'M2'!$I21,"")</f>
        <v/>
      </c>
      <c r="AG51" s="58">
        <f>IF(AA51=1,IF(AF51="Motriz","#2A3439",IF(AF51="Enlace","#6699CC",IF(AF51="Resultado","#FFFFFF","#F5F5F5"))),"")</f>
        <v/>
      </c>
      <c r="AH51" s="58">
        <f>IF(AA51=1,IF(SUMPRODUCT((AB$39:AB50=AB51)*(AC$39:AC50=AC51))=0,1,0),0)</f>
        <v/>
      </c>
      <c r="AI51" s="58">
        <f>IF(AH51=1,12&amp;IF(AND(AB52=AB51,AC52=AC51),","&amp;13,"")&amp;IF(AND(AB53=AB51,AC53=AC51),","&amp;14,"")&amp;IF(AND(AB54=AB51,AC54=AC51),","&amp;15,"")&amp;IF(AND(AB55=AB51,AC55=AC51),","&amp;16,"")&amp;IF(AND(AB56=AB51,AC56=AC51),","&amp;17,"")&amp;IF(AND(AB57=AB51,AC57=AC51),","&amp;18,"")&amp;IF(AND(AB58=AB51,AC58=AC51),","&amp;19,"")&amp;IF(AND(AB59=AB51,AC59=AC51),","&amp;20,"")&amp;IF(AND(AB60=AB51,AC60=AC51),","&amp;21,"")&amp;IF(AND(AB61=AB51,AC61=AC51),","&amp;22,"")&amp;IF(AND(AB62=AB51,AC62=AC51),","&amp;23,"")&amp;IF(AND(AB63=AB51,AC63=AC51),","&amp;24,"")&amp;IF(AND(AB64=AB51,AC64=AC51),","&amp;25,"")&amp;IF(AND(AB65=AB51,AC65=AC51),","&amp;26,"")&amp;IF(AND(AB66=AB51,AC66=AC51),","&amp;27,"")&amp;IF(AND(AB67=AB51,AC67=AC51),","&amp;28,"")&amp;IF(AND(AB68=AB51,AC68=AC51),","&amp;29,"")&amp;IF(AND(AB69=AB51,AC69=AC51),","&amp;30,"")&amp;IF(AND(AB70=AB51,AC70=AC51),","&amp;31,"")&amp;IF(AND(AB71=AB51,AC71=AC51),","&amp;32,"")&amp;IF(AND(AB72=AB51,AC72=AC51),","&amp;33,"")&amp;IF(AND(AB73=AB51,AC73=AC51),","&amp;34,"")&amp;IF(AND(AB74=AB51,AC74=AC51),","&amp;35,"")&amp;IF(AND(AB75=AB51,AC75=AC51),","&amp;36,"")&amp;IF(AND(AB76=AB51,AC76=AC51),","&amp;37,"")&amp;IF(AND(AB77=AB51,AC77=AC51),","&amp;38,"")&amp;IF(AND(AB78=AB51,AC78=AC51),","&amp;39,"")&amp;IF(AND(AB79=AB51,AC79=AC51),","&amp;40,""),"")</f>
        <v/>
      </c>
      <c r="AJ51" s="58">
        <f>IF(AH51=1,IF(AF51="Motriz","&lt;circle cx='"&amp;SUBSTITUTE(ROUND(AD51,1),",",".")&amp;"' cy='"&amp;SUBSTITUTE(ROUND(AE51,1),",",".")&amp;"' r='6' fill='#2A3439' stroke='#2A3439' stroke-width='1.3'/&gt;",IF(AF51="Enlace","&lt;rect x='"&amp;SUBSTITUTE(ROUND((AD51)-5.52,1),",",".")&amp;"' y='"&amp;SUBSTITUTE(ROUND((AE51)-5.52,1),",",".")&amp;"' width='11.04' height='11.04' fill='#6699CC' stroke='#2A3439' stroke-width='1.3'/&gt;",IF(AF51="Resultado","&lt;path d='M"&amp;SUBSTITUTE(ROUND(AD51,1),",",".")&amp;" "&amp;SUBSTITUTE(ROUND((AE51)-6.9,1),",",".")&amp;"L"&amp;SUBSTITUTE(ROUND((AD51)+6.3,1),",",".")&amp;" "&amp;SUBSTITUTE(ROUND((AE51)+5.1,1),",",".")&amp;"L"&amp;SUBSTITUTE(ROUND((AD51)-6.3,1),",",".")&amp;" "&amp;SUBSTITUTE(ROUND((AE51)+5.1,1),",",".")&amp;"Z' fill='#FFFFFF' stroke='#2A3439' stroke-width='1.3'/&gt;","&lt;path d='M"&amp;SUBSTITUTE(ROUND(AD51,1),",",".")&amp;" "&amp;SUBSTITUTE(ROUND((AE51)-7.5,1),",",".")&amp;"L"&amp;SUBSTITUTE(ROUND((AD51)+7.5,1),",",".")&amp;" "&amp;SUBSTITUTE(ROUND(AE51,1),",",".")&amp;"L"&amp;SUBSTITUTE(ROUND(AD51,1),",",".")&amp;" "&amp;SUBSTITUTE(ROUND((AE51)+7.5,1),",",".")&amp;"L"&amp;SUBSTITUTE(ROUND((AD51)-7.5,1),",",".")&amp;" "&amp;SUBSTITUTE(ROUND(AE51,1),",",".")&amp;"Z' fill='#F5F5F5' stroke='#2A3439' stroke-width='1.3'/&gt;")))&amp;"&lt;text x='"&amp;SUBSTITUTE(ROUND(AD51+9,1),",",".")&amp;"' y='"&amp;SUBSTITUTE(ROUND(AE51-8,1),",",".")&amp;"'&gt;"&amp;AI51&amp;"&lt;/text&gt;","")</f>
        <v/>
      </c>
      <c r="AK51" s="58">
        <f>IF(AA51=1,IF(AF51="Motriz","&lt;circle cx='"&amp;SUBSTITUTE(ROUND(728,1),",",".")&amp;"' cy='"&amp;SUBSTITUTE(ROUND(276.2,1),",",".")&amp;"' r='4.3' fill='#2A3439' stroke='#2A3439' stroke-width='1.3'/&gt;",IF(AF51="Enlace","&lt;rect x='"&amp;SUBSTITUTE(ROUND((728)-3.96,1),",",".")&amp;"' y='"&amp;SUBSTITUTE(ROUND((276.2)-3.96,1),",",".")&amp;"' width='7.92' height='7.92' fill='#6699CC' stroke='#2A3439' stroke-width='1.3'/&gt;",IF(AF51="Resultado","&lt;path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AL51" s="58">
        <f>11*$AA$14</f>
        <v/>
      </c>
      <c r="AM51" s="58">
        <f>IF(11&lt;=$AA$16,"&lt;line x1='"&amp;SUBSTITUTE(ROUND(90+AL51*$AA$22,1),",",".")&amp;"' y1='84' x2='"&amp;SUBSTITUTE(ROUND(90+AL51*$AA$22,1),",",".")&amp;"' y2='574' stroke='#FFFFFF'/&gt;&lt;text x='"&amp;SUBSTITUTE(ROUND(90+AL51*$AA$22,1),",",".")&amp;"' y='590' text-anchor='middle'&gt;"&amp;ROUND(AL51*100,2)&amp;" %&lt;/text&gt;","")</f>
        <v/>
      </c>
      <c r="AN51" s="58">
        <f>11*$AA$19</f>
        <v/>
      </c>
      <c r="AO51" s="58">
        <f>IF(11&lt;=$AA$21,"&lt;line x1='90' y1='"&amp;SUBSTITUTE(ROUND(574-AN51*$AA$23,1),",",".")&amp;"' x2='650' y2='"&amp;SUBSTITUTE(ROUND(574-AN51*$AA$23,1),",",".")&amp;"' stroke='#FFFFFF'/&gt;&lt;text x='84' y='"&amp;SUBSTITUTE(ROUND(574-AN51*$AA$23+3,1),",",".")&amp;"' text-anchor='end'&gt;"&amp;ROUND(AN51*100,2)&amp;" %&lt;/text&gt;","")</f>
        <v/>
      </c>
      <c r="AR51" s="58" t="n">
        <v>12</v>
      </c>
      <c r="AS51" s="58">
        <f>IF(AND($AS$4=1,AR51&lt;=nVariables),1,0)</f>
        <v/>
      </c>
      <c r="AT51" s="58">
        <f>IF(AS51=1,'M3'!$F21,"")</f>
        <v/>
      </c>
      <c r="AU51" s="58">
        <f>IF(AS51=1,'M3'!$E21,"")</f>
        <v/>
      </c>
      <c r="AV51" s="58">
        <f>IF(AS51=1,90+AT51*$AS$22,"")</f>
        <v/>
      </c>
      <c r="AW51" s="58">
        <f>IF(AS51=1,574-AU51*$AS$23,"")</f>
        <v/>
      </c>
      <c r="AX51" s="58">
        <f>IF(AS51=1,'M3'!$I21,"")</f>
        <v/>
      </c>
      <c r="AY51" s="58">
        <f>IF(AS51=1,IF(AX51="Motriz","#2A3439",IF(AX51="Enlace","#6699CC",IF(AX51="Resultado","#FFFFFF","#F5F5F5"))),"")</f>
        <v/>
      </c>
      <c r="AZ51" s="58">
        <f>IF(AS51=1,IF(SUMPRODUCT((AT$39:AT50=AT51)*(AU$39:AU50=AU51))=0,1,0),0)</f>
        <v/>
      </c>
      <c r="BA51" s="58">
        <f>IF(AZ51=1,12&amp;IF(AND(AT52=AT51,AU52=AU51),","&amp;13,"")&amp;IF(AND(AT53=AT51,AU53=AU51),","&amp;14,"")&amp;IF(AND(AT54=AT51,AU54=AU51),","&amp;15,"")&amp;IF(AND(AT55=AT51,AU55=AU51),","&amp;16,"")&amp;IF(AND(AT56=AT51,AU56=AU51),","&amp;17,"")&amp;IF(AND(AT57=AT51,AU57=AU51),","&amp;18,"")&amp;IF(AND(AT58=AT51,AU58=AU51),","&amp;19,"")&amp;IF(AND(AT59=AT51,AU59=AU51),","&amp;20,"")&amp;IF(AND(AT60=AT51,AU60=AU51),","&amp;21,"")&amp;IF(AND(AT61=AT51,AU61=AU51),","&amp;22,"")&amp;IF(AND(AT62=AT51,AU62=AU51),","&amp;23,"")&amp;IF(AND(AT63=AT51,AU63=AU51),","&amp;24,"")&amp;IF(AND(AT64=AT51,AU64=AU51),","&amp;25,"")&amp;IF(AND(AT65=AT51,AU65=AU51),","&amp;26,"")&amp;IF(AND(AT66=AT51,AU66=AU51),","&amp;27,"")&amp;IF(AND(AT67=AT51,AU67=AU51),","&amp;28,"")&amp;IF(AND(AT68=AT51,AU68=AU51),","&amp;29,"")&amp;IF(AND(AT69=AT51,AU69=AU51),","&amp;30,"")&amp;IF(AND(AT70=AT51,AU70=AU51),","&amp;31,"")&amp;IF(AND(AT71=AT51,AU71=AU51),","&amp;32,"")&amp;IF(AND(AT72=AT51,AU72=AU51),","&amp;33,"")&amp;IF(AND(AT73=AT51,AU73=AU51),","&amp;34,"")&amp;IF(AND(AT74=AT51,AU74=AU51),","&amp;35,"")&amp;IF(AND(AT75=AT51,AU75=AU51),","&amp;36,"")&amp;IF(AND(AT76=AT51,AU76=AU51),","&amp;37,"")&amp;IF(AND(AT77=AT51,AU77=AU51),","&amp;38,"")&amp;IF(AND(AT78=AT51,AU78=AU51),","&amp;39,"")&amp;IF(AND(AT79=AT51,AU79=AU51),","&amp;40,""),"")</f>
        <v/>
      </c>
      <c r="BB51" s="58">
        <f>IF(AZ51=1,IF(AX51="Motriz","&lt;circle cx='"&amp;SUBSTITUTE(ROUND(AV51,1),",",".")&amp;"' cy='"&amp;SUBSTITUTE(ROUND(AW51,1),",",".")&amp;"' r='6' fill='#2A3439' stroke='#2A3439' stroke-width='1.3'/&gt;",IF(AX51="Enlace","&lt;rect x='"&amp;SUBSTITUTE(ROUND((AV51)-5.52,1),",",".")&amp;"' y='"&amp;SUBSTITUTE(ROUND((AW51)-5.52,1),",",".")&amp;"' width='11.04' height='11.04' fill='#6699CC' stroke='#2A3439' stroke-width='1.3'/&gt;",IF(AX51="Resultado","&lt;path d='M"&amp;SUBSTITUTE(ROUND(AV51,1),",",".")&amp;" "&amp;SUBSTITUTE(ROUND((AW51)-6.9,1),",",".")&amp;"L"&amp;SUBSTITUTE(ROUND((AV51)+6.3,1),",",".")&amp;" "&amp;SUBSTITUTE(ROUND((AW51)+5.1,1),",",".")&amp;"L"&amp;SUBSTITUTE(ROUND((AV51)-6.3,1),",",".")&amp;" "&amp;SUBSTITUTE(ROUND((AW51)+5.1,1),",",".")&amp;"Z' fill='#FFFFFF' stroke='#2A3439' stroke-width='1.3'/&gt;","&lt;path d='M"&amp;SUBSTITUTE(ROUND(AV51,1),",",".")&amp;" "&amp;SUBSTITUTE(ROUND((AW51)-7.5,1),",",".")&amp;"L"&amp;SUBSTITUTE(ROUND((AV51)+7.5,1),",",".")&amp;" "&amp;SUBSTITUTE(ROUND(AW51,1),",",".")&amp;"L"&amp;SUBSTITUTE(ROUND(AV51,1),",",".")&amp;" "&amp;SUBSTITUTE(ROUND((AW51)+7.5,1),",",".")&amp;"L"&amp;SUBSTITUTE(ROUND((AV51)-7.5,1),",",".")&amp;" "&amp;SUBSTITUTE(ROUND(AW51,1),",",".")&amp;"Z' fill='#F5F5F5' stroke='#2A3439' stroke-width='1.3'/&gt;")))&amp;"&lt;text x='"&amp;SUBSTITUTE(ROUND(AV51+9,1),",",".")&amp;"' y='"&amp;SUBSTITUTE(ROUND(AW51-8,1),",",".")&amp;"'&gt;"&amp;BA51&amp;"&lt;/text&gt;","")</f>
        <v/>
      </c>
      <c r="BC51" s="58">
        <f>IF(AS51=1,IF(AX51="Motriz","&lt;circle cx='"&amp;SUBSTITUTE(ROUND(728,1),",",".")&amp;"' cy='"&amp;SUBSTITUTE(ROUND(276.2,1),",",".")&amp;"' r='4.3' fill='#2A3439' stroke='#2A3439' stroke-width='1.3'/&gt;",IF(AX51="Enlace","&lt;rect x='"&amp;SUBSTITUTE(ROUND((728)-3.96,1),",",".")&amp;"' y='"&amp;SUBSTITUTE(ROUND((276.2)-3.96,1),",",".")&amp;"' width='7.92' height='7.92' fill='#6699CC' stroke='#2A3439' stroke-width='1.3'/&gt;",IF(AX51="Resultado","&lt;path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BD51" s="58">
        <f>11*$AS$14</f>
        <v/>
      </c>
      <c r="BE51" s="58">
        <f>IF(11&lt;=$AS$16,"&lt;line x1='"&amp;SUBSTITUTE(ROUND(90+BD51*$AS$22,1),",",".")&amp;"' y1='84' x2='"&amp;SUBSTITUTE(ROUND(90+BD51*$AS$22,1),",",".")&amp;"' y2='574' stroke='#FFFFFF'/&gt;&lt;text x='"&amp;SUBSTITUTE(ROUND(90+BD51*$AS$22,1),",",".")&amp;"' y='590' text-anchor='middle'&gt;"&amp;ROUND(BD51*100,2)&amp;" %&lt;/text&gt;","")</f>
        <v/>
      </c>
      <c r="BF51" s="58">
        <f>11*$AS$19</f>
        <v/>
      </c>
      <c r="BG51" s="58">
        <f>IF(11&lt;=$AS$21,"&lt;line x1='90' y1='"&amp;SUBSTITUTE(ROUND(574-BF51*$AS$23,1),",",".")&amp;"' x2='650' y2='"&amp;SUBSTITUTE(ROUND(574-BF51*$AS$23,1),",",".")&amp;"' stroke='#FFFFFF'/&gt;&lt;text x='84' y='"&amp;SUBSTITUTE(ROUND(574-BF51*$AS$23+3,1),",",".")&amp;"' text-anchor='end'&gt;"&amp;ROUND(BF51*100,2)&amp;" %&lt;/text&gt;","")</f>
        <v/>
      </c>
      <c r="BJ51" s="58" t="n">
        <v>12</v>
      </c>
      <c r="BK51" s="58">
        <f>IF(AND($BK$4=1,BJ51&lt;=nVariables),1,0)</f>
        <v/>
      </c>
      <c r="BL51" s="58">
        <f>IF(BK51=1,'M4'!$F21,"")</f>
        <v/>
      </c>
      <c r="BM51" s="58">
        <f>IF(BK51=1,'M4'!$E21,"")</f>
        <v/>
      </c>
      <c r="BN51" s="58">
        <f>IF(BK51=1,90+BL51*$BK$22,"")</f>
        <v/>
      </c>
      <c r="BO51" s="58">
        <f>IF(BK51=1,574-BM51*$BK$23,"")</f>
        <v/>
      </c>
      <c r="BP51" s="58">
        <f>IF(BK51=1,'M4'!$I21,"")</f>
        <v/>
      </c>
      <c r="BQ51" s="58">
        <f>IF(BK51=1,IF(BP51="Motriz","#2A3439",IF(BP51="Enlace","#6699CC",IF(BP51="Resultado","#FFFFFF","#F5F5F5"))),"")</f>
        <v/>
      </c>
      <c r="BR51" s="58">
        <f>IF(BK51=1,IF(SUMPRODUCT((BL$39:BL50=BL51)*(BM$39:BM50=BM51))=0,1,0),0)</f>
        <v/>
      </c>
      <c r="BS51" s="58">
        <f>IF(BR51=1,12&amp;IF(AND(BL52=BL51,BM52=BM51),","&amp;13,"")&amp;IF(AND(BL53=BL51,BM53=BM51),","&amp;14,"")&amp;IF(AND(BL54=BL51,BM54=BM51),","&amp;15,"")&amp;IF(AND(BL55=BL51,BM55=BM51),","&amp;16,"")&amp;IF(AND(BL56=BL51,BM56=BM51),","&amp;17,"")&amp;IF(AND(BL57=BL51,BM57=BM51),","&amp;18,"")&amp;IF(AND(BL58=BL51,BM58=BM51),","&amp;19,"")&amp;IF(AND(BL59=BL51,BM59=BM51),","&amp;20,"")&amp;IF(AND(BL60=BL51,BM60=BM51),","&amp;21,"")&amp;IF(AND(BL61=BL51,BM61=BM51),","&amp;22,"")&amp;IF(AND(BL62=BL51,BM62=BM51),","&amp;23,"")&amp;IF(AND(BL63=BL51,BM63=BM51),","&amp;24,"")&amp;IF(AND(BL64=BL51,BM64=BM51),","&amp;25,"")&amp;IF(AND(BL65=BL51,BM65=BM51),","&amp;26,"")&amp;IF(AND(BL66=BL51,BM66=BM51),","&amp;27,"")&amp;IF(AND(BL67=BL51,BM67=BM51),","&amp;28,"")&amp;IF(AND(BL68=BL51,BM68=BM51),","&amp;29,"")&amp;IF(AND(BL69=BL51,BM69=BM51),","&amp;30,"")&amp;IF(AND(BL70=BL51,BM70=BM51),","&amp;31,"")&amp;IF(AND(BL71=BL51,BM71=BM51),","&amp;32,"")&amp;IF(AND(BL72=BL51,BM72=BM51),","&amp;33,"")&amp;IF(AND(BL73=BL51,BM73=BM51),","&amp;34,"")&amp;IF(AND(BL74=BL51,BM74=BM51),","&amp;35,"")&amp;IF(AND(BL75=BL51,BM75=BM51),","&amp;36,"")&amp;IF(AND(BL76=BL51,BM76=BM51),","&amp;37,"")&amp;IF(AND(BL77=BL51,BM77=BM51),","&amp;38,"")&amp;IF(AND(BL78=BL51,BM78=BM51),","&amp;39,"")&amp;IF(AND(BL79=BL51,BM79=BM51),","&amp;40,""),"")</f>
        <v/>
      </c>
      <c r="BT51" s="58">
        <f>IF(BR51=1,IF(BP51="Motriz","&lt;circle cx='"&amp;SUBSTITUTE(ROUND(BN51,1),",",".")&amp;"' cy='"&amp;SUBSTITUTE(ROUND(BO51,1),",",".")&amp;"' r='6' fill='#2A3439' stroke='#2A3439' stroke-width='1.3'/&gt;",IF(BP51="Enlace","&lt;rect x='"&amp;SUBSTITUTE(ROUND((BN51)-5.52,1),",",".")&amp;"' y='"&amp;SUBSTITUTE(ROUND((BO51)-5.52,1),",",".")&amp;"' width='11.04' height='11.04' fill='#6699CC' stroke='#2A3439' stroke-width='1.3'/&gt;",IF(BP51="Resultado","&lt;path d='M"&amp;SUBSTITUTE(ROUND(BN51,1),",",".")&amp;" "&amp;SUBSTITUTE(ROUND((BO51)-6.9,1),",",".")&amp;"L"&amp;SUBSTITUTE(ROUND((BN51)+6.3,1),",",".")&amp;" "&amp;SUBSTITUTE(ROUND((BO51)+5.1,1),",",".")&amp;"L"&amp;SUBSTITUTE(ROUND((BN51)-6.3,1),",",".")&amp;" "&amp;SUBSTITUTE(ROUND((BO51)+5.1,1),",",".")&amp;"Z' fill='#FFFFFF' stroke='#2A3439' stroke-width='1.3'/&gt;","&lt;path d='M"&amp;SUBSTITUTE(ROUND(BN51,1),",",".")&amp;" "&amp;SUBSTITUTE(ROUND((BO51)-7.5,1),",",".")&amp;"L"&amp;SUBSTITUTE(ROUND((BN51)+7.5,1),",",".")&amp;" "&amp;SUBSTITUTE(ROUND(BO51,1),",",".")&amp;"L"&amp;SUBSTITUTE(ROUND(BN51,1),",",".")&amp;" "&amp;SUBSTITUTE(ROUND((BO51)+7.5,1),",",".")&amp;"L"&amp;SUBSTITUTE(ROUND((BN51)-7.5,1),",",".")&amp;" "&amp;SUBSTITUTE(ROUND(BO51,1),",",".")&amp;"Z' fill='#F5F5F5' stroke='#2A3439' stroke-width='1.3'/&gt;")))&amp;"&lt;text x='"&amp;SUBSTITUTE(ROUND(BN51+9,1),",",".")&amp;"' y='"&amp;SUBSTITUTE(ROUND(BO51-8,1),",",".")&amp;"'&gt;"&amp;BS51&amp;"&lt;/text&gt;","")</f>
        <v/>
      </c>
      <c r="BU51" s="58">
        <f>IF(BK51=1,IF(BP51="Motriz","&lt;circle cx='"&amp;SUBSTITUTE(ROUND(728,1),",",".")&amp;"' cy='"&amp;SUBSTITUTE(ROUND(276.2,1),",",".")&amp;"' r='4.3' fill='#2A3439' stroke='#2A3439' stroke-width='1.3'/&gt;",IF(BP51="Enlace","&lt;rect x='"&amp;SUBSTITUTE(ROUND((728)-3.96,1),",",".")&amp;"' y='"&amp;SUBSTITUTE(ROUND((276.2)-3.96,1),",",".")&amp;"' width='7.92' height='7.92' fill='#6699CC' stroke='#2A3439' stroke-width='1.3'/&gt;",IF(BP51="Resultado","&lt;path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BV51" s="58">
        <f>11*$BK$14</f>
        <v/>
      </c>
      <c r="BW51" s="58">
        <f>IF(11&lt;=$BK$16,"&lt;line x1='"&amp;SUBSTITUTE(ROUND(90+BV51*$BK$22,1),",",".")&amp;"' y1='84' x2='"&amp;SUBSTITUTE(ROUND(90+BV51*$BK$22,1),",",".")&amp;"' y2='574' stroke='#FFFFFF'/&gt;&lt;text x='"&amp;SUBSTITUTE(ROUND(90+BV51*$BK$22,1),",",".")&amp;"' y='590' text-anchor='middle'&gt;"&amp;ROUND(BV51*100,2)&amp;" %&lt;/text&gt;","")</f>
        <v/>
      </c>
      <c r="BX51" s="58">
        <f>11*$BK$19</f>
        <v/>
      </c>
      <c r="BY51" s="58">
        <f>IF(11&lt;=$BK$21,"&lt;line x1='90' y1='"&amp;SUBSTITUTE(ROUND(574-BX51*$BK$23,1),",",".")&amp;"' x2='650' y2='"&amp;SUBSTITUTE(ROUND(574-BX51*$BK$23,1),",",".")&amp;"' stroke='#FFFFFF'/&gt;&lt;text x='84' y='"&amp;SUBSTITUTE(ROUND(574-BX51*$BK$23+3,1),",",".")&amp;"' text-anchor='end'&gt;"&amp;ROUND(BX51*100,2)&amp;" %&lt;/text&gt;","")</f>
        <v/>
      </c>
      <c r="CB51" s="58" t="n">
        <v>12</v>
      </c>
      <c r="CC51" s="58">
        <f>IF(AND($CC$4=1,CB51&lt;=nVariables),1,0)</f>
        <v/>
      </c>
      <c r="CD51" s="58">
        <f>IF(CC51=1,'M5'!$F21,"")</f>
        <v/>
      </c>
      <c r="CE51" s="58">
        <f>IF(CC51=1,'M5'!$E21,"")</f>
        <v/>
      </c>
      <c r="CF51" s="58">
        <f>IF(CC51=1,90+CD51*$CC$22,"")</f>
        <v/>
      </c>
      <c r="CG51" s="58">
        <f>IF(CC51=1,574-CE51*$CC$23,"")</f>
        <v/>
      </c>
      <c r="CH51" s="58">
        <f>IF(CC51=1,'M5'!$I21,"")</f>
        <v/>
      </c>
      <c r="CI51" s="58">
        <f>IF(CC51=1,IF(CH51="Motriz","#2A3439",IF(CH51="Enlace","#6699CC",IF(CH51="Resultado","#FFFFFF","#F5F5F5"))),"")</f>
        <v/>
      </c>
      <c r="CJ51" s="58">
        <f>IF(CC51=1,IF(SUMPRODUCT((CD$39:CD50=CD51)*(CE$39:CE50=CE51))=0,1,0),0)</f>
        <v/>
      </c>
      <c r="CK51" s="58">
        <f>IF(CJ51=1,12&amp;IF(AND(CD52=CD51,CE52=CE51),","&amp;13,"")&amp;IF(AND(CD53=CD51,CE53=CE51),","&amp;14,"")&amp;IF(AND(CD54=CD51,CE54=CE51),","&amp;15,"")&amp;IF(AND(CD55=CD51,CE55=CE51),","&amp;16,"")&amp;IF(AND(CD56=CD51,CE56=CE51),","&amp;17,"")&amp;IF(AND(CD57=CD51,CE57=CE51),","&amp;18,"")&amp;IF(AND(CD58=CD51,CE58=CE51),","&amp;19,"")&amp;IF(AND(CD59=CD51,CE59=CE51),","&amp;20,"")&amp;IF(AND(CD60=CD51,CE60=CE51),","&amp;21,"")&amp;IF(AND(CD61=CD51,CE61=CE51),","&amp;22,"")&amp;IF(AND(CD62=CD51,CE62=CE51),","&amp;23,"")&amp;IF(AND(CD63=CD51,CE63=CE51),","&amp;24,"")&amp;IF(AND(CD64=CD51,CE64=CE51),","&amp;25,"")&amp;IF(AND(CD65=CD51,CE65=CE51),","&amp;26,"")&amp;IF(AND(CD66=CD51,CE66=CE51),","&amp;27,"")&amp;IF(AND(CD67=CD51,CE67=CE51),","&amp;28,"")&amp;IF(AND(CD68=CD51,CE68=CE51),","&amp;29,"")&amp;IF(AND(CD69=CD51,CE69=CE51),","&amp;30,"")&amp;IF(AND(CD70=CD51,CE70=CE51),","&amp;31,"")&amp;IF(AND(CD71=CD51,CE71=CE51),","&amp;32,"")&amp;IF(AND(CD72=CD51,CE72=CE51),","&amp;33,"")&amp;IF(AND(CD73=CD51,CE73=CE51),","&amp;34,"")&amp;IF(AND(CD74=CD51,CE74=CE51),","&amp;35,"")&amp;IF(AND(CD75=CD51,CE75=CE51),","&amp;36,"")&amp;IF(AND(CD76=CD51,CE76=CE51),","&amp;37,"")&amp;IF(AND(CD77=CD51,CE77=CE51),","&amp;38,"")&amp;IF(AND(CD78=CD51,CE78=CE51),","&amp;39,"")&amp;IF(AND(CD79=CD51,CE79=CE51),","&amp;40,""),"")</f>
        <v/>
      </c>
      <c r="CL51" s="58">
        <f>IF(CJ51=1,IF(CH51="Motriz","&lt;circle cx='"&amp;SUBSTITUTE(ROUND(CF51,1),",",".")&amp;"' cy='"&amp;SUBSTITUTE(ROUND(CG51,1),",",".")&amp;"' r='6' fill='#2A3439' stroke='#2A3439' stroke-width='1.3'/&gt;",IF(CH51="Enlace","&lt;rect x='"&amp;SUBSTITUTE(ROUND((CF51)-5.52,1),",",".")&amp;"' y='"&amp;SUBSTITUTE(ROUND((CG51)-5.52,1),",",".")&amp;"' width='11.04' height='11.04' fill='#6699CC' stroke='#2A3439' stroke-width='1.3'/&gt;",IF(CH51="Resultado","&lt;path d='M"&amp;SUBSTITUTE(ROUND(CF51,1),",",".")&amp;" "&amp;SUBSTITUTE(ROUND((CG51)-6.9,1),",",".")&amp;"L"&amp;SUBSTITUTE(ROUND((CF51)+6.3,1),",",".")&amp;" "&amp;SUBSTITUTE(ROUND((CG51)+5.1,1),",",".")&amp;"L"&amp;SUBSTITUTE(ROUND((CF51)-6.3,1),",",".")&amp;" "&amp;SUBSTITUTE(ROUND((CG51)+5.1,1),",",".")&amp;"Z' fill='#FFFFFF' stroke='#2A3439' stroke-width='1.3'/&gt;","&lt;path d='M"&amp;SUBSTITUTE(ROUND(CF51,1),",",".")&amp;" "&amp;SUBSTITUTE(ROUND((CG51)-7.5,1),",",".")&amp;"L"&amp;SUBSTITUTE(ROUND((CF51)+7.5,1),",",".")&amp;" "&amp;SUBSTITUTE(ROUND(CG51,1),",",".")&amp;"L"&amp;SUBSTITUTE(ROUND(CF51,1),",",".")&amp;" "&amp;SUBSTITUTE(ROUND((CG51)+7.5,1),",",".")&amp;"L"&amp;SUBSTITUTE(ROUND((CF51)-7.5,1),",",".")&amp;" "&amp;SUBSTITUTE(ROUND(CG51,1),",",".")&amp;"Z' fill='#F5F5F5' stroke='#2A3439' stroke-width='1.3'/&gt;")))&amp;"&lt;text x='"&amp;SUBSTITUTE(ROUND(CF51+9,1),",",".")&amp;"' y='"&amp;SUBSTITUTE(ROUND(CG51-8,1),",",".")&amp;"'&gt;"&amp;CK51&amp;"&lt;/text&gt;","")</f>
        <v/>
      </c>
      <c r="CM51" s="58">
        <f>IF(CC51=1,IF(CH51="Motriz","&lt;circle cx='"&amp;SUBSTITUTE(ROUND(728,1),",",".")&amp;"' cy='"&amp;SUBSTITUTE(ROUND(276.2,1),",",".")&amp;"' r='4.3' fill='#2A3439' stroke='#2A3439' stroke-width='1.3'/&gt;",IF(CH51="Enlace","&lt;rect x='"&amp;SUBSTITUTE(ROUND((728)-3.96,1),",",".")&amp;"' y='"&amp;SUBSTITUTE(ROUND((276.2)-3.96,1),",",".")&amp;"' width='7.92' height='7.92' fill='#6699CC' stroke='#2A3439' stroke-width='1.3'/&gt;",IF(CH51="Resultado","&lt;path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CN51" s="58">
        <f>11*$CC$14</f>
        <v/>
      </c>
      <c r="CO51" s="58">
        <f>IF(11&lt;=$CC$16,"&lt;line x1='"&amp;SUBSTITUTE(ROUND(90+CN51*$CC$22,1),",",".")&amp;"' y1='84' x2='"&amp;SUBSTITUTE(ROUND(90+CN51*$CC$22,1),",",".")&amp;"' y2='574' stroke='#FFFFFF'/&gt;&lt;text x='"&amp;SUBSTITUTE(ROUND(90+CN51*$CC$22,1),",",".")&amp;"' y='590' text-anchor='middle'&gt;"&amp;ROUND(CN51*100,2)&amp;" %&lt;/text&gt;","")</f>
        <v/>
      </c>
      <c r="CP51" s="58">
        <f>11*$CC$19</f>
        <v/>
      </c>
      <c r="CQ51" s="58">
        <f>IF(11&lt;=$CC$21,"&lt;line x1='90' y1='"&amp;SUBSTITUTE(ROUND(574-CP51*$CC$23,1),",",".")&amp;"' x2='650' y2='"&amp;SUBSTITUTE(ROUND(574-CP51*$CC$23,1),",",".")&amp;"' stroke='#FFFFFF'/&gt;&lt;text x='84' y='"&amp;SUBSTITUTE(ROUND(574-CP51*$CC$23+3,1),",",".")&amp;"' text-anchor='end'&gt;"&amp;ROUND(CP51*100,2)&amp;" %&lt;/text&gt;","")</f>
        <v/>
      </c>
      <c r="CT51" s="58" t="n">
        <v>12</v>
      </c>
      <c r="CU51" s="58">
        <f>IF(AND($CU$4=1,CT51&lt;=nVariables),1,0)</f>
        <v/>
      </c>
      <c r="CV51" s="58">
        <f>IF(CU51=1,'M6'!$F21,"")</f>
        <v/>
      </c>
      <c r="CW51" s="58">
        <f>IF(CU51=1,'M6'!$E21,"")</f>
        <v/>
      </c>
      <c r="CX51" s="58">
        <f>IF(CU51=1,90+CV51*$CU$22,"")</f>
        <v/>
      </c>
      <c r="CY51" s="58">
        <f>IF(CU51=1,574-CW51*$CU$23,"")</f>
        <v/>
      </c>
      <c r="CZ51" s="58">
        <f>IF(CU51=1,'M6'!$I21,"")</f>
        <v/>
      </c>
      <c r="DA51" s="58">
        <f>IF(CU51=1,IF(CZ51="Motriz","#2A3439",IF(CZ51="Enlace","#6699CC",IF(CZ51="Resultado","#FFFFFF","#F5F5F5"))),"")</f>
        <v/>
      </c>
      <c r="DB51" s="58">
        <f>IF(CU51=1,IF(SUMPRODUCT((CV$39:CV50=CV51)*(CW$39:CW50=CW51))=0,1,0),0)</f>
        <v/>
      </c>
      <c r="DC51" s="58">
        <f>IF(DB51=1,12&amp;IF(AND(CV52=CV51,CW52=CW51),","&amp;13,"")&amp;IF(AND(CV53=CV51,CW53=CW51),","&amp;14,"")&amp;IF(AND(CV54=CV51,CW54=CW51),","&amp;15,"")&amp;IF(AND(CV55=CV51,CW55=CW51),","&amp;16,"")&amp;IF(AND(CV56=CV51,CW56=CW51),","&amp;17,"")&amp;IF(AND(CV57=CV51,CW57=CW51),","&amp;18,"")&amp;IF(AND(CV58=CV51,CW58=CW51),","&amp;19,"")&amp;IF(AND(CV59=CV51,CW59=CW51),","&amp;20,"")&amp;IF(AND(CV60=CV51,CW60=CW51),","&amp;21,"")&amp;IF(AND(CV61=CV51,CW61=CW51),","&amp;22,"")&amp;IF(AND(CV62=CV51,CW62=CW51),","&amp;23,"")&amp;IF(AND(CV63=CV51,CW63=CW51),","&amp;24,"")&amp;IF(AND(CV64=CV51,CW64=CW51),","&amp;25,"")&amp;IF(AND(CV65=CV51,CW65=CW51),","&amp;26,"")&amp;IF(AND(CV66=CV51,CW66=CW51),","&amp;27,"")&amp;IF(AND(CV67=CV51,CW67=CW51),","&amp;28,"")&amp;IF(AND(CV68=CV51,CW68=CW51),","&amp;29,"")&amp;IF(AND(CV69=CV51,CW69=CW51),","&amp;30,"")&amp;IF(AND(CV70=CV51,CW70=CW51),","&amp;31,"")&amp;IF(AND(CV71=CV51,CW71=CW51),","&amp;32,"")&amp;IF(AND(CV72=CV51,CW72=CW51),","&amp;33,"")&amp;IF(AND(CV73=CV51,CW73=CW51),","&amp;34,"")&amp;IF(AND(CV74=CV51,CW74=CW51),","&amp;35,"")&amp;IF(AND(CV75=CV51,CW75=CW51),","&amp;36,"")&amp;IF(AND(CV76=CV51,CW76=CW51),","&amp;37,"")&amp;IF(AND(CV77=CV51,CW77=CW51),","&amp;38,"")&amp;IF(AND(CV78=CV51,CW78=CW51),","&amp;39,"")&amp;IF(AND(CV79=CV51,CW79=CW51),","&amp;40,""),"")</f>
        <v/>
      </c>
      <c r="DD51" s="58">
        <f>IF(DB51=1,IF(CZ51="Motriz","&lt;circle cx='"&amp;SUBSTITUTE(ROUND(CX51,1),",",".")&amp;"' cy='"&amp;SUBSTITUTE(ROUND(CY51,1),",",".")&amp;"' r='6' fill='#2A3439' stroke='#2A3439' stroke-width='1.3'/&gt;",IF(CZ51="Enlace","&lt;rect x='"&amp;SUBSTITUTE(ROUND((CX51)-5.52,1),",",".")&amp;"' y='"&amp;SUBSTITUTE(ROUND((CY51)-5.52,1),",",".")&amp;"' width='11.04' height='11.04' fill='#6699CC' stroke='#2A3439' stroke-width='1.3'/&gt;",IF(CZ51="Resultado","&lt;path d='M"&amp;SUBSTITUTE(ROUND(CX51,1),",",".")&amp;" "&amp;SUBSTITUTE(ROUND((CY51)-6.9,1),",",".")&amp;"L"&amp;SUBSTITUTE(ROUND((CX51)+6.3,1),",",".")&amp;" "&amp;SUBSTITUTE(ROUND((CY51)+5.1,1),",",".")&amp;"L"&amp;SUBSTITUTE(ROUND((CX51)-6.3,1),",",".")&amp;" "&amp;SUBSTITUTE(ROUND((CY51)+5.1,1),",",".")&amp;"Z' fill='#FFFFFF' stroke='#2A3439' stroke-width='1.3'/&gt;","&lt;path d='M"&amp;SUBSTITUTE(ROUND(CX51,1),",",".")&amp;" "&amp;SUBSTITUTE(ROUND((CY51)-7.5,1),",",".")&amp;"L"&amp;SUBSTITUTE(ROUND((CX51)+7.5,1),",",".")&amp;" "&amp;SUBSTITUTE(ROUND(CY51,1),",",".")&amp;"L"&amp;SUBSTITUTE(ROUND(CX51,1),",",".")&amp;" "&amp;SUBSTITUTE(ROUND((CY51)+7.5,1),",",".")&amp;"L"&amp;SUBSTITUTE(ROUND((CX51)-7.5,1),",",".")&amp;" "&amp;SUBSTITUTE(ROUND(CY51,1),",",".")&amp;"Z' fill='#F5F5F5' stroke='#2A3439' stroke-width='1.3'/&gt;")))&amp;"&lt;text x='"&amp;SUBSTITUTE(ROUND(CX51+9,1),",",".")&amp;"' y='"&amp;SUBSTITUTE(ROUND(CY51-8,1),",",".")&amp;"'&gt;"&amp;DC51&amp;"&lt;/text&gt;","")</f>
        <v/>
      </c>
      <c r="DE51" s="58">
        <f>IF(CU51=1,IF(CZ51="Motriz","&lt;circle cx='"&amp;SUBSTITUTE(ROUND(728,1),",",".")&amp;"' cy='"&amp;SUBSTITUTE(ROUND(276.2,1),",",".")&amp;"' r='4.3' fill='#2A3439' stroke='#2A3439' stroke-width='1.3'/&gt;",IF(CZ51="Enlace","&lt;rect x='"&amp;SUBSTITUTE(ROUND((728)-3.96,1),",",".")&amp;"' y='"&amp;SUBSTITUTE(ROUND((276.2)-3.96,1),",",".")&amp;"' width='7.92' height='7.92' fill='#6699CC' stroke='#2A3439' stroke-width='1.3'/&gt;",IF(CZ51="Resultado","&lt;path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DF51" s="58">
        <f>11*$CU$14</f>
        <v/>
      </c>
      <c r="DG51" s="58">
        <f>IF(11&lt;=$CU$16,"&lt;line x1='"&amp;SUBSTITUTE(ROUND(90+DF51*$CU$22,1),",",".")&amp;"' y1='84' x2='"&amp;SUBSTITUTE(ROUND(90+DF51*$CU$22,1),",",".")&amp;"' y2='574' stroke='#FFFFFF'/&gt;&lt;text x='"&amp;SUBSTITUTE(ROUND(90+DF51*$CU$22,1),",",".")&amp;"' y='590' text-anchor='middle'&gt;"&amp;ROUND(DF51*100,2)&amp;" %&lt;/text&gt;","")</f>
        <v/>
      </c>
      <c r="DH51" s="58">
        <f>11*$CU$19</f>
        <v/>
      </c>
      <c r="DI51" s="58">
        <f>IF(11&lt;=$CU$21,"&lt;line x1='90' y1='"&amp;SUBSTITUTE(ROUND(574-DH51*$CU$23,1),",",".")&amp;"' x2='650' y2='"&amp;SUBSTITUTE(ROUND(574-DH51*$CU$23,1),",",".")&amp;"' stroke='#FFFFFF'/&gt;&lt;text x='84' y='"&amp;SUBSTITUTE(ROUND(574-DH51*$CU$23+3,1),",",".")&amp;"' text-anchor='end'&gt;"&amp;ROUND(DH51*100,2)&amp;" %&lt;/text&gt;","")</f>
        <v/>
      </c>
      <c r="DL51" s="60" t="inlineStr">
        <is>
          <t>i</t>
        </is>
      </c>
      <c r="DM51" s="60" t="inlineStr">
        <is>
          <t>cat</t>
        </is>
      </c>
      <c r="DN51" s="60" t="inlineStr">
        <is>
          <t>seq</t>
        </is>
      </c>
      <c r="DO51" s="60" t="inlineStr">
        <is>
          <t>título</t>
        </is>
      </c>
      <c r="DP51" s="60" t="inlineStr">
        <is>
          <t>descripción</t>
        </is>
      </c>
      <c r="DQ51" s="60" t="inlineStr">
        <is>
          <t>texto (≤74)</t>
        </is>
      </c>
      <c r="DR51" s="60" t="inlineStr">
        <is>
          <t>corte</t>
        </is>
      </c>
      <c r="DS51" s="60" t="inlineStr">
        <is>
          <t>línea 1</t>
        </is>
      </c>
      <c r="DT51" s="60" t="inlineStr">
        <is>
          <t>línea 2</t>
        </is>
      </c>
      <c r="DU51" s="60" t="inlineStr">
        <is>
          <t>x</t>
        </is>
      </c>
      <c r="DV51" s="60" t="inlineStr">
        <is>
          <t>y</t>
        </is>
      </c>
      <c r="DW51" s="60" t="inlineStr">
        <is>
          <t>caja SVG</t>
        </is>
      </c>
    </row>
    <row r="52">
      <c r="A52" s="58" t="n">
        <v>13</v>
      </c>
      <c r="B52" s="58">
        <f>IF($A52&lt;=nVariables,SUBSTITUTE(SUBSTITUTE(SUBSTITUTE(SUBSTITUTE(SUBSTITUTE(SUBSTITUTE(SUBSTITUTE(TRIM(CLEAN(IF(LEN(TRIM(M!$B22))&gt;46,LEFT(TRIM(M!$B22),45)&amp;"…",TRIM(M!$B22)))),"&amp;","&amp;amp;"),"&lt;","&amp;lt;"),"&gt;","&amp;gt;"),CHAR(34),"&amp;quot;"),CHAR(10)," "),CHAR(9)," "),CHAR(13)," "),"")</f>
        <v/>
      </c>
      <c r="C52" s="58">
        <f>IF($A52&lt;=nVariables,$A52&amp;". "&amp;B52,"")</f>
        <v/>
      </c>
      <c r="D52" s="58">
        <f>IF($A52&lt;=nVariables,IF(TRIM(M!$C22)&lt;&gt;"",TRIM(M!$C22),IF(LEN(TRIM(M!$B22))&gt;24,LEFT(TRIM(M!$B22),23)&amp;"…",TRIM(M!$B22))),"")</f>
        <v/>
      </c>
      <c r="E52" s="58">
        <f>IF($A52&lt;=nVariables,TRIM('Árbol de Problemas'!$F31),"")</f>
        <v/>
      </c>
      <c r="H52" s="58" t="n">
        <v>13</v>
      </c>
      <c r="I52" s="58">
        <f>IF(AND($I$4=1,H52&lt;=nVariables),1,0)</f>
        <v/>
      </c>
      <c r="J52" s="58">
        <f>IF(I52=1,'M1'!$F22,"")</f>
        <v/>
      </c>
      <c r="K52" s="58">
        <f>IF(I52=1,'M1'!$E22,"")</f>
        <v/>
      </c>
      <c r="L52" s="58">
        <f>IF(I52=1,90+J52*$I$22,"")</f>
        <v/>
      </c>
      <c r="M52" s="58">
        <f>IF(I52=1,574-K52*$I$23,"")</f>
        <v/>
      </c>
      <c r="N52" s="58">
        <f>IF(I52=1,'M1'!$I22,"")</f>
        <v/>
      </c>
      <c r="O52" s="58">
        <f>IF(I52=1,IF(N52="Motriz","#2A3439",IF(N52="Enlace","#6699CC",IF(N52="Resultado","#FFFFFF","#F5F5F5"))),"")</f>
        <v/>
      </c>
      <c r="P52" s="58">
        <f>IF(I52=1,IF(SUMPRODUCT((J$39:J51=J52)*(K$39:K51=K52))=0,1,0),0)</f>
        <v/>
      </c>
      <c r="Q52" s="58">
        <f>IF(P52=1,13&amp;IF(AND(J53=J52,K53=K52),","&amp;14,"")&amp;IF(AND(J54=J52,K54=K52),","&amp;15,"")&amp;IF(AND(J55=J52,K55=K52),","&amp;16,"")&amp;IF(AND(J56=J52,K56=K52),","&amp;17,"")&amp;IF(AND(J57=J52,K57=K52),","&amp;18,"")&amp;IF(AND(J58=J52,K58=K52),","&amp;19,"")&amp;IF(AND(J59=J52,K59=K52),","&amp;20,"")&amp;IF(AND(J60=J52,K60=K52),","&amp;21,"")&amp;IF(AND(J61=J52,K61=K52),","&amp;22,"")&amp;IF(AND(J62=J52,K62=K52),","&amp;23,"")&amp;IF(AND(J63=J52,K63=K52),","&amp;24,"")&amp;IF(AND(J64=J52,K64=K52),","&amp;25,"")&amp;IF(AND(J65=J52,K65=K52),","&amp;26,"")&amp;IF(AND(J66=J52,K66=K52),","&amp;27,"")&amp;IF(AND(J67=J52,K67=K52),","&amp;28,"")&amp;IF(AND(J68=J52,K68=K52),","&amp;29,"")&amp;IF(AND(J69=J52,K69=K52),","&amp;30,"")&amp;IF(AND(J70=J52,K70=K52),","&amp;31,"")&amp;IF(AND(J71=J52,K71=K52),","&amp;32,"")&amp;IF(AND(J72=J52,K72=K52),","&amp;33,"")&amp;IF(AND(J73=J52,K73=K52),","&amp;34,"")&amp;IF(AND(J74=J52,K74=K52),","&amp;35,"")&amp;IF(AND(J75=J52,K75=K52),","&amp;36,"")&amp;IF(AND(J76=J52,K76=K52),","&amp;37,"")&amp;IF(AND(J77=J52,K77=K52),","&amp;38,"")&amp;IF(AND(J78=J52,K78=K52),","&amp;39,"")&amp;IF(AND(J79=J52,K79=K52),","&amp;40,""),"")</f>
        <v/>
      </c>
      <c r="R52" s="58">
        <f>IF(P52=1,IF(N52="Motriz","&lt;circle cx='"&amp;SUBSTITUTE(ROUND(L52,1),",",".")&amp;"' cy='"&amp;SUBSTITUTE(ROUND(M52,1),",",".")&amp;"' r='6' fill='#2A3439' stroke='#2A3439' stroke-width='1.3'/&gt;",IF(N52="Enlace","&lt;rect x='"&amp;SUBSTITUTE(ROUND((L52)-5.52,1),",",".")&amp;"' y='"&amp;SUBSTITUTE(ROUND((M52)-5.52,1),",",".")&amp;"' width='11.04' height='11.04' fill='#6699CC' stroke='#2A3439' stroke-width='1.3'/&gt;",IF(N52="Resultado","&lt;path d='M"&amp;SUBSTITUTE(ROUND(L52,1),",",".")&amp;" "&amp;SUBSTITUTE(ROUND((M52)-6.9,1),",",".")&amp;"L"&amp;SUBSTITUTE(ROUND((L52)+6.3,1),",",".")&amp;" "&amp;SUBSTITUTE(ROUND((M52)+5.1,1),",",".")&amp;"L"&amp;SUBSTITUTE(ROUND((L52)-6.3,1),",",".")&amp;" "&amp;SUBSTITUTE(ROUND((M52)+5.1,1),",",".")&amp;"Z' fill='#FFFFFF' stroke='#2A3439' stroke-width='1.3'/&gt;","&lt;path d='M"&amp;SUBSTITUTE(ROUND(L52,1),",",".")&amp;" "&amp;SUBSTITUTE(ROUND((M52)-7.5,1),",",".")&amp;"L"&amp;SUBSTITUTE(ROUND((L52)+7.5,1),",",".")&amp;" "&amp;SUBSTITUTE(ROUND(M52,1),",",".")&amp;"L"&amp;SUBSTITUTE(ROUND(L52,1),",",".")&amp;" "&amp;SUBSTITUTE(ROUND((M52)+7.5,1),",",".")&amp;"L"&amp;SUBSTITUTE(ROUND((L52)-7.5,1),",",".")&amp;" "&amp;SUBSTITUTE(ROUND(M52,1),",",".")&amp;"Z' fill='#F5F5F5' stroke='#2A3439' stroke-width='1.3'/&gt;")))&amp;"&lt;text x='"&amp;SUBSTITUTE(ROUND(L52+9,1),",",".")&amp;"' y='"&amp;SUBSTITUTE(ROUND(M52-8,1),",",".")&amp;"'&gt;"&amp;Q52&amp;"&lt;/text&gt;","")</f>
        <v/>
      </c>
      <c r="S52" s="58">
        <f>IF(I52=1,IF(N52="Motriz","&lt;circle cx='"&amp;SUBSTITUTE(ROUND(728,1),",",".")&amp;"' cy='"&amp;SUBSTITUTE(ROUND(290.4,1),",",".")&amp;"' r='4.3' fill='#2A3439' stroke='#2A3439' stroke-width='1.3'/&gt;",IF(N52="Enlace","&lt;rect x='"&amp;SUBSTITUTE(ROUND((728)-3.96,1),",",".")&amp;"' y='"&amp;SUBSTITUTE(ROUND((290.4)-3.96,1),",",".")&amp;"' width='7.92' height='7.92' fill='#6699CC' stroke='#2A3439' stroke-width='1.3'/&gt;",IF(N52="Resultado","&lt;path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Z52" s="58" t="n">
        <v>13</v>
      </c>
      <c r="AA52" s="58">
        <f>IF(AND($AA$4=1,Z52&lt;=nVariables),1,0)</f>
        <v/>
      </c>
      <c r="AB52" s="58">
        <f>IF(AA52=1,'M2'!$F22,"")</f>
        <v/>
      </c>
      <c r="AC52" s="58">
        <f>IF(AA52=1,'M2'!$E22,"")</f>
        <v/>
      </c>
      <c r="AD52" s="58">
        <f>IF(AA52=1,90+AB52*$AA$22,"")</f>
        <v/>
      </c>
      <c r="AE52" s="58">
        <f>IF(AA52=1,574-AC52*$AA$23,"")</f>
        <v/>
      </c>
      <c r="AF52" s="58">
        <f>IF(AA52=1,'M2'!$I22,"")</f>
        <v/>
      </c>
      <c r="AG52" s="58">
        <f>IF(AA52=1,IF(AF52="Motriz","#2A3439",IF(AF52="Enlace","#6699CC",IF(AF52="Resultado","#FFFFFF","#F5F5F5"))),"")</f>
        <v/>
      </c>
      <c r="AH52" s="58">
        <f>IF(AA52=1,IF(SUMPRODUCT((AB$39:AB51=AB52)*(AC$39:AC51=AC52))=0,1,0),0)</f>
        <v/>
      </c>
      <c r="AI52" s="58">
        <f>IF(AH52=1,13&amp;IF(AND(AB53=AB52,AC53=AC52),","&amp;14,"")&amp;IF(AND(AB54=AB52,AC54=AC52),","&amp;15,"")&amp;IF(AND(AB55=AB52,AC55=AC52),","&amp;16,"")&amp;IF(AND(AB56=AB52,AC56=AC52),","&amp;17,"")&amp;IF(AND(AB57=AB52,AC57=AC52),","&amp;18,"")&amp;IF(AND(AB58=AB52,AC58=AC52),","&amp;19,"")&amp;IF(AND(AB59=AB52,AC59=AC52),","&amp;20,"")&amp;IF(AND(AB60=AB52,AC60=AC52),","&amp;21,"")&amp;IF(AND(AB61=AB52,AC61=AC52),","&amp;22,"")&amp;IF(AND(AB62=AB52,AC62=AC52),","&amp;23,"")&amp;IF(AND(AB63=AB52,AC63=AC52),","&amp;24,"")&amp;IF(AND(AB64=AB52,AC64=AC52),","&amp;25,"")&amp;IF(AND(AB65=AB52,AC65=AC52),","&amp;26,"")&amp;IF(AND(AB66=AB52,AC66=AC52),","&amp;27,"")&amp;IF(AND(AB67=AB52,AC67=AC52),","&amp;28,"")&amp;IF(AND(AB68=AB52,AC68=AC52),","&amp;29,"")&amp;IF(AND(AB69=AB52,AC69=AC52),","&amp;30,"")&amp;IF(AND(AB70=AB52,AC70=AC52),","&amp;31,"")&amp;IF(AND(AB71=AB52,AC71=AC52),","&amp;32,"")&amp;IF(AND(AB72=AB52,AC72=AC52),","&amp;33,"")&amp;IF(AND(AB73=AB52,AC73=AC52),","&amp;34,"")&amp;IF(AND(AB74=AB52,AC74=AC52),","&amp;35,"")&amp;IF(AND(AB75=AB52,AC75=AC52),","&amp;36,"")&amp;IF(AND(AB76=AB52,AC76=AC52),","&amp;37,"")&amp;IF(AND(AB77=AB52,AC77=AC52),","&amp;38,"")&amp;IF(AND(AB78=AB52,AC78=AC52),","&amp;39,"")&amp;IF(AND(AB79=AB52,AC79=AC52),","&amp;40,""),"")</f>
        <v/>
      </c>
      <c r="AJ52" s="58">
        <f>IF(AH52=1,IF(AF52="Motriz","&lt;circle cx='"&amp;SUBSTITUTE(ROUND(AD52,1),",",".")&amp;"' cy='"&amp;SUBSTITUTE(ROUND(AE52,1),",",".")&amp;"' r='6' fill='#2A3439' stroke='#2A3439' stroke-width='1.3'/&gt;",IF(AF52="Enlace","&lt;rect x='"&amp;SUBSTITUTE(ROUND((AD52)-5.52,1),",",".")&amp;"' y='"&amp;SUBSTITUTE(ROUND((AE52)-5.52,1),",",".")&amp;"' width='11.04' height='11.04' fill='#6699CC' stroke='#2A3439' stroke-width='1.3'/&gt;",IF(AF52="Resultado","&lt;path d='M"&amp;SUBSTITUTE(ROUND(AD52,1),",",".")&amp;" "&amp;SUBSTITUTE(ROUND((AE52)-6.9,1),",",".")&amp;"L"&amp;SUBSTITUTE(ROUND((AD52)+6.3,1),",",".")&amp;" "&amp;SUBSTITUTE(ROUND((AE52)+5.1,1),",",".")&amp;"L"&amp;SUBSTITUTE(ROUND((AD52)-6.3,1),",",".")&amp;" "&amp;SUBSTITUTE(ROUND((AE52)+5.1,1),",",".")&amp;"Z' fill='#FFFFFF' stroke='#2A3439' stroke-width='1.3'/&gt;","&lt;path d='M"&amp;SUBSTITUTE(ROUND(AD52,1),",",".")&amp;" "&amp;SUBSTITUTE(ROUND((AE52)-7.5,1),",",".")&amp;"L"&amp;SUBSTITUTE(ROUND((AD52)+7.5,1),",",".")&amp;" "&amp;SUBSTITUTE(ROUND(AE52,1),",",".")&amp;"L"&amp;SUBSTITUTE(ROUND(AD52,1),",",".")&amp;" "&amp;SUBSTITUTE(ROUND((AE52)+7.5,1),",",".")&amp;"L"&amp;SUBSTITUTE(ROUND((AD52)-7.5,1),",",".")&amp;" "&amp;SUBSTITUTE(ROUND(AE52,1),",",".")&amp;"Z' fill='#F5F5F5' stroke='#2A3439' stroke-width='1.3'/&gt;")))&amp;"&lt;text x='"&amp;SUBSTITUTE(ROUND(AD52+9,1),",",".")&amp;"' y='"&amp;SUBSTITUTE(ROUND(AE52-8,1),",",".")&amp;"'&gt;"&amp;AI52&amp;"&lt;/text&gt;","")</f>
        <v/>
      </c>
      <c r="AK52" s="58">
        <f>IF(AA52=1,IF(AF52="Motriz","&lt;circle cx='"&amp;SUBSTITUTE(ROUND(728,1),",",".")&amp;"' cy='"&amp;SUBSTITUTE(ROUND(290.4,1),",",".")&amp;"' r='4.3' fill='#2A3439' stroke='#2A3439' stroke-width='1.3'/&gt;",IF(AF52="Enlace","&lt;rect x='"&amp;SUBSTITUTE(ROUND((728)-3.96,1),",",".")&amp;"' y='"&amp;SUBSTITUTE(ROUND((290.4)-3.96,1),",",".")&amp;"' width='7.92' height='7.92' fill='#6699CC' stroke='#2A3439' stroke-width='1.3'/&gt;",IF(AF52="Resultado","&lt;path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AR52" s="58" t="n">
        <v>13</v>
      </c>
      <c r="AS52" s="58">
        <f>IF(AND($AS$4=1,AR52&lt;=nVariables),1,0)</f>
        <v/>
      </c>
      <c r="AT52" s="58">
        <f>IF(AS52=1,'M3'!$F22,"")</f>
        <v/>
      </c>
      <c r="AU52" s="58">
        <f>IF(AS52=1,'M3'!$E22,"")</f>
        <v/>
      </c>
      <c r="AV52" s="58">
        <f>IF(AS52=1,90+AT52*$AS$22,"")</f>
        <v/>
      </c>
      <c r="AW52" s="58">
        <f>IF(AS52=1,574-AU52*$AS$23,"")</f>
        <v/>
      </c>
      <c r="AX52" s="58">
        <f>IF(AS52=1,'M3'!$I22,"")</f>
        <v/>
      </c>
      <c r="AY52" s="58">
        <f>IF(AS52=1,IF(AX52="Motriz","#2A3439",IF(AX52="Enlace","#6699CC",IF(AX52="Resultado","#FFFFFF","#F5F5F5"))),"")</f>
        <v/>
      </c>
      <c r="AZ52" s="58">
        <f>IF(AS52=1,IF(SUMPRODUCT((AT$39:AT51=AT52)*(AU$39:AU51=AU52))=0,1,0),0)</f>
        <v/>
      </c>
      <c r="BA52" s="58">
        <f>IF(AZ52=1,13&amp;IF(AND(AT53=AT52,AU53=AU52),","&amp;14,"")&amp;IF(AND(AT54=AT52,AU54=AU52),","&amp;15,"")&amp;IF(AND(AT55=AT52,AU55=AU52),","&amp;16,"")&amp;IF(AND(AT56=AT52,AU56=AU52),","&amp;17,"")&amp;IF(AND(AT57=AT52,AU57=AU52),","&amp;18,"")&amp;IF(AND(AT58=AT52,AU58=AU52),","&amp;19,"")&amp;IF(AND(AT59=AT52,AU59=AU52),","&amp;20,"")&amp;IF(AND(AT60=AT52,AU60=AU52),","&amp;21,"")&amp;IF(AND(AT61=AT52,AU61=AU52),","&amp;22,"")&amp;IF(AND(AT62=AT52,AU62=AU52),","&amp;23,"")&amp;IF(AND(AT63=AT52,AU63=AU52),","&amp;24,"")&amp;IF(AND(AT64=AT52,AU64=AU52),","&amp;25,"")&amp;IF(AND(AT65=AT52,AU65=AU52),","&amp;26,"")&amp;IF(AND(AT66=AT52,AU66=AU52),","&amp;27,"")&amp;IF(AND(AT67=AT52,AU67=AU52),","&amp;28,"")&amp;IF(AND(AT68=AT52,AU68=AU52),","&amp;29,"")&amp;IF(AND(AT69=AT52,AU69=AU52),","&amp;30,"")&amp;IF(AND(AT70=AT52,AU70=AU52),","&amp;31,"")&amp;IF(AND(AT71=AT52,AU71=AU52),","&amp;32,"")&amp;IF(AND(AT72=AT52,AU72=AU52),","&amp;33,"")&amp;IF(AND(AT73=AT52,AU73=AU52),","&amp;34,"")&amp;IF(AND(AT74=AT52,AU74=AU52),","&amp;35,"")&amp;IF(AND(AT75=AT52,AU75=AU52),","&amp;36,"")&amp;IF(AND(AT76=AT52,AU76=AU52),","&amp;37,"")&amp;IF(AND(AT77=AT52,AU77=AU52),","&amp;38,"")&amp;IF(AND(AT78=AT52,AU78=AU52),","&amp;39,"")&amp;IF(AND(AT79=AT52,AU79=AU52),","&amp;40,""),"")</f>
        <v/>
      </c>
      <c r="BB52" s="58">
        <f>IF(AZ52=1,IF(AX52="Motriz","&lt;circle cx='"&amp;SUBSTITUTE(ROUND(AV52,1),",",".")&amp;"' cy='"&amp;SUBSTITUTE(ROUND(AW52,1),",",".")&amp;"' r='6' fill='#2A3439' stroke='#2A3439' stroke-width='1.3'/&gt;",IF(AX52="Enlace","&lt;rect x='"&amp;SUBSTITUTE(ROUND((AV52)-5.52,1),",",".")&amp;"' y='"&amp;SUBSTITUTE(ROUND((AW52)-5.52,1),",",".")&amp;"' width='11.04' height='11.04' fill='#6699CC' stroke='#2A3439' stroke-width='1.3'/&gt;",IF(AX52="Resultado","&lt;path d='M"&amp;SUBSTITUTE(ROUND(AV52,1),",",".")&amp;" "&amp;SUBSTITUTE(ROUND((AW52)-6.9,1),",",".")&amp;"L"&amp;SUBSTITUTE(ROUND((AV52)+6.3,1),",",".")&amp;" "&amp;SUBSTITUTE(ROUND((AW52)+5.1,1),",",".")&amp;"L"&amp;SUBSTITUTE(ROUND((AV52)-6.3,1),",",".")&amp;" "&amp;SUBSTITUTE(ROUND((AW52)+5.1,1),",",".")&amp;"Z' fill='#FFFFFF' stroke='#2A3439' stroke-width='1.3'/&gt;","&lt;path d='M"&amp;SUBSTITUTE(ROUND(AV52,1),",",".")&amp;" "&amp;SUBSTITUTE(ROUND((AW52)-7.5,1),",",".")&amp;"L"&amp;SUBSTITUTE(ROUND((AV52)+7.5,1),",",".")&amp;" "&amp;SUBSTITUTE(ROUND(AW52,1),",",".")&amp;"L"&amp;SUBSTITUTE(ROUND(AV52,1),",",".")&amp;" "&amp;SUBSTITUTE(ROUND((AW52)+7.5,1),",",".")&amp;"L"&amp;SUBSTITUTE(ROUND((AV52)-7.5,1),",",".")&amp;" "&amp;SUBSTITUTE(ROUND(AW52,1),",",".")&amp;"Z' fill='#F5F5F5' stroke='#2A3439' stroke-width='1.3'/&gt;")))&amp;"&lt;text x='"&amp;SUBSTITUTE(ROUND(AV52+9,1),",",".")&amp;"' y='"&amp;SUBSTITUTE(ROUND(AW52-8,1),",",".")&amp;"'&gt;"&amp;BA52&amp;"&lt;/text&gt;","")</f>
        <v/>
      </c>
      <c r="BC52" s="58">
        <f>IF(AS52=1,IF(AX52="Motriz","&lt;circle cx='"&amp;SUBSTITUTE(ROUND(728,1),",",".")&amp;"' cy='"&amp;SUBSTITUTE(ROUND(290.4,1),",",".")&amp;"' r='4.3' fill='#2A3439' stroke='#2A3439' stroke-width='1.3'/&gt;",IF(AX52="Enlace","&lt;rect x='"&amp;SUBSTITUTE(ROUND((728)-3.96,1),",",".")&amp;"' y='"&amp;SUBSTITUTE(ROUND((290.4)-3.96,1),",",".")&amp;"' width='7.92' height='7.92' fill='#6699CC' stroke='#2A3439' stroke-width='1.3'/&gt;",IF(AX52="Resultado","&lt;path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BJ52" s="58" t="n">
        <v>13</v>
      </c>
      <c r="BK52" s="58">
        <f>IF(AND($BK$4=1,BJ52&lt;=nVariables),1,0)</f>
        <v/>
      </c>
      <c r="BL52" s="58">
        <f>IF(BK52=1,'M4'!$F22,"")</f>
        <v/>
      </c>
      <c r="BM52" s="58">
        <f>IF(BK52=1,'M4'!$E22,"")</f>
        <v/>
      </c>
      <c r="BN52" s="58">
        <f>IF(BK52=1,90+BL52*$BK$22,"")</f>
        <v/>
      </c>
      <c r="BO52" s="58">
        <f>IF(BK52=1,574-BM52*$BK$23,"")</f>
        <v/>
      </c>
      <c r="BP52" s="58">
        <f>IF(BK52=1,'M4'!$I22,"")</f>
        <v/>
      </c>
      <c r="BQ52" s="58">
        <f>IF(BK52=1,IF(BP52="Motriz","#2A3439",IF(BP52="Enlace","#6699CC",IF(BP52="Resultado","#FFFFFF","#F5F5F5"))),"")</f>
        <v/>
      </c>
      <c r="BR52" s="58">
        <f>IF(BK52=1,IF(SUMPRODUCT((BL$39:BL51=BL52)*(BM$39:BM51=BM52))=0,1,0),0)</f>
        <v/>
      </c>
      <c r="BS52" s="58">
        <f>IF(BR52=1,13&amp;IF(AND(BL53=BL52,BM53=BM52),","&amp;14,"")&amp;IF(AND(BL54=BL52,BM54=BM52),","&amp;15,"")&amp;IF(AND(BL55=BL52,BM55=BM52),","&amp;16,"")&amp;IF(AND(BL56=BL52,BM56=BM52),","&amp;17,"")&amp;IF(AND(BL57=BL52,BM57=BM52),","&amp;18,"")&amp;IF(AND(BL58=BL52,BM58=BM52),","&amp;19,"")&amp;IF(AND(BL59=BL52,BM59=BM52),","&amp;20,"")&amp;IF(AND(BL60=BL52,BM60=BM52),","&amp;21,"")&amp;IF(AND(BL61=BL52,BM61=BM52),","&amp;22,"")&amp;IF(AND(BL62=BL52,BM62=BM52),","&amp;23,"")&amp;IF(AND(BL63=BL52,BM63=BM52),","&amp;24,"")&amp;IF(AND(BL64=BL52,BM64=BM52),","&amp;25,"")&amp;IF(AND(BL65=BL52,BM65=BM52),","&amp;26,"")&amp;IF(AND(BL66=BL52,BM66=BM52),","&amp;27,"")&amp;IF(AND(BL67=BL52,BM67=BM52),","&amp;28,"")&amp;IF(AND(BL68=BL52,BM68=BM52),","&amp;29,"")&amp;IF(AND(BL69=BL52,BM69=BM52),","&amp;30,"")&amp;IF(AND(BL70=BL52,BM70=BM52),","&amp;31,"")&amp;IF(AND(BL71=BL52,BM71=BM52),","&amp;32,"")&amp;IF(AND(BL72=BL52,BM72=BM52),","&amp;33,"")&amp;IF(AND(BL73=BL52,BM73=BM52),","&amp;34,"")&amp;IF(AND(BL74=BL52,BM74=BM52),","&amp;35,"")&amp;IF(AND(BL75=BL52,BM75=BM52),","&amp;36,"")&amp;IF(AND(BL76=BL52,BM76=BM52),","&amp;37,"")&amp;IF(AND(BL77=BL52,BM77=BM52),","&amp;38,"")&amp;IF(AND(BL78=BL52,BM78=BM52),","&amp;39,"")&amp;IF(AND(BL79=BL52,BM79=BM52),","&amp;40,""),"")</f>
        <v/>
      </c>
      <c r="BT52" s="58">
        <f>IF(BR52=1,IF(BP52="Motriz","&lt;circle cx='"&amp;SUBSTITUTE(ROUND(BN52,1),",",".")&amp;"' cy='"&amp;SUBSTITUTE(ROUND(BO52,1),",",".")&amp;"' r='6' fill='#2A3439' stroke='#2A3439' stroke-width='1.3'/&gt;",IF(BP52="Enlace","&lt;rect x='"&amp;SUBSTITUTE(ROUND((BN52)-5.52,1),",",".")&amp;"' y='"&amp;SUBSTITUTE(ROUND((BO52)-5.52,1),",",".")&amp;"' width='11.04' height='11.04' fill='#6699CC' stroke='#2A3439' stroke-width='1.3'/&gt;",IF(BP52="Resultado","&lt;path d='M"&amp;SUBSTITUTE(ROUND(BN52,1),",",".")&amp;" "&amp;SUBSTITUTE(ROUND((BO52)-6.9,1),",",".")&amp;"L"&amp;SUBSTITUTE(ROUND((BN52)+6.3,1),",",".")&amp;" "&amp;SUBSTITUTE(ROUND((BO52)+5.1,1),",",".")&amp;"L"&amp;SUBSTITUTE(ROUND((BN52)-6.3,1),",",".")&amp;" "&amp;SUBSTITUTE(ROUND((BO52)+5.1,1),",",".")&amp;"Z' fill='#FFFFFF' stroke='#2A3439' stroke-width='1.3'/&gt;","&lt;path d='M"&amp;SUBSTITUTE(ROUND(BN52,1),",",".")&amp;" "&amp;SUBSTITUTE(ROUND((BO52)-7.5,1),",",".")&amp;"L"&amp;SUBSTITUTE(ROUND((BN52)+7.5,1),",",".")&amp;" "&amp;SUBSTITUTE(ROUND(BO52,1),",",".")&amp;"L"&amp;SUBSTITUTE(ROUND(BN52,1),",",".")&amp;" "&amp;SUBSTITUTE(ROUND((BO52)+7.5,1),",",".")&amp;"L"&amp;SUBSTITUTE(ROUND((BN52)-7.5,1),",",".")&amp;" "&amp;SUBSTITUTE(ROUND(BO52,1),",",".")&amp;"Z' fill='#F5F5F5' stroke='#2A3439' stroke-width='1.3'/&gt;")))&amp;"&lt;text x='"&amp;SUBSTITUTE(ROUND(BN52+9,1),",",".")&amp;"' y='"&amp;SUBSTITUTE(ROUND(BO52-8,1),",",".")&amp;"'&gt;"&amp;BS52&amp;"&lt;/text&gt;","")</f>
        <v/>
      </c>
      <c r="BU52" s="58">
        <f>IF(BK52=1,IF(BP52="Motriz","&lt;circle cx='"&amp;SUBSTITUTE(ROUND(728,1),",",".")&amp;"' cy='"&amp;SUBSTITUTE(ROUND(290.4,1),",",".")&amp;"' r='4.3' fill='#2A3439' stroke='#2A3439' stroke-width='1.3'/&gt;",IF(BP52="Enlace","&lt;rect x='"&amp;SUBSTITUTE(ROUND((728)-3.96,1),",",".")&amp;"' y='"&amp;SUBSTITUTE(ROUND((290.4)-3.96,1),",",".")&amp;"' width='7.92' height='7.92' fill='#6699CC' stroke='#2A3439' stroke-width='1.3'/&gt;",IF(BP52="Resultado","&lt;path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CB52" s="58" t="n">
        <v>13</v>
      </c>
      <c r="CC52" s="58">
        <f>IF(AND($CC$4=1,CB52&lt;=nVariables),1,0)</f>
        <v/>
      </c>
      <c r="CD52" s="58">
        <f>IF(CC52=1,'M5'!$F22,"")</f>
        <v/>
      </c>
      <c r="CE52" s="58">
        <f>IF(CC52=1,'M5'!$E22,"")</f>
        <v/>
      </c>
      <c r="CF52" s="58">
        <f>IF(CC52=1,90+CD52*$CC$22,"")</f>
        <v/>
      </c>
      <c r="CG52" s="58">
        <f>IF(CC52=1,574-CE52*$CC$23,"")</f>
        <v/>
      </c>
      <c r="CH52" s="58">
        <f>IF(CC52=1,'M5'!$I22,"")</f>
        <v/>
      </c>
      <c r="CI52" s="58">
        <f>IF(CC52=1,IF(CH52="Motriz","#2A3439",IF(CH52="Enlace","#6699CC",IF(CH52="Resultado","#FFFFFF","#F5F5F5"))),"")</f>
        <v/>
      </c>
      <c r="CJ52" s="58">
        <f>IF(CC52=1,IF(SUMPRODUCT((CD$39:CD51=CD52)*(CE$39:CE51=CE52))=0,1,0),0)</f>
        <v/>
      </c>
      <c r="CK52" s="58">
        <f>IF(CJ52=1,13&amp;IF(AND(CD53=CD52,CE53=CE52),","&amp;14,"")&amp;IF(AND(CD54=CD52,CE54=CE52),","&amp;15,"")&amp;IF(AND(CD55=CD52,CE55=CE52),","&amp;16,"")&amp;IF(AND(CD56=CD52,CE56=CE52),","&amp;17,"")&amp;IF(AND(CD57=CD52,CE57=CE52),","&amp;18,"")&amp;IF(AND(CD58=CD52,CE58=CE52),","&amp;19,"")&amp;IF(AND(CD59=CD52,CE59=CE52),","&amp;20,"")&amp;IF(AND(CD60=CD52,CE60=CE52),","&amp;21,"")&amp;IF(AND(CD61=CD52,CE61=CE52),","&amp;22,"")&amp;IF(AND(CD62=CD52,CE62=CE52),","&amp;23,"")&amp;IF(AND(CD63=CD52,CE63=CE52),","&amp;24,"")&amp;IF(AND(CD64=CD52,CE64=CE52),","&amp;25,"")&amp;IF(AND(CD65=CD52,CE65=CE52),","&amp;26,"")&amp;IF(AND(CD66=CD52,CE66=CE52),","&amp;27,"")&amp;IF(AND(CD67=CD52,CE67=CE52),","&amp;28,"")&amp;IF(AND(CD68=CD52,CE68=CE52),","&amp;29,"")&amp;IF(AND(CD69=CD52,CE69=CE52),","&amp;30,"")&amp;IF(AND(CD70=CD52,CE70=CE52),","&amp;31,"")&amp;IF(AND(CD71=CD52,CE71=CE52),","&amp;32,"")&amp;IF(AND(CD72=CD52,CE72=CE52),","&amp;33,"")&amp;IF(AND(CD73=CD52,CE73=CE52),","&amp;34,"")&amp;IF(AND(CD74=CD52,CE74=CE52),","&amp;35,"")&amp;IF(AND(CD75=CD52,CE75=CE52),","&amp;36,"")&amp;IF(AND(CD76=CD52,CE76=CE52),","&amp;37,"")&amp;IF(AND(CD77=CD52,CE77=CE52),","&amp;38,"")&amp;IF(AND(CD78=CD52,CE78=CE52),","&amp;39,"")&amp;IF(AND(CD79=CD52,CE79=CE52),","&amp;40,""),"")</f>
        <v/>
      </c>
      <c r="CL52" s="58">
        <f>IF(CJ52=1,IF(CH52="Motriz","&lt;circle cx='"&amp;SUBSTITUTE(ROUND(CF52,1),",",".")&amp;"' cy='"&amp;SUBSTITUTE(ROUND(CG52,1),",",".")&amp;"' r='6' fill='#2A3439' stroke='#2A3439' stroke-width='1.3'/&gt;",IF(CH52="Enlace","&lt;rect x='"&amp;SUBSTITUTE(ROUND((CF52)-5.52,1),",",".")&amp;"' y='"&amp;SUBSTITUTE(ROUND((CG52)-5.52,1),",",".")&amp;"' width='11.04' height='11.04' fill='#6699CC' stroke='#2A3439' stroke-width='1.3'/&gt;",IF(CH52="Resultado","&lt;path d='M"&amp;SUBSTITUTE(ROUND(CF52,1),",",".")&amp;" "&amp;SUBSTITUTE(ROUND((CG52)-6.9,1),",",".")&amp;"L"&amp;SUBSTITUTE(ROUND((CF52)+6.3,1),",",".")&amp;" "&amp;SUBSTITUTE(ROUND((CG52)+5.1,1),",",".")&amp;"L"&amp;SUBSTITUTE(ROUND((CF52)-6.3,1),",",".")&amp;" "&amp;SUBSTITUTE(ROUND((CG52)+5.1,1),",",".")&amp;"Z' fill='#FFFFFF' stroke='#2A3439' stroke-width='1.3'/&gt;","&lt;path d='M"&amp;SUBSTITUTE(ROUND(CF52,1),",",".")&amp;" "&amp;SUBSTITUTE(ROUND((CG52)-7.5,1),",",".")&amp;"L"&amp;SUBSTITUTE(ROUND((CF52)+7.5,1),",",".")&amp;" "&amp;SUBSTITUTE(ROUND(CG52,1),",",".")&amp;"L"&amp;SUBSTITUTE(ROUND(CF52,1),",",".")&amp;" "&amp;SUBSTITUTE(ROUND((CG52)+7.5,1),",",".")&amp;"L"&amp;SUBSTITUTE(ROUND((CF52)-7.5,1),",",".")&amp;" "&amp;SUBSTITUTE(ROUND(CG52,1),",",".")&amp;"Z' fill='#F5F5F5' stroke='#2A3439' stroke-width='1.3'/&gt;")))&amp;"&lt;text x='"&amp;SUBSTITUTE(ROUND(CF52+9,1),",",".")&amp;"' y='"&amp;SUBSTITUTE(ROUND(CG52-8,1),",",".")&amp;"'&gt;"&amp;CK52&amp;"&lt;/text&gt;","")</f>
        <v/>
      </c>
      <c r="CM52" s="58">
        <f>IF(CC52=1,IF(CH52="Motriz","&lt;circle cx='"&amp;SUBSTITUTE(ROUND(728,1),",",".")&amp;"' cy='"&amp;SUBSTITUTE(ROUND(290.4,1),",",".")&amp;"' r='4.3' fill='#2A3439' stroke='#2A3439' stroke-width='1.3'/&gt;",IF(CH52="Enlace","&lt;rect x='"&amp;SUBSTITUTE(ROUND((728)-3.96,1),",",".")&amp;"' y='"&amp;SUBSTITUTE(ROUND((290.4)-3.96,1),",",".")&amp;"' width='7.92' height='7.92' fill='#6699CC' stroke='#2A3439' stroke-width='1.3'/&gt;",IF(CH52="Resultado","&lt;path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CT52" s="58" t="n">
        <v>13</v>
      </c>
      <c r="CU52" s="58">
        <f>IF(AND($CU$4=1,CT52&lt;=nVariables),1,0)</f>
        <v/>
      </c>
      <c r="CV52" s="58">
        <f>IF(CU52=1,'M6'!$F22,"")</f>
        <v/>
      </c>
      <c r="CW52" s="58">
        <f>IF(CU52=1,'M6'!$E22,"")</f>
        <v/>
      </c>
      <c r="CX52" s="58">
        <f>IF(CU52=1,90+CV52*$CU$22,"")</f>
        <v/>
      </c>
      <c r="CY52" s="58">
        <f>IF(CU52=1,574-CW52*$CU$23,"")</f>
        <v/>
      </c>
      <c r="CZ52" s="58">
        <f>IF(CU52=1,'M6'!$I22,"")</f>
        <v/>
      </c>
      <c r="DA52" s="58">
        <f>IF(CU52=1,IF(CZ52="Motriz","#2A3439",IF(CZ52="Enlace","#6699CC",IF(CZ52="Resultado","#FFFFFF","#F5F5F5"))),"")</f>
        <v/>
      </c>
      <c r="DB52" s="58">
        <f>IF(CU52=1,IF(SUMPRODUCT((CV$39:CV51=CV52)*(CW$39:CW51=CW52))=0,1,0),0)</f>
        <v/>
      </c>
      <c r="DC52" s="58">
        <f>IF(DB52=1,13&amp;IF(AND(CV53=CV52,CW53=CW52),","&amp;14,"")&amp;IF(AND(CV54=CV52,CW54=CW52),","&amp;15,"")&amp;IF(AND(CV55=CV52,CW55=CW52),","&amp;16,"")&amp;IF(AND(CV56=CV52,CW56=CW52),","&amp;17,"")&amp;IF(AND(CV57=CV52,CW57=CW52),","&amp;18,"")&amp;IF(AND(CV58=CV52,CW58=CW52),","&amp;19,"")&amp;IF(AND(CV59=CV52,CW59=CW52),","&amp;20,"")&amp;IF(AND(CV60=CV52,CW60=CW52),","&amp;21,"")&amp;IF(AND(CV61=CV52,CW61=CW52),","&amp;22,"")&amp;IF(AND(CV62=CV52,CW62=CW52),","&amp;23,"")&amp;IF(AND(CV63=CV52,CW63=CW52),","&amp;24,"")&amp;IF(AND(CV64=CV52,CW64=CW52),","&amp;25,"")&amp;IF(AND(CV65=CV52,CW65=CW52),","&amp;26,"")&amp;IF(AND(CV66=CV52,CW66=CW52),","&amp;27,"")&amp;IF(AND(CV67=CV52,CW67=CW52),","&amp;28,"")&amp;IF(AND(CV68=CV52,CW68=CW52),","&amp;29,"")&amp;IF(AND(CV69=CV52,CW69=CW52),","&amp;30,"")&amp;IF(AND(CV70=CV52,CW70=CW52),","&amp;31,"")&amp;IF(AND(CV71=CV52,CW71=CW52),","&amp;32,"")&amp;IF(AND(CV72=CV52,CW72=CW52),","&amp;33,"")&amp;IF(AND(CV73=CV52,CW73=CW52),","&amp;34,"")&amp;IF(AND(CV74=CV52,CW74=CW52),","&amp;35,"")&amp;IF(AND(CV75=CV52,CW75=CW52),","&amp;36,"")&amp;IF(AND(CV76=CV52,CW76=CW52),","&amp;37,"")&amp;IF(AND(CV77=CV52,CW77=CW52),","&amp;38,"")&amp;IF(AND(CV78=CV52,CW78=CW52),","&amp;39,"")&amp;IF(AND(CV79=CV52,CW79=CW52),","&amp;40,""),"")</f>
        <v/>
      </c>
      <c r="DD52" s="58">
        <f>IF(DB52=1,IF(CZ52="Motriz","&lt;circle cx='"&amp;SUBSTITUTE(ROUND(CX52,1),",",".")&amp;"' cy='"&amp;SUBSTITUTE(ROUND(CY52,1),",",".")&amp;"' r='6' fill='#2A3439' stroke='#2A3439' stroke-width='1.3'/&gt;",IF(CZ52="Enlace","&lt;rect x='"&amp;SUBSTITUTE(ROUND((CX52)-5.52,1),",",".")&amp;"' y='"&amp;SUBSTITUTE(ROUND((CY52)-5.52,1),",",".")&amp;"' width='11.04' height='11.04' fill='#6699CC' stroke='#2A3439' stroke-width='1.3'/&gt;",IF(CZ52="Resultado","&lt;path d='M"&amp;SUBSTITUTE(ROUND(CX52,1),",",".")&amp;" "&amp;SUBSTITUTE(ROUND((CY52)-6.9,1),",",".")&amp;"L"&amp;SUBSTITUTE(ROUND((CX52)+6.3,1),",",".")&amp;" "&amp;SUBSTITUTE(ROUND((CY52)+5.1,1),",",".")&amp;"L"&amp;SUBSTITUTE(ROUND((CX52)-6.3,1),",",".")&amp;" "&amp;SUBSTITUTE(ROUND((CY52)+5.1,1),",",".")&amp;"Z' fill='#FFFFFF' stroke='#2A3439' stroke-width='1.3'/&gt;","&lt;path d='M"&amp;SUBSTITUTE(ROUND(CX52,1),",",".")&amp;" "&amp;SUBSTITUTE(ROUND((CY52)-7.5,1),",",".")&amp;"L"&amp;SUBSTITUTE(ROUND((CX52)+7.5,1),",",".")&amp;" "&amp;SUBSTITUTE(ROUND(CY52,1),",",".")&amp;"L"&amp;SUBSTITUTE(ROUND(CX52,1),",",".")&amp;" "&amp;SUBSTITUTE(ROUND((CY52)+7.5,1),",",".")&amp;"L"&amp;SUBSTITUTE(ROUND((CX52)-7.5,1),",",".")&amp;" "&amp;SUBSTITUTE(ROUND(CY52,1),",",".")&amp;"Z' fill='#F5F5F5' stroke='#2A3439' stroke-width='1.3'/&gt;")))&amp;"&lt;text x='"&amp;SUBSTITUTE(ROUND(CX52+9,1),",",".")&amp;"' y='"&amp;SUBSTITUTE(ROUND(CY52-8,1),",",".")&amp;"'&gt;"&amp;DC52&amp;"&lt;/text&gt;","")</f>
        <v/>
      </c>
      <c r="DE52" s="58">
        <f>IF(CU52=1,IF(CZ52="Motriz","&lt;circle cx='"&amp;SUBSTITUTE(ROUND(728,1),",",".")&amp;"' cy='"&amp;SUBSTITUTE(ROUND(290.4,1),",",".")&amp;"' r='4.3' fill='#2A3439' stroke='#2A3439' stroke-width='1.3'/&gt;",IF(CZ52="Enlace","&lt;rect x='"&amp;SUBSTITUTE(ROUND((728)-3.96,1),",",".")&amp;"' y='"&amp;SUBSTITUTE(ROUND((290.4)-3.96,1),",",".")&amp;"' width='7.92' height='7.92' fill='#6699CC' stroke='#2A3439' stroke-width='1.3'/&gt;",IF(CZ52="Resultado","&lt;path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DL52" s="58" t="n">
        <v>1</v>
      </c>
      <c r="DM52" s="58">
        <f>IF(AND($DM$4=1,DL52&lt;=nVariables),IF('M6'!$I10="Resultado","E",IF('M6'!$I10="Enlace","L",IF('M6'!$I10="Motriz","R",IF('M6'!$I10="Autónoma","A","")))),"")</f>
        <v/>
      </c>
      <c r="DN52" s="58">
        <f>IF(DM52&lt;&gt;"",COUNTIF($DM$52:DM52,DM52),"")</f>
        <v/>
      </c>
      <c r="DO52" s="58">
        <f>IF(DM52&lt;&gt;"",SUBSTITUTE(SUBSTITUTE(SUBSTITUTE(SUBSTITUTE(SUBSTITUTE(SUBSTITUTE(SUBSTITUTE(TRIM(CLEAN(IF(LEN(1&amp;" · "&amp;$D40)&gt;30,LEFT(1&amp;" · "&amp;$D40,29)&amp;"…",1&amp;" · "&amp;$D40))),"&amp;","&amp;amp;"),"&lt;","&amp;lt;"),"&gt;","&amp;gt;"),CHAR(34),"&amp;quot;"),CHAR(10)," "),CHAR(9)," "),CHAR(13)," "),"")</f>
        <v/>
      </c>
      <c r="DP52" s="58">
        <f>IF(DM52&lt;&gt;"",IF($E40&lt;&gt;"",$E40,IF(DM52="E","(efecto · indicador de resultado)",IF(DM52="L","(causa directa · riesgo)",IF(DM52="R","CAUSA RAÍZ · componente del proyecto","(fuera del alcance)")))),"")</f>
        <v/>
      </c>
      <c r="DQ52" s="58">
        <f>IF(DM52&lt;&gt;"",IF(LEN(DP52)&gt;74,LEFT(DP52,73)&amp;"…",DP52),"")</f>
        <v/>
      </c>
      <c r="DR52" s="58">
        <f>IF(DM52&lt;&gt;"",IF(LEN(DQ52)&lt;=37,LEN(DQ52)+1,IFERROR(FIND("~",SUBSTITUTE(LEFT(DQ52,38)," ","~",LEN(LEFT(DQ52,38))-LEN(SUBSTITUTE(LEFT(DQ52,38)," ","")))),38)),"")</f>
        <v/>
      </c>
      <c r="DS52" s="58">
        <f>IF(DM52&lt;&gt;"",SUBSTITUTE(SUBSTITUTE(SUBSTITUTE(SUBSTITUTE(SUBSTITUTE(SUBSTITUTE(SUBSTITUTE(TRIM(CLEAN(TRIM(LEFT(DQ52,DR52-1)))),"&amp;","&amp;amp;"),"&lt;","&amp;lt;"),"&gt;","&amp;gt;"),CHAR(34),"&amp;quot;"),CHAR(10)," "),CHAR(9)," "),CHAR(13)," "),"")</f>
        <v/>
      </c>
      <c r="DT52" s="58">
        <f>IF(DM52&lt;&gt;"",SUBSTITUTE(SUBSTITUTE(SUBSTITUTE(SUBSTITUTE(SUBSTITUTE(SUBSTITUTE(SUBSTITUTE(TRIM(CLEAN(IF(LEN(TRIM(MID(DQ52,DR52,80)))&gt;37,LEFT(TRIM(MID(DQ52,DR52,80)),36)&amp;"…",TRIM(MID(DQ52,DR52,80))))),"&amp;","&amp;amp;"),"&lt;","&amp;lt;"),"&gt;","&amp;gt;"),CHAR(34),"&amp;quot;"),CHAR(10)," "),CHAR(9)," "),CHAR(13)," "),"")</f>
        <v/>
      </c>
      <c r="DU52" s="58">
        <f>IF(DM52&lt;&gt;"",(1200-(MIN(5,IF(DM52="E",$DM$5,IF(DM52="L",$DM$8,IF(DM52="R",$DM$11,$DM$14)))-INT((DN52-1)/5)*5)*216+(MIN(5,IF(DM52="E",$DM$5,IF(DM52="L",$DM$8,IF(DM52="R",$DM$11,$DM$14)))-INT((DN52-1)/5)*5)-1)*14))/2+MOD(DN52-1,5)*(216+14),"")</f>
        <v/>
      </c>
      <c r="DV52" s="58">
        <f>IF(DM52&lt;&gt;"",IF(DM52="E",$DM$17,IF(DM52="L",$DM$21,IF(DM52="R",$DM$23,$DM$25)))+24+INT((DN52-1)/5)*(64+12),"")</f>
        <v/>
      </c>
      <c r="DW52" s="58">
        <f>IF(DM52&lt;&gt;"","&lt;rect x='"&amp;SUBSTITUTE(ROUND(DU52,1),",",".")&amp;"' y='"&amp;SUBSTITUTE(ROUND(DV52,1),",",".")&amp;"' width='216' height='64' rx='9' fill='"&amp;IF(DM52="E","#B9D9EB",IF(DM52="L","#9EB9D4",IF(DM52="R","#6699CC","#F5F5F5")))&amp;"' stroke='#2A3439' stroke-width='1'"&amp;IF(DM52="A"," stroke-dasharray='5 3'","")&amp;"/&gt;"&amp;"&lt;text x='"&amp;SUBSTITUTE(ROUND((DU52+108),1),",",".")&amp;"' y='"&amp;SUBSTITUTE(ROUND(DV52+20,1),",",".")&amp;"' font-size='12' font-weight='bold'&gt;"&amp;DO52&amp;"&lt;/text&gt;"&amp;"&lt;text x='"&amp;SUBSTITUTE(ROUND((DU52+108),1),",",".")&amp;"' y='"&amp;SUBSTITUTE(ROUND(DV52+38,1),",",".")&amp;"' font-size='10'&gt;"&amp;DS52&amp;"&lt;/text&gt;"&amp;"&lt;text x='"&amp;SUBSTITUTE(ROUND((DU52+108),1),",",".")&amp;"' y='"&amp;SUBSTITUTE(ROUND(DV52+53,1),",",".")&amp;"' font-size='10'&gt;"&amp;DT52&amp;"&lt;/text&gt;","")</f>
        <v/>
      </c>
    </row>
    <row r="53">
      <c r="A53" s="58" t="n">
        <v>14</v>
      </c>
      <c r="B53" s="58">
        <f>IF($A53&lt;=nVariables,SUBSTITUTE(SUBSTITUTE(SUBSTITUTE(SUBSTITUTE(SUBSTITUTE(SUBSTITUTE(SUBSTITUTE(TRIM(CLEAN(IF(LEN(TRIM(M!$B23))&gt;46,LEFT(TRIM(M!$B23),45)&amp;"…",TRIM(M!$B23)))),"&amp;","&amp;amp;"),"&lt;","&amp;lt;"),"&gt;","&amp;gt;"),CHAR(34),"&amp;quot;"),CHAR(10)," "),CHAR(9)," "),CHAR(13)," "),"")</f>
        <v/>
      </c>
      <c r="C53" s="58">
        <f>IF($A53&lt;=nVariables,$A53&amp;". "&amp;B53,"")</f>
        <v/>
      </c>
      <c r="D53" s="58">
        <f>IF($A53&lt;=nVariables,IF(TRIM(M!$C23)&lt;&gt;"",TRIM(M!$C23),IF(LEN(TRIM(M!$B23))&gt;24,LEFT(TRIM(M!$B23),23)&amp;"…",TRIM(M!$B23))),"")</f>
        <v/>
      </c>
      <c r="E53" s="58">
        <f>IF($A53&lt;=nVariables,TRIM('Árbol de Problemas'!$F32),"")</f>
        <v/>
      </c>
      <c r="H53" s="58" t="n">
        <v>14</v>
      </c>
      <c r="I53" s="58">
        <f>IF(AND($I$4=1,H53&lt;=nVariables),1,0)</f>
        <v/>
      </c>
      <c r="J53" s="58">
        <f>IF(I53=1,'M1'!$F23,"")</f>
        <v/>
      </c>
      <c r="K53" s="58">
        <f>IF(I53=1,'M1'!$E23,"")</f>
        <v/>
      </c>
      <c r="L53" s="58">
        <f>IF(I53=1,90+J53*$I$22,"")</f>
        <v/>
      </c>
      <c r="M53" s="58">
        <f>IF(I53=1,574-K53*$I$23,"")</f>
        <v/>
      </c>
      <c r="N53" s="58">
        <f>IF(I53=1,'M1'!$I23,"")</f>
        <v/>
      </c>
      <c r="O53" s="58">
        <f>IF(I53=1,IF(N53="Motriz","#2A3439",IF(N53="Enlace","#6699CC",IF(N53="Resultado","#FFFFFF","#F5F5F5"))),"")</f>
        <v/>
      </c>
      <c r="P53" s="58">
        <f>IF(I53=1,IF(SUMPRODUCT((J$39:J52=J53)*(K$39:K52=K53))=0,1,0),0)</f>
        <v/>
      </c>
      <c r="Q53" s="58">
        <f>IF(P53=1,14&amp;IF(AND(J54=J53,K54=K53),","&amp;15,"")&amp;IF(AND(J55=J53,K55=K53),","&amp;16,"")&amp;IF(AND(J56=J53,K56=K53),","&amp;17,"")&amp;IF(AND(J57=J53,K57=K53),","&amp;18,"")&amp;IF(AND(J58=J53,K58=K53),","&amp;19,"")&amp;IF(AND(J59=J53,K59=K53),","&amp;20,"")&amp;IF(AND(J60=J53,K60=K53),","&amp;21,"")&amp;IF(AND(J61=J53,K61=K53),","&amp;22,"")&amp;IF(AND(J62=J53,K62=K53),","&amp;23,"")&amp;IF(AND(J63=J53,K63=K53),","&amp;24,"")&amp;IF(AND(J64=J53,K64=K53),","&amp;25,"")&amp;IF(AND(J65=J53,K65=K53),","&amp;26,"")&amp;IF(AND(J66=J53,K66=K53),","&amp;27,"")&amp;IF(AND(J67=J53,K67=K53),","&amp;28,"")&amp;IF(AND(J68=J53,K68=K53),","&amp;29,"")&amp;IF(AND(J69=J53,K69=K53),","&amp;30,"")&amp;IF(AND(J70=J53,K70=K53),","&amp;31,"")&amp;IF(AND(J71=J53,K71=K53),","&amp;32,"")&amp;IF(AND(J72=J53,K72=K53),","&amp;33,"")&amp;IF(AND(J73=J53,K73=K53),","&amp;34,"")&amp;IF(AND(J74=J53,K74=K53),","&amp;35,"")&amp;IF(AND(J75=J53,K75=K53),","&amp;36,"")&amp;IF(AND(J76=J53,K76=K53),","&amp;37,"")&amp;IF(AND(J77=J53,K77=K53),","&amp;38,"")&amp;IF(AND(J78=J53,K78=K53),","&amp;39,"")&amp;IF(AND(J79=J53,K79=K53),","&amp;40,""),"")</f>
        <v/>
      </c>
      <c r="R53" s="58">
        <f>IF(P53=1,IF(N53="Motriz","&lt;circle cx='"&amp;SUBSTITUTE(ROUND(L53,1),",",".")&amp;"' cy='"&amp;SUBSTITUTE(ROUND(M53,1),",",".")&amp;"' r='6' fill='#2A3439' stroke='#2A3439' stroke-width='1.3'/&gt;",IF(N53="Enlace","&lt;rect x='"&amp;SUBSTITUTE(ROUND((L53)-5.52,1),",",".")&amp;"' y='"&amp;SUBSTITUTE(ROUND((M53)-5.52,1),",",".")&amp;"' width='11.04' height='11.04' fill='#6699CC' stroke='#2A3439' stroke-width='1.3'/&gt;",IF(N53="Resultado","&lt;path d='M"&amp;SUBSTITUTE(ROUND(L53,1),",",".")&amp;" "&amp;SUBSTITUTE(ROUND((M53)-6.9,1),",",".")&amp;"L"&amp;SUBSTITUTE(ROUND((L53)+6.3,1),",",".")&amp;" "&amp;SUBSTITUTE(ROUND((M53)+5.1,1),",",".")&amp;"L"&amp;SUBSTITUTE(ROUND((L53)-6.3,1),",",".")&amp;" "&amp;SUBSTITUTE(ROUND((M53)+5.1,1),",",".")&amp;"Z' fill='#FFFFFF' stroke='#2A3439' stroke-width='1.3'/&gt;","&lt;path d='M"&amp;SUBSTITUTE(ROUND(L53,1),",",".")&amp;" "&amp;SUBSTITUTE(ROUND((M53)-7.5,1),",",".")&amp;"L"&amp;SUBSTITUTE(ROUND((L53)+7.5,1),",",".")&amp;" "&amp;SUBSTITUTE(ROUND(M53,1),",",".")&amp;"L"&amp;SUBSTITUTE(ROUND(L53,1),",",".")&amp;" "&amp;SUBSTITUTE(ROUND((M53)+7.5,1),",",".")&amp;"L"&amp;SUBSTITUTE(ROUND((L53)-7.5,1),",",".")&amp;" "&amp;SUBSTITUTE(ROUND(M53,1),",",".")&amp;"Z' fill='#F5F5F5' stroke='#2A3439' stroke-width='1.3'/&gt;")))&amp;"&lt;text x='"&amp;SUBSTITUTE(ROUND(L53+9,1),",",".")&amp;"' y='"&amp;SUBSTITUTE(ROUND(M53-8,1),",",".")&amp;"'&gt;"&amp;Q53&amp;"&lt;/text&gt;","")</f>
        <v/>
      </c>
      <c r="S53" s="58">
        <f>IF(I53=1,IF(N53="Motriz","&lt;circle cx='"&amp;SUBSTITUTE(ROUND(728,1),",",".")&amp;"' cy='"&amp;SUBSTITUTE(ROUND(304.6,1),",",".")&amp;"' r='4.3' fill='#2A3439' stroke='#2A3439' stroke-width='1.3'/&gt;",IF(N53="Enlace","&lt;rect x='"&amp;SUBSTITUTE(ROUND((728)-3.96,1),",",".")&amp;"' y='"&amp;SUBSTITUTE(ROUND((304.6)-3.96,1),",",".")&amp;"' width='7.92' height='7.92' fill='#6699CC' stroke='#2A3439' stroke-width='1.3'/&gt;",IF(N53="Resultado","&lt;path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Z53" s="58" t="n">
        <v>14</v>
      </c>
      <c r="AA53" s="58">
        <f>IF(AND($AA$4=1,Z53&lt;=nVariables),1,0)</f>
        <v/>
      </c>
      <c r="AB53" s="58">
        <f>IF(AA53=1,'M2'!$F23,"")</f>
        <v/>
      </c>
      <c r="AC53" s="58">
        <f>IF(AA53=1,'M2'!$E23,"")</f>
        <v/>
      </c>
      <c r="AD53" s="58">
        <f>IF(AA53=1,90+AB53*$AA$22,"")</f>
        <v/>
      </c>
      <c r="AE53" s="58">
        <f>IF(AA53=1,574-AC53*$AA$23,"")</f>
        <v/>
      </c>
      <c r="AF53" s="58">
        <f>IF(AA53=1,'M2'!$I23,"")</f>
        <v/>
      </c>
      <c r="AG53" s="58">
        <f>IF(AA53=1,IF(AF53="Motriz","#2A3439",IF(AF53="Enlace","#6699CC",IF(AF53="Resultado","#FFFFFF","#F5F5F5"))),"")</f>
        <v/>
      </c>
      <c r="AH53" s="58">
        <f>IF(AA53=1,IF(SUMPRODUCT((AB$39:AB52=AB53)*(AC$39:AC52=AC53))=0,1,0),0)</f>
        <v/>
      </c>
      <c r="AI53" s="58">
        <f>IF(AH53=1,14&amp;IF(AND(AB54=AB53,AC54=AC53),","&amp;15,"")&amp;IF(AND(AB55=AB53,AC55=AC53),","&amp;16,"")&amp;IF(AND(AB56=AB53,AC56=AC53),","&amp;17,"")&amp;IF(AND(AB57=AB53,AC57=AC53),","&amp;18,"")&amp;IF(AND(AB58=AB53,AC58=AC53),","&amp;19,"")&amp;IF(AND(AB59=AB53,AC59=AC53),","&amp;20,"")&amp;IF(AND(AB60=AB53,AC60=AC53),","&amp;21,"")&amp;IF(AND(AB61=AB53,AC61=AC53),","&amp;22,"")&amp;IF(AND(AB62=AB53,AC62=AC53),","&amp;23,"")&amp;IF(AND(AB63=AB53,AC63=AC53),","&amp;24,"")&amp;IF(AND(AB64=AB53,AC64=AC53),","&amp;25,"")&amp;IF(AND(AB65=AB53,AC65=AC53),","&amp;26,"")&amp;IF(AND(AB66=AB53,AC66=AC53),","&amp;27,"")&amp;IF(AND(AB67=AB53,AC67=AC53),","&amp;28,"")&amp;IF(AND(AB68=AB53,AC68=AC53),","&amp;29,"")&amp;IF(AND(AB69=AB53,AC69=AC53),","&amp;30,"")&amp;IF(AND(AB70=AB53,AC70=AC53),","&amp;31,"")&amp;IF(AND(AB71=AB53,AC71=AC53),","&amp;32,"")&amp;IF(AND(AB72=AB53,AC72=AC53),","&amp;33,"")&amp;IF(AND(AB73=AB53,AC73=AC53),","&amp;34,"")&amp;IF(AND(AB74=AB53,AC74=AC53),","&amp;35,"")&amp;IF(AND(AB75=AB53,AC75=AC53),","&amp;36,"")&amp;IF(AND(AB76=AB53,AC76=AC53),","&amp;37,"")&amp;IF(AND(AB77=AB53,AC77=AC53),","&amp;38,"")&amp;IF(AND(AB78=AB53,AC78=AC53),","&amp;39,"")&amp;IF(AND(AB79=AB53,AC79=AC53),","&amp;40,""),"")</f>
        <v/>
      </c>
      <c r="AJ53" s="58">
        <f>IF(AH53=1,IF(AF53="Motriz","&lt;circle cx='"&amp;SUBSTITUTE(ROUND(AD53,1),",",".")&amp;"' cy='"&amp;SUBSTITUTE(ROUND(AE53,1),",",".")&amp;"' r='6' fill='#2A3439' stroke='#2A3439' stroke-width='1.3'/&gt;",IF(AF53="Enlace","&lt;rect x='"&amp;SUBSTITUTE(ROUND((AD53)-5.52,1),",",".")&amp;"' y='"&amp;SUBSTITUTE(ROUND((AE53)-5.52,1),",",".")&amp;"' width='11.04' height='11.04' fill='#6699CC' stroke='#2A3439' stroke-width='1.3'/&gt;",IF(AF53="Resultado","&lt;path d='M"&amp;SUBSTITUTE(ROUND(AD53,1),",",".")&amp;" "&amp;SUBSTITUTE(ROUND((AE53)-6.9,1),",",".")&amp;"L"&amp;SUBSTITUTE(ROUND((AD53)+6.3,1),",",".")&amp;" "&amp;SUBSTITUTE(ROUND((AE53)+5.1,1),",",".")&amp;"L"&amp;SUBSTITUTE(ROUND((AD53)-6.3,1),",",".")&amp;" "&amp;SUBSTITUTE(ROUND((AE53)+5.1,1),",",".")&amp;"Z' fill='#FFFFFF' stroke='#2A3439' stroke-width='1.3'/&gt;","&lt;path d='M"&amp;SUBSTITUTE(ROUND(AD53,1),",",".")&amp;" "&amp;SUBSTITUTE(ROUND((AE53)-7.5,1),",",".")&amp;"L"&amp;SUBSTITUTE(ROUND((AD53)+7.5,1),",",".")&amp;" "&amp;SUBSTITUTE(ROUND(AE53,1),",",".")&amp;"L"&amp;SUBSTITUTE(ROUND(AD53,1),",",".")&amp;" "&amp;SUBSTITUTE(ROUND((AE53)+7.5,1),",",".")&amp;"L"&amp;SUBSTITUTE(ROUND((AD53)-7.5,1),",",".")&amp;" "&amp;SUBSTITUTE(ROUND(AE53,1),",",".")&amp;"Z' fill='#F5F5F5' stroke='#2A3439' stroke-width='1.3'/&gt;")))&amp;"&lt;text x='"&amp;SUBSTITUTE(ROUND(AD53+9,1),",",".")&amp;"' y='"&amp;SUBSTITUTE(ROUND(AE53-8,1),",",".")&amp;"'&gt;"&amp;AI53&amp;"&lt;/text&gt;","")</f>
        <v/>
      </c>
      <c r="AK53" s="58">
        <f>IF(AA53=1,IF(AF53="Motriz","&lt;circle cx='"&amp;SUBSTITUTE(ROUND(728,1),",",".")&amp;"' cy='"&amp;SUBSTITUTE(ROUND(304.6,1),",",".")&amp;"' r='4.3' fill='#2A3439' stroke='#2A3439' stroke-width='1.3'/&gt;",IF(AF53="Enlace","&lt;rect x='"&amp;SUBSTITUTE(ROUND((728)-3.96,1),",",".")&amp;"' y='"&amp;SUBSTITUTE(ROUND((304.6)-3.96,1),",",".")&amp;"' width='7.92' height='7.92' fill='#6699CC' stroke='#2A3439' stroke-width='1.3'/&gt;",IF(AF53="Resultado","&lt;path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AR53" s="58" t="n">
        <v>14</v>
      </c>
      <c r="AS53" s="58">
        <f>IF(AND($AS$4=1,AR53&lt;=nVariables),1,0)</f>
        <v/>
      </c>
      <c r="AT53" s="58">
        <f>IF(AS53=1,'M3'!$F23,"")</f>
        <v/>
      </c>
      <c r="AU53" s="58">
        <f>IF(AS53=1,'M3'!$E23,"")</f>
        <v/>
      </c>
      <c r="AV53" s="58">
        <f>IF(AS53=1,90+AT53*$AS$22,"")</f>
        <v/>
      </c>
      <c r="AW53" s="58">
        <f>IF(AS53=1,574-AU53*$AS$23,"")</f>
        <v/>
      </c>
      <c r="AX53" s="58">
        <f>IF(AS53=1,'M3'!$I23,"")</f>
        <v/>
      </c>
      <c r="AY53" s="58">
        <f>IF(AS53=1,IF(AX53="Motriz","#2A3439",IF(AX53="Enlace","#6699CC",IF(AX53="Resultado","#FFFFFF","#F5F5F5"))),"")</f>
        <v/>
      </c>
      <c r="AZ53" s="58">
        <f>IF(AS53=1,IF(SUMPRODUCT((AT$39:AT52=AT53)*(AU$39:AU52=AU53))=0,1,0),0)</f>
        <v/>
      </c>
      <c r="BA53" s="58">
        <f>IF(AZ53=1,14&amp;IF(AND(AT54=AT53,AU54=AU53),","&amp;15,"")&amp;IF(AND(AT55=AT53,AU55=AU53),","&amp;16,"")&amp;IF(AND(AT56=AT53,AU56=AU53),","&amp;17,"")&amp;IF(AND(AT57=AT53,AU57=AU53),","&amp;18,"")&amp;IF(AND(AT58=AT53,AU58=AU53),","&amp;19,"")&amp;IF(AND(AT59=AT53,AU59=AU53),","&amp;20,"")&amp;IF(AND(AT60=AT53,AU60=AU53),","&amp;21,"")&amp;IF(AND(AT61=AT53,AU61=AU53),","&amp;22,"")&amp;IF(AND(AT62=AT53,AU62=AU53),","&amp;23,"")&amp;IF(AND(AT63=AT53,AU63=AU53),","&amp;24,"")&amp;IF(AND(AT64=AT53,AU64=AU53),","&amp;25,"")&amp;IF(AND(AT65=AT53,AU65=AU53),","&amp;26,"")&amp;IF(AND(AT66=AT53,AU66=AU53),","&amp;27,"")&amp;IF(AND(AT67=AT53,AU67=AU53),","&amp;28,"")&amp;IF(AND(AT68=AT53,AU68=AU53),","&amp;29,"")&amp;IF(AND(AT69=AT53,AU69=AU53),","&amp;30,"")&amp;IF(AND(AT70=AT53,AU70=AU53),","&amp;31,"")&amp;IF(AND(AT71=AT53,AU71=AU53),","&amp;32,"")&amp;IF(AND(AT72=AT53,AU72=AU53),","&amp;33,"")&amp;IF(AND(AT73=AT53,AU73=AU53),","&amp;34,"")&amp;IF(AND(AT74=AT53,AU74=AU53),","&amp;35,"")&amp;IF(AND(AT75=AT53,AU75=AU53),","&amp;36,"")&amp;IF(AND(AT76=AT53,AU76=AU53),","&amp;37,"")&amp;IF(AND(AT77=AT53,AU77=AU53),","&amp;38,"")&amp;IF(AND(AT78=AT53,AU78=AU53),","&amp;39,"")&amp;IF(AND(AT79=AT53,AU79=AU53),","&amp;40,""),"")</f>
        <v/>
      </c>
      <c r="BB53" s="58">
        <f>IF(AZ53=1,IF(AX53="Motriz","&lt;circle cx='"&amp;SUBSTITUTE(ROUND(AV53,1),",",".")&amp;"' cy='"&amp;SUBSTITUTE(ROUND(AW53,1),",",".")&amp;"' r='6' fill='#2A3439' stroke='#2A3439' stroke-width='1.3'/&gt;",IF(AX53="Enlace","&lt;rect x='"&amp;SUBSTITUTE(ROUND((AV53)-5.52,1),",",".")&amp;"' y='"&amp;SUBSTITUTE(ROUND((AW53)-5.52,1),",",".")&amp;"' width='11.04' height='11.04' fill='#6699CC' stroke='#2A3439' stroke-width='1.3'/&gt;",IF(AX53="Resultado","&lt;path d='M"&amp;SUBSTITUTE(ROUND(AV53,1),",",".")&amp;" "&amp;SUBSTITUTE(ROUND((AW53)-6.9,1),",",".")&amp;"L"&amp;SUBSTITUTE(ROUND((AV53)+6.3,1),",",".")&amp;" "&amp;SUBSTITUTE(ROUND((AW53)+5.1,1),",",".")&amp;"L"&amp;SUBSTITUTE(ROUND((AV53)-6.3,1),",",".")&amp;" "&amp;SUBSTITUTE(ROUND((AW53)+5.1,1),",",".")&amp;"Z' fill='#FFFFFF' stroke='#2A3439' stroke-width='1.3'/&gt;","&lt;path d='M"&amp;SUBSTITUTE(ROUND(AV53,1),",",".")&amp;" "&amp;SUBSTITUTE(ROUND((AW53)-7.5,1),",",".")&amp;"L"&amp;SUBSTITUTE(ROUND((AV53)+7.5,1),",",".")&amp;" "&amp;SUBSTITUTE(ROUND(AW53,1),",",".")&amp;"L"&amp;SUBSTITUTE(ROUND(AV53,1),",",".")&amp;" "&amp;SUBSTITUTE(ROUND((AW53)+7.5,1),",",".")&amp;"L"&amp;SUBSTITUTE(ROUND((AV53)-7.5,1),",",".")&amp;" "&amp;SUBSTITUTE(ROUND(AW53,1),",",".")&amp;"Z' fill='#F5F5F5' stroke='#2A3439' stroke-width='1.3'/&gt;")))&amp;"&lt;text x='"&amp;SUBSTITUTE(ROUND(AV53+9,1),",",".")&amp;"' y='"&amp;SUBSTITUTE(ROUND(AW53-8,1),",",".")&amp;"'&gt;"&amp;BA53&amp;"&lt;/text&gt;","")</f>
        <v/>
      </c>
      <c r="BC53" s="58">
        <f>IF(AS53=1,IF(AX53="Motriz","&lt;circle cx='"&amp;SUBSTITUTE(ROUND(728,1),",",".")&amp;"' cy='"&amp;SUBSTITUTE(ROUND(304.6,1),",",".")&amp;"' r='4.3' fill='#2A3439' stroke='#2A3439' stroke-width='1.3'/&gt;",IF(AX53="Enlace","&lt;rect x='"&amp;SUBSTITUTE(ROUND((728)-3.96,1),",",".")&amp;"' y='"&amp;SUBSTITUTE(ROUND((304.6)-3.96,1),",",".")&amp;"' width='7.92' height='7.92' fill='#6699CC' stroke='#2A3439' stroke-width='1.3'/&gt;",IF(AX53="Resultado","&lt;path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BJ53" s="58" t="n">
        <v>14</v>
      </c>
      <c r="BK53" s="58">
        <f>IF(AND($BK$4=1,BJ53&lt;=nVariables),1,0)</f>
        <v/>
      </c>
      <c r="BL53" s="58">
        <f>IF(BK53=1,'M4'!$F23,"")</f>
        <v/>
      </c>
      <c r="BM53" s="58">
        <f>IF(BK53=1,'M4'!$E23,"")</f>
        <v/>
      </c>
      <c r="BN53" s="58">
        <f>IF(BK53=1,90+BL53*$BK$22,"")</f>
        <v/>
      </c>
      <c r="BO53" s="58">
        <f>IF(BK53=1,574-BM53*$BK$23,"")</f>
        <v/>
      </c>
      <c r="BP53" s="58">
        <f>IF(BK53=1,'M4'!$I23,"")</f>
        <v/>
      </c>
      <c r="BQ53" s="58">
        <f>IF(BK53=1,IF(BP53="Motriz","#2A3439",IF(BP53="Enlace","#6699CC",IF(BP53="Resultado","#FFFFFF","#F5F5F5"))),"")</f>
        <v/>
      </c>
      <c r="BR53" s="58">
        <f>IF(BK53=1,IF(SUMPRODUCT((BL$39:BL52=BL53)*(BM$39:BM52=BM53))=0,1,0),0)</f>
        <v/>
      </c>
      <c r="BS53" s="58">
        <f>IF(BR53=1,14&amp;IF(AND(BL54=BL53,BM54=BM53),","&amp;15,"")&amp;IF(AND(BL55=BL53,BM55=BM53),","&amp;16,"")&amp;IF(AND(BL56=BL53,BM56=BM53),","&amp;17,"")&amp;IF(AND(BL57=BL53,BM57=BM53),","&amp;18,"")&amp;IF(AND(BL58=BL53,BM58=BM53),","&amp;19,"")&amp;IF(AND(BL59=BL53,BM59=BM53),","&amp;20,"")&amp;IF(AND(BL60=BL53,BM60=BM53),","&amp;21,"")&amp;IF(AND(BL61=BL53,BM61=BM53),","&amp;22,"")&amp;IF(AND(BL62=BL53,BM62=BM53),","&amp;23,"")&amp;IF(AND(BL63=BL53,BM63=BM53),","&amp;24,"")&amp;IF(AND(BL64=BL53,BM64=BM53),","&amp;25,"")&amp;IF(AND(BL65=BL53,BM65=BM53),","&amp;26,"")&amp;IF(AND(BL66=BL53,BM66=BM53),","&amp;27,"")&amp;IF(AND(BL67=BL53,BM67=BM53),","&amp;28,"")&amp;IF(AND(BL68=BL53,BM68=BM53),","&amp;29,"")&amp;IF(AND(BL69=BL53,BM69=BM53),","&amp;30,"")&amp;IF(AND(BL70=BL53,BM70=BM53),","&amp;31,"")&amp;IF(AND(BL71=BL53,BM71=BM53),","&amp;32,"")&amp;IF(AND(BL72=BL53,BM72=BM53),","&amp;33,"")&amp;IF(AND(BL73=BL53,BM73=BM53),","&amp;34,"")&amp;IF(AND(BL74=BL53,BM74=BM53),","&amp;35,"")&amp;IF(AND(BL75=BL53,BM75=BM53),","&amp;36,"")&amp;IF(AND(BL76=BL53,BM76=BM53),","&amp;37,"")&amp;IF(AND(BL77=BL53,BM77=BM53),","&amp;38,"")&amp;IF(AND(BL78=BL53,BM78=BM53),","&amp;39,"")&amp;IF(AND(BL79=BL53,BM79=BM53),","&amp;40,""),"")</f>
        <v/>
      </c>
      <c r="BT53" s="58">
        <f>IF(BR53=1,IF(BP53="Motriz","&lt;circle cx='"&amp;SUBSTITUTE(ROUND(BN53,1),",",".")&amp;"' cy='"&amp;SUBSTITUTE(ROUND(BO53,1),",",".")&amp;"' r='6' fill='#2A3439' stroke='#2A3439' stroke-width='1.3'/&gt;",IF(BP53="Enlace","&lt;rect x='"&amp;SUBSTITUTE(ROUND((BN53)-5.52,1),",",".")&amp;"' y='"&amp;SUBSTITUTE(ROUND((BO53)-5.52,1),",",".")&amp;"' width='11.04' height='11.04' fill='#6699CC' stroke='#2A3439' stroke-width='1.3'/&gt;",IF(BP53="Resultado","&lt;path d='M"&amp;SUBSTITUTE(ROUND(BN53,1),",",".")&amp;" "&amp;SUBSTITUTE(ROUND((BO53)-6.9,1),",",".")&amp;"L"&amp;SUBSTITUTE(ROUND((BN53)+6.3,1),",",".")&amp;" "&amp;SUBSTITUTE(ROUND((BO53)+5.1,1),",",".")&amp;"L"&amp;SUBSTITUTE(ROUND((BN53)-6.3,1),",",".")&amp;" "&amp;SUBSTITUTE(ROUND((BO53)+5.1,1),",",".")&amp;"Z' fill='#FFFFFF' stroke='#2A3439' stroke-width='1.3'/&gt;","&lt;path d='M"&amp;SUBSTITUTE(ROUND(BN53,1),",",".")&amp;" "&amp;SUBSTITUTE(ROUND((BO53)-7.5,1),",",".")&amp;"L"&amp;SUBSTITUTE(ROUND((BN53)+7.5,1),",",".")&amp;" "&amp;SUBSTITUTE(ROUND(BO53,1),",",".")&amp;"L"&amp;SUBSTITUTE(ROUND(BN53,1),",",".")&amp;" "&amp;SUBSTITUTE(ROUND((BO53)+7.5,1),",",".")&amp;"L"&amp;SUBSTITUTE(ROUND((BN53)-7.5,1),",",".")&amp;" "&amp;SUBSTITUTE(ROUND(BO53,1),",",".")&amp;"Z' fill='#F5F5F5' stroke='#2A3439' stroke-width='1.3'/&gt;")))&amp;"&lt;text x='"&amp;SUBSTITUTE(ROUND(BN53+9,1),",",".")&amp;"' y='"&amp;SUBSTITUTE(ROUND(BO53-8,1),",",".")&amp;"'&gt;"&amp;BS53&amp;"&lt;/text&gt;","")</f>
        <v/>
      </c>
      <c r="BU53" s="58">
        <f>IF(BK53=1,IF(BP53="Motriz","&lt;circle cx='"&amp;SUBSTITUTE(ROUND(728,1),",",".")&amp;"' cy='"&amp;SUBSTITUTE(ROUND(304.6,1),",",".")&amp;"' r='4.3' fill='#2A3439' stroke='#2A3439' stroke-width='1.3'/&gt;",IF(BP53="Enlace","&lt;rect x='"&amp;SUBSTITUTE(ROUND((728)-3.96,1),",",".")&amp;"' y='"&amp;SUBSTITUTE(ROUND((304.6)-3.96,1),",",".")&amp;"' width='7.92' height='7.92' fill='#6699CC' stroke='#2A3439' stroke-width='1.3'/&gt;",IF(BP53="Resultado","&lt;path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CB53" s="58" t="n">
        <v>14</v>
      </c>
      <c r="CC53" s="58">
        <f>IF(AND($CC$4=1,CB53&lt;=nVariables),1,0)</f>
        <v/>
      </c>
      <c r="CD53" s="58">
        <f>IF(CC53=1,'M5'!$F23,"")</f>
        <v/>
      </c>
      <c r="CE53" s="58">
        <f>IF(CC53=1,'M5'!$E23,"")</f>
        <v/>
      </c>
      <c r="CF53" s="58">
        <f>IF(CC53=1,90+CD53*$CC$22,"")</f>
        <v/>
      </c>
      <c r="CG53" s="58">
        <f>IF(CC53=1,574-CE53*$CC$23,"")</f>
        <v/>
      </c>
      <c r="CH53" s="58">
        <f>IF(CC53=1,'M5'!$I23,"")</f>
        <v/>
      </c>
      <c r="CI53" s="58">
        <f>IF(CC53=1,IF(CH53="Motriz","#2A3439",IF(CH53="Enlace","#6699CC",IF(CH53="Resultado","#FFFFFF","#F5F5F5"))),"")</f>
        <v/>
      </c>
      <c r="CJ53" s="58">
        <f>IF(CC53=1,IF(SUMPRODUCT((CD$39:CD52=CD53)*(CE$39:CE52=CE53))=0,1,0),0)</f>
        <v/>
      </c>
      <c r="CK53" s="58">
        <f>IF(CJ53=1,14&amp;IF(AND(CD54=CD53,CE54=CE53),","&amp;15,"")&amp;IF(AND(CD55=CD53,CE55=CE53),","&amp;16,"")&amp;IF(AND(CD56=CD53,CE56=CE53),","&amp;17,"")&amp;IF(AND(CD57=CD53,CE57=CE53),","&amp;18,"")&amp;IF(AND(CD58=CD53,CE58=CE53),","&amp;19,"")&amp;IF(AND(CD59=CD53,CE59=CE53),","&amp;20,"")&amp;IF(AND(CD60=CD53,CE60=CE53),","&amp;21,"")&amp;IF(AND(CD61=CD53,CE61=CE53),","&amp;22,"")&amp;IF(AND(CD62=CD53,CE62=CE53),","&amp;23,"")&amp;IF(AND(CD63=CD53,CE63=CE53),","&amp;24,"")&amp;IF(AND(CD64=CD53,CE64=CE53),","&amp;25,"")&amp;IF(AND(CD65=CD53,CE65=CE53),","&amp;26,"")&amp;IF(AND(CD66=CD53,CE66=CE53),","&amp;27,"")&amp;IF(AND(CD67=CD53,CE67=CE53),","&amp;28,"")&amp;IF(AND(CD68=CD53,CE68=CE53),","&amp;29,"")&amp;IF(AND(CD69=CD53,CE69=CE53),","&amp;30,"")&amp;IF(AND(CD70=CD53,CE70=CE53),","&amp;31,"")&amp;IF(AND(CD71=CD53,CE71=CE53),","&amp;32,"")&amp;IF(AND(CD72=CD53,CE72=CE53),","&amp;33,"")&amp;IF(AND(CD73=CD53,CE73=CE53),","&amp;34,"")&amp;IF(AND(CD74=CD53,CE74=CE53),","&amp;35,"")&amp;IF(AND(CD75=CD53,CE75=CE53),","&amp;36,"")&amp;IF(AND(CD76=CD53,CE76=CE53),","&amp;37,"")&amp;IF(AND(CD77=CD53,CE77=CE53),","&amp;38,"")&amp;IF(AND(CD78=CD53,CE78=CE53),","&amp;39,"")&amp;IF(AND(CD79=CD53,CE79=CE53),","&amp;40,""),"")</f>
        <v/>
      </c>
      <c r="CL53" s="58">
        <f>IF(CJ53=1,IF(CH53="Motriz","&lt;circle cx='"&amp;SUBSTITUTE(ROUND(CF53,1),",",".")&amp;"' cy='"&amp;SUBSTITUTE(ROUND(CG53,1),",",".")&amp;"' r='6' fill='#2A3439' stroke='#2A3439' stroke-width='1.3'/&gt;",IF(CH53="Enlace","&lt;rect x='"&amp;SUBSTITUTE(ROUND((CF53)-5.52,1),",",".")&amp;"' y='"&amp;SUBSTITUTE(ROUND((CG53)-5.52,1),",",".")&amp;"' width='11.04' height='11.04' fill='#6699CC' stroke='#2A3439' stroke-width='1.3'/&gt;",IF(CH53="Resultado","&lt;path d='M"&amp;SUBSTITUTE(ROUND(CF53,1),",",".")&amp;" "&amp;SUBSTITUTE(ROUND((CG53)-6.9,1),",",".")&amp;"L"&amp;SUBSTITUTE(ROUND((CF53)+6.3,1),",",".")&amp;" "&amp;SUBSTITUTE(ROUND((CG53)+5.1,1),",",".")&amp;"L"&amp;SUBSTITUTE(ROUND((CF53)-6.3,1),",",".")&amp;" "&amp;SUBSTITUTE(ROUND((CG53)+5.1,1),",",".")&amp;"Z' fill='#FFFFFF' stroke='#2A3439' stroke-width='1.3'/&gt;","&lt;path d='M"&amp;SUBSTITUTE(ROUND(CF53,1),",",".")&amp;" "&amp;SUBSTITUTE(ROUND((CG53)-7.5,1),",",".")&amp;"L"&amp;SUBSTITUTE(ROUND((CF53)+7.5,1),",",".")&amp;" "&amp;SUBSTITUTE(ROUND(CG53,1),",",".")&amp;"L"&amp;SUBSTITUTE(ROUND(CF53,1),",",".")&amp;" "&amp;SUBSTITUTE(ROUND((CG53)+7.5,1),",",".")&amp;"L"&amp;SUBSTITUTE(ROUND((CF53)-7.5,1),",",".")&amp;" "&amp;SUBSTITUTE(ROUND(CG53,1),",",".")&amp;"Z' fill='#F5F5F5' stroke='#2A3439' stroke-width='1.3'/&gt;")))&amp;"&lt;text x='"&amp;SUBSTITUTE(ROUND(CF53+9,1),",",".")&amp;"' y='"&amp;SUBSTITUTE(ROUND(CG53-8,1),",",".")&amp;"'&gt;"&amp;CK53&amp;"&lt;/text&gt;","")</f>
        <v/>
      </c>
      <c r="CM53" s="58">
        <f>IF(CC53=1,IF(CH53="Motriz","&lt;circle cx='"&amp;SUBSTITUTE(ROUND(728,1),",",".")&amp;"' cy='"&amp;SUBSTITUTE(ROUND(304.6,1),",",".")&amp;"' r='4.3' fill='#2A3439' stroke='#2A3439' stroke-width='1.3'/&gt;",IF(CH53="Enlace","&lt;rect x='"&amp;SUBSTITUTE(ROUND((728)-3.96,1),",",".")&amp;"' y='"&amp;SUBSTITUTE(ROUND((304.6)-3.96,1),",",".")&amp;"' width='7.92' height='7.92' fill='#6699CC' stroke='#2A3439' stroke-width='1.3'/&gt;",IF(CH53="Resultado","&lt;path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CT53" s="58" t="n">
        <v>14</v>
      </c>
      <c r="CU53" s="58">
        <f>IF(AND($CU$4=1,CT53&lt;=nVariables),1,0)</f>
        <v/>
      </c>
      <c r="CV53" s="58">
        <f>IF(CU53=1,'M6'!$F23,"")</f>
        <v/>
      </c>
      <c r="CW53" s="58">
        <f>IF(CU53=1,'M6'!$E23,"")</f>
        <v/>
      </c>
      <c r="CX53" s="58">
        <f>IF(CU53=1,90+CV53*$CU$22,"")</f>
        <v/>
      </c>
      <c r="CY53" s="58">
        <f>IF(CU53=1,574-CW53*$CU$23,"")</f>
        <v/>
      </c>
      <c r="CZ53" s="58">
        <f>IF(CU53=1,'M6'!$I23,"")</f>
        <v/>
      </c>
      <c r="DA53" s="58">
        <f>IF(CU53=1,IF(CZ53="Motriz","#2A3439",IF(CZ53="Enlace","#6699CC",IF(CZ53="Resultado","#FFFFFF","#F5F5F5"))),"")</f>
        <v/>
      </c>
      <c r="DB53" s="58">
        <f>IF(CU53=1,IF(SUMPRODUCT((CV$39:CV52=CV53)*(CW$39:CW52=CW53))=0,1,0),0)</f>
        <v/>
      </c>
      <c r="DC53" s="58">
        <f>IF(DB53=1,14&amp;IF(AND(CV54=CV53,CW54=CW53),","&amp;15,"")&amp;IF(AND(CV55=CV53,CW55=CW53),","&amp;16,"")&amp;IF(AND(CV56=CV53,CW56=CW53),","&amp;17,"")&amp;IF(AND(CV57=CV53,CW57=CW53),","&amp;18,"")&amp;IF(AND(CV58=CV53,CW58=CW53),","&amp;19,"")&amp;IF(AND(CV59=CV53,CW59=CW53),","&amp;20,"")&amp;IF(AND(CV60=CV53,CW60=CW53),","&amp;21,"")&amp;IF(AND(CV61=CV53,CW61=CW53),","&amp;22,"")&amp;IF(AND(CV62=CV53,CW62=CW53),","&amp;23,"")&amp;IF(AND(CV63=CV53,CW63=CW53),","&amp;24,"")&amp;IF(AND(CV64=CV53,CW64=CW53),","&amp;25,"")&amp;IF(AND(CV65=CV53,CW65=CW53),","&amp;26,"")&amp;IF(AND(CV66=CV53,CW66=CW53),","&amp;27,"")&amp;IF(AND(CV67=CV53,CW67=CW53),","&amp;28,"")&amp;IF(AND(CV68=CV53,CW68=CW53),","&amp;29,"")&amp;IF(AND(CV69=CV53,CW69=CW53),","&amp;30,"")&amp;IF(AND(CV70=CV53,CW70=CW53),","&amp;31,"")&amp;IF(AND(CV71=CV53,CW71=CW53),","&amp;32,"")&amp;IF(AND(CV72=CV53,CW72=CW53),","&amp;33,"")&amp;IF(AND(CV73=CV53,CW73=CW53),","&amp;34,"")&amp;IF(AND(CV74=CV53,CW74=CW53),","&amp;35,"")&amp;IF(AND(CV75=CV53,CW75=CW53),","&amp;36,"")&amp;IF(AND(CV76=CV53,CW76=CW53),","&amp;37,"")&amp;IF(AND(CV77=CV53,CW77=CW53),","&amp;38,"")&amp;IF(AND(CV78=CV53,CW78=CW53),","&amp;39,"")&amp;IF(AND(CV79=CV53,CW79=CW53),","&amp;40,""),"")</f>
        <v/>
      </c>
      <c r="DD53" s="58">
        <f>IF(DB53=1,IF(CZ53="Motriz","&lt;circle cx='"&amp;SUBSTITUTE(ROUND(CX53,1),",",".")&amp;"' cy='"&amp;SUBSTITUTE(ROUND(CY53,1),",",".")&amp;"' r='6' fill='#2A3439' stroke='#2A3439' stroke-width='1.3'/&gt;",IF(CZ53="Enlace","&lt;rect x='"&amp;SUBSTITUTE(ROUND((CX53)-5.52,1),",",".")&amp;"' y='"&amp;SUBSTITUTE(ROUND((CY53)-5.52,1),",",".")&amp;"' width='11.04' height='11.04' fill='#6699CC' stroke='#2A3439' stroke-width='1.3'/&gt;",IF(CZ53="Resultado","&lt;path d='M"&amp;SUBSTITUTE(ROUND(CX53,1),",",".")&amp;" "&amp;SUBSTITUTE(ROUND((CY53)-6.9,1),",",".")&amp;"L"&amp;SUBSTITUTE(ROUND((CX53)+6.3,1),",",".")&amp;" "&amp;SUBSTITUTE(ROUND((CY53)+5.1,1),",",".")&amp;"L"&amp;SUBSTITUTE(ROUND((CX53)-6.3,1),",",".")&amp;" "&amp;SUBSTITUTE(ROUND((CY53)+5.1,1),",",".")&amp;"Z' fill='#FFFFFF' stroke='#2A3439' stroke-width='1.3'/&gt;","&lt;path d='M"&amp;SUBSTITUTE(ROUND(CX53,1),",",".")&amp;" "&amp;SUBSTITUTE(ROUND((CY53)-7.5,1),",",".")&amp;"L"&amp;SUBSTITUTE(ROUND((CX53)+7.5,1),",",".")&amp;" "&amp;SUBSTITUTE(ROUND(CY53,1),",",".")&amp;"L"&amp;SUBSTITUTE(ROUND(CX53,1),",",".")&amp;" "&amp;SUBSTITUTE(ROUND((CY53)+7.5,1),",",".")&amp;"L"&amp;SUBSTITUTE(ROUND((CX53)-7.5,1),",",".")&amp;" "&amp;SUBSTITUTE(ROUND(CY53,1),",",".")&amp;"Z' fill='#F5F5F5' stroke='#2A3439' stroke-width='1.3'/&gt;")))&amp;"&lt;text x='"&amp;SUBSTITUTE(ROUND(CX53+9,1),",",".")&amp;"' y='"&amp;SUBSTITUTE(ROUND(CY53-8,1),",",".")&amp;"'&gt;"&amp;DC53&amp;"&lt;/text&gt;","")</f>
        <v/>
      </c>
      <c r="DE53" s="58">
        <f>IF(CU53=1,IF(CZ53="Motriz","&lt;circle cx='"&amp;SUBSTITUTE(ROUND(728,1),",",".")&amp;"' cy='"&amp;SUBSTITUTE(ROUND(304.6,1),",",".")&amp;"' r='4.3' fill='#2A3439' stroke='#2A3439' stroke-width='1.3'/&gt;",IF(CZ53="Enlace","&lt;rect x='"&amp;SUBSTITUTE(ROUND((728)-3.96,1),",",".")&amp;"' y='"&amp;SUBSTITUTE(ROUND((304.6)-3.96,1),",",".")&amp;"' width='7.92' height='7.92' fill='#6699CC' stroke='#2A3439' stroke-width='1.3'/&gt;",IF(CZ53="Resultado","&lt;path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DL53" s="58" t="n">
        <v>2</v>
      </c>
      <c r="DM53" s="58">
        <f>IF(AND($DM$4=1,DL53&lt;=nVariables),IF('M6'!$I11="Resultado","E",IF('M6'!$I11="Enlace","L",IF('M6'!$I11="Motriz","R",IF('M6'!$I11="Autónoma","A","")))),"")</f>
        <v/>
      </c>
      <c r="DN53" s="58">
        <f>IF(DM53&lt;&gt;"",COUNTIF($DM$52:DM53,DM53),"")</f>
        <v/>
      </c>
      <c r="DO53" s="58">
        <f>IF(DM53&lt;&gt;"",SUBSTITUTE(SUBSTITUTE(SUBSTITUTE(SUBSTITUTE(SUBSTITUTE(SUBSTITUTE(SUBSTITUTE(TRIM(CLEAN(IF(LEN(2&amp;" · "&amp;$D41)&gt;30,LEFT(2&amp;" · "&amp;$D41,29)&amp;"…",2&amp;" · "&amp;$D41))),"&amp;","&amp;amp;"),"&lt;","&amp;lt;"),"&gt;","&amp;gt;"),CHAR(34),"&amp;quot;"),CHAR(10)," "),CHAR(9)," "),CHAR(13)," "),"")</f>
        <v/>
      </c>
      <c r="DP53" s="58">
        <f>IF(DM53&lt;&gt;"",IF($E41&lt;&gt;"",$E41,IF(DM53="E","(efecto · indicador de resultado)",IF(DM53="L","(causa directa · riesgo)",IF(DM53="R","CAUSA RAÍZ · componente del proyecto","(fuera del alcance)")))),"")</f>
        <v/>
      </c>
      <c r="DQ53" s="58">
        <f>IF(DM53&lt;&gt;"",IF(LEN(DP53)&gt;74,LEFT(DP53,73)&amp;"…",DP53),"")</f>
        <v/>
      </c>
      <c r="DR53" s="58">
        <f>IF(DM53&lt;&gt;"",IF(LEN(DQ53)&lt;=37,LEN(DQ53)+1,IFERROR(FIND("~",SUBSTITUTE(LEFT(DQ53,38)," ","~",LEN(LEFT(DQ53,38))-LEN(SUBSTITUTE(LEFT(DQ53,38)," ","")))),38)),"")</f>
        <v/>
      </c>
      <c r="DS53" s="58">
        <f>IF(DM53&lt;&gt;"",SUBSTITUTE(SUBSTITUTE(SUBSTITUTE(SUBSTITUTE(SUBSTITUTE(SUBSTITUTE(SUBSTITUTE(TRIM(CLEAN(TRIM(LEFT(DQ53,DR53-1)))),"&amp;","&amp;amp;"),"&lt;","&amp;lt;"),"&gt;","&amp;gt;"),CHAR(34),"&amp;quot;"),CHAR(10)," "),CHAR(9)," "),CHAR(13)," "),"")</f>
        <v/>
      </c>
      <c r="DT53" s="58">
        <f>IF(DM53&lt;&gt;"",SUBSTITUTE(SUBSTITUTE(SUBSTITUTE(SUBSTITUTE(SUBSTITUTE(SUBSTITUTE(SUBSTITUTE(TRIM(CLEAN(IF(LEN(TRIM(MID(DQ53,DR53,80)))&gt;37,LEFT(TRIM(MID(DQ53,DR53,80)),36)&amp;"…",TRIM(MID(DQ53,DR53,80))))),"&amp;","&amp;amp;"),"&lt;","&amp;lt;"),"&gt;","&amp;gt;"),CHAR(34),"&amp;quot;"),CHAR(10)," "),CHAR(9)," "),CHAR(13)," "),"")</f>
        <v/>
      </c>
      <c r="DU53" s="58">
        <f>IF(DM53&lt;&gt;"",(1200-(MIN(5,IF(DM53="E",$DM$5,IF(DM53="L",$DM$8,IF(DM53="R",$DM$11,$DM$14)))-INT((DN53-1)/5)*5)*216+(MIN(5,IF(DM53="E",$DM$5,IF(DM53="L",$DM$8,IF(DM53="R",$DM$11,$DM$14)))-INT((DN53-1)/5)*5)-1)*14))/2+MOD(DN53-1,5)*(216+14),"")</f>
        <v/>
      </c>
      <c r="DV53" s="58">
        <f>IF(DM53&lt;&gt;"",IF(DM53="E",$DM$17,IF(DM53="L",$DM$21,IF(DM53="R",$DM$23,$DM$25)))+24+INT((DN53-1)/5)*(64+12),"")</f>
        <v/>
      </c>
      <c r="DW53" s="58">
        <f>IF(DM53&lt;&gt;"","&lt;rect x='"&amp;SUBSTITUTE(ROUND(DU53,1),",",".")&amp;"' y='"&amp;SUBSTITUTE(ROUND(DV53,1),",",".")&amp;"' width='216' height='64' rx='9' fill='"&amp;IF(DM53="E","#B9D9EB",IF(DM53="L","#9EB9D4",IF(DM53="R","#6699CC","#F5F5F5")))&amp;"' stroke='#2A3439' stroke-width='1'"&amp;IF(DM53="A"," stroke-dasharray='5 3'","")&amp;"/&gt;"&amp;"&lt;text x='"&amp;SUBSTITUTE(ROUND((DU53+108),1),",",".")&amp;"' y='"&amp;SUBSTITUTE(ROUND(DV53+20,1),",",".")&amp;"' font-size='12' font-weight='bold'&gt;"&amp;DO53&amp;"&lt;/text&gt;"&amp;"&lt;text x='"&amp;SUBSTITUTE(ROUND((DU53+108),1),",",".")&amp;"' y='"&amp;SUBSTITUTE(ROUND(DV53+38,1),",",".")&amp;"' font-size='10'&gt;"&amp;DS53&amp;"&lt;/text&gt;"&amp;"&lt;text x='"&amp;SUBSTITUTE(ROUND((DU53+108),1),",",".")&amp;"' y='"&amp;SUBSTITUTE(ROUND(DV53+53,1),",",".")&amp;"' font-size='10'&gt;"&amp;DT53&amp;"&lt;/text&gt;","")</f>
        <v/>
      </c>
    </row>
    <row r="54">
      <c r="A54" s="58" t="n">
        <v>15</v>
      </c>
      <c r="B54" s="58">
        <f>IF($A54&lt;=nVariables,SUBSTITUTE(SUBSTITUTE(SUBSTITUTE(SUBSTITUTE(SUBSTITUTE(SUBSTITUTE(SUBSTITUTE(TRIM(CLEAN(IF(LEN(TRIM(M!$B24))&gt;46,LEFT(TRIM(M!$B24),45)&amp;"…",TRIM(M!$B24)))),"&amp;","&amp;amp;"),"&lt;","&amp;lt;"),"&gt;","&amp;gt;"),CHAR(34),"&amp;quot;"),CHAR(10)," "),CHAR(9)," "),CHAR(13)," "),"")</f>
        <v/>
      </c>
      <c r="C54" s="58">
        <f>IF($A54&lt;=nVariables,$A54&amp;". "&amp;B54,"")</f>
        <v/>
      </c>
      <c r="D54" s="58">
        <f>IF($A54&lt;=nVariables,IF(TRIM(M!$C24)&lt;&gt;"",TRIM(M!$C24),IF(LEN(TRIM(M!$B24))&gt;24,LEFT(TRIM(M!$B24),23)&amp;"…",TRIM(M!$B24))),"")</f>
        <v/>
      </c>
      <c r="E54" s="58">
        <f>IF($A54&lt;=nVariables,TRIM('Árbol de Problemas'!$F33),"")</f>
        <v/>
      </c>
      <c r="H54" s="58" t="n">
        <v>15</v>
      </c>
      <c r="I54" s="58">
        <f>IF(AND($I$4=1,H54&lt;=nVariables),1,0)</f>
        <v/>
      </c>
      <c r="J54" s="58">
        <f>IF(I54=1,'M1'!$F24,"")</f>
        <v/>
      </c>
      <c r="K54" s="58">
        <f>IF(I54=1,'M1'!$E24,"")</f>
        <v/>
      </c>
      <c r="L54" s="58">
        <f>IF(I54=1,90+J54*$I$22,"")</f>
        <v/>
      </c>
      <c r="M54" s="58">
        <f>IF(I54=1,574-K54*$I$23,"")</f>
        <v/>
      </c>
      <c r="N54" s="58">
        <f>IF(I54=1,'M1'!$I24,"")</f>
        <v/>
      </c>
      <c r="O54" s="58">
        <f>IF(I54=1,IF(N54="Motriz","#2A3439",IF(N54="Enlace","#6699CC",IF(N54="Resultado","#FFFFFF","#F5F5F5"))),"")</f>
        <v/>
      </c>
      <c r="P54" s="58">
        <f>IF(I54=1,IF(SUMPRODUCT((J$39:J53=J54)*(K$39:K53=K54))=0,1,0),0)</f>
        <v/>
      </c>
      <c r="Q54" s="58">
        <f>IF(P54=1,15&amp;IF(AND(J55=J54,K55=K54),","&amp;16,"")&amp;IF(AND(J56=J54,K56=K54),","&amp;17,"")&amp;IF(AND(J57=J54,K57=K54),","&amp;18,"")&amp;IF(AND(J58=J54,K58=K54),","&amp;19,"")&amp;IF(AND(J59=J54,K59=K54),","&amp;20,"")&amp;IF(AND(J60=J54,K60=K54),","&amp;21,"")&amp;IF(AND(J61=J54,K61=K54),","&amp;22,"")&amp;IF(AND(J62=J54,K62=K54),","&amp;23,"")&amp;IF(AND(J63=J54,K63=K54),","&amp;24,"")&amp;IF(AND(J64=J54,K64=K54),","&amp;25,"")&amp;IF(AND(J65=J54,K65=K54),","&amp;26,"")&amp;IF(AND(J66=J54,K66=K54),","&amp;27,"")&amp;IF(AND(J67=J54,K67=K54),","&amp;28,"")&amp;IF(AND(J68=J54,K68=K54),","&amp;29,"")&amp;IF(AND(J69=J54,K69=K54),","&amp;30,"")&amp;IF(AND(J70=J54,K70=K54),","&amp;31,"")&amp;IF(AND(J71=J54,K71=K54),","&amp;32,"")&amp;IF(AND(J72=J54,K72=K54),","&amp;33,"")&amp;IF(AND(J73=J54,K73=K54),","&amp;34,"")&amp;IF(AND(J74=J54,K74=K54),","&amp;35,"")&amp;IF(AND(J75=J54,K75=K54),","&amp;36,"")&amp;IF(AND(J76=J54,K76=K54),","&amp;37,"")&amp;IF(AND(J77=J54,K77=K54),","&amp;38,"")&amp;IF(AND(J78=J54,K78=K54),","&amp;39,"")&amp;IF(AND(J79=J54,K79=K54),","&amp;40,""),"")</f>
        <v/>
      </c>
      <c r="R54" s="58">
        <f>IF(P54=1,IF(N54="Motriz","&lt;circle cx='"&amp;SUBSTITUTE(ROUND(L54,1),",",".")&amp;"' cy='"&amp;SUBSTITUTE(ROUND(M54,1),",",".")&amp;"' r='6' fill='#2A3439' stroke='#2A3439' stroke-width='1.3'/&gt;",IF(N54="Enlace","&lt;rect x='"&amp;SUBSTITUTE(ROUND((L54)-5.52,1),",",".")&amp;"' y='"&amp;SUBSTITUTE(ROUND((M54)-5.52,1),",",".")&amp;"' width='11.04' height='11.04' fill='#6699CC' stroke='#2A3439' stroke-width='1.3'/&gt;",IF(N54="Resultado","&lt;path d='M"&amp;SUBSTITUTE(ROUND(L54,1),",",".")&amp;" "&amp;SUBSTITUTE(ROUND((M54)-6.9,1),",",".")&amp;"L"&amp;SUBSTITUTE(ROUND((L54)+6.3,1),",",".")&amp;" "&amp;SUBSTITUTE(ROUND((M54)+5.1,1),",",".")&amp;"L"&amp;SUBSTITUTE(ROUND((L54)-6.3,1),",",".")&amp;" "&amp;SUBSTITUTE(ROUND((M54)+5.1,1),",",".")&amp;"Z' fill='#FFFFFF' stroke='#2A3439' stroke-width='1.3'/&gt;","&lt;path d='M"&amp;SUBSTITUTE(ROUND(L54,1),",",".")&amp;" "&amp;SUBSTITUTE(ROUND((M54)-7.5,1),",",".")&amp;"L"&amp;SUBSTITUTE(ROUND((L54)+7.5,1),",",".")&amp;" "&amp;SUBSTITUTE(ROUND(M54,1),",",".")&amp;"L"&amp;SUBSTITUTE(ROUND(L54,1),",",".")&amp;" "&amp;SUBSTITUTE(ROUND((M54)+7.5,1),",",".")&amp;"L"&amp;SUBSTITUTE(ROUND((L54)-7.5,1),",",".")&amp;" "&amp;SUBSTITUTE(ROUND(M54,1),",",".")&amp;"Z' fill='#F5F5F5' stroke='#2A3439' stroke-width='1.3'/&gt;")))&amp;"&lt;text x='"&amp;SUBSTITUTE(ROUND(L54+9,1),",",".")&amp;"' y='"&amp;SUBSTITUTE(ROUND(M54-8,1),",",".")&amp;"'&gt;"&amp;Q54&amp;"&lt;/text&gt;","")</f>
        <v/>
      </c>
      <c r="S54" s="58">
        <f>IF(I54=1,IF(N54="Motriz","&lt;circle cx='"&amp;SUBSTITUTE(ROUND(728,1),",",".")&amp;"' cy='"&amp;SUBSTITUTE(ROUND(318.8,1),",",".")&amp;"' r='4.3' fill='#2A3439' stroke='#2A3439' stroke-width='1.3'/&gt;",IF(N54="Enlace","&lt;rect x='"&amp;SUBSTITUTE(ROUND((728)-3.96,1),",",".")&amp;"' y='"&amp;SUBSTITUTE(ROUND((318.8)-3.96,1),",",".")&amp;"' width='7.92' height='7.92' fill='#6699CC' stroke='#2A3439' stroke-width='1.3'/&gt;",IF(N54="Resultado","&lt;path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Z54" s="58" t="n">
        <v>15</v>
      </c>
      <c r="AA54" s="58">
        <f>IF(AND($AA$4=1,Z54&lt;=nVariables),1,0)</f>
        <v/>
      </c>
      <c r="AB54" s="58">
        <f>IF(AA54=1,'M2'!$F24,"")</f>
        <v/>
      </c>
      <c r="AC54" s="58">
        <f>IF(AA54=1,'M2'!$E24,"")</f>
        <v/>
      </c>
      <c r="AD54" s="58">
        <f>IF(AA54=1,90+AB54*$AA$22,"")</f>
        <v/>
      </c>
      <c r="AE54" s="58">
        <f>IF(AA54=1,574-AC54*$AA$23,"")</f>
        <v/>
      </c>
      <c r="AF54" s="58">
        <f>IF(AA54=1,'M2'!$I24,"")</f>
        <v/>
      </c>
      <c r="AG54" s="58">
        <f>IF(AA54=1,IF(AF54="Motriz","#2A3439",IF(AF54="Enlace","#6699CC",IF(AF54="Resultado","#FFFFFF","#F5F5F5"))),"")</f>
        <v/>
      </c>
      <c r="AH54" s="58">
        <f>IF(AA54=1,IF(SUMPRODUCT((AB$39:AB53=AB54)*(AC$39:AC53=AC54))=0,1,0),0)</f>
        <v/>
      </c>
      <c r="AI54" s="58">
        <f>IF(AH54=1,15&amp;IF(AND(AB55=AB54,AC55=AC54),","&amp;16,"")&amp;IF(AND(AB56=AB54,AC56=AC54),","&amp;17,"")&amp;IF(AND(AB57=AB54,AC57=AC54),","&amp;18,"")&amp;IF(AND(AB58=AB54,AC58=AC54),","&amp;19,"")&amp;IF(AND(AB59=AB54,AC59=AC54),","&amp;20,"")&amp;IF(AND(AB60=AB54,AC60=AC54),","&amp;21,"")&amp;IF(AND(AB61=AB54,AC61=AC54),","&amp;22,"")&amp;IF(AND(AB62=AB54,AC62=AC54),","&amp;23,"")&amp;IF(AND(AB63=AB54,AC63=AC54),","&amp;24,"")&amp;IF(AND(AB64=AB54,AC64=AC54),","&amp;25,"")&amp;IF(AND(AB65=AB54,AC65=AC54),","&amp;26,"")&amp;IF(AND(AB66=AB54,AC66=AC54),","&amp;27,"")&amp;IF(AND(AB67=AB54,AC67=AC54),","&amp;28,"")&amp;IF(AND(AB68=AB54,AC68=AC54),","&amp;29,"")&amp;IF(AND(AB69=AB54,AC69=AC54),","&amp;30,"")&amp;IF(AND(AB70=AB54,AC70=AC54),","&amp;31,"")&amp;IF(AND(AB71=AB54,AC71=AC54),","&amp;32,"")&amp;IF(AND(AB72=AB54,AC72=AC54),","&amp;33,"")&amp;IF(AND(AB73=AB54,AC73=AC54),","&amp;34,"")&amp;IF(AND(AB74=AB54,AC74=AC54),","&amp;35,"")&amp;IF(AND(AB75=AB54,AC75=AC54),","&amp;36,"")&amp;IF(AND(AB76=AB54,AC76=AC54),","&amp;37,"")&amp;IF(AND(AB77=AB54,AC77=AC54),","&amp;38,"")&amp;IF(AND(AB78=AB54,AC78=AC54),","&amp;39,"")&amp;IF(AND(AB79=AB54,AC79=AC54),","&amp;40,""),"")</f>
        <v/>
      </c>
      <c r="AJ54" s="58">
        <f>IF(AH54=1,IF(AF54="Motriz","&lt;circle cx='"&amp;SUBSTITUTE(ROUND(AD54,1),",",".")&amp;"' cy='"&amp;SUBSTITUTE(ROUND(AE54,1),",",".")&amp;"' r='6' fill='#2A3439' stroke='#2A3439' stroke-width='1.3'/&gt;",IF(AF54="Enlace","&lt;rect x='"&amp;SUBSTITUTE(ROUND((AD54)-5.52,1),",",".")&amp;"' y='"&amp;SUBSTITUTE(ROUND((AE54)-5.52,1),",",".")&amp;"' width='11.04' height='11.04' fill='#6699CC' stroke='#2A3439' stroke-width='1.3'/&gt;",IF(AF54="Resultado","&lt;path d='M"&amp;SUBSTITUTE(ROUND(AD54,1),",",".")&amp;" "&amp;SUBSTITUTE(ROUND((AE54)-6.9,1),",",".")&amp;"L"&amp;SUBSTITUTE(ROUND((AD54)+6.3,1),",",".")&amp;" "&amp;SUBSTITUTE(ROUND((AE54)+5.1,1),",",".")&amp;"L"&amp;SUBSTITUTE(ROUND((AD54)-6.3,1),",",".")&amp;" "&amp;SUBSTITUTE(ROUND((AE54)+5.1,1),",",".")&amp;"Z' fill='#FFFFFF' stroke='#2A3439' stroke-width='1.3'/&gt;","&lt;path d='M"&amp;SUBSTITUTE(ROUND(AD54,1),",",".")&amp;" "&amp;SUBSTITUTE(ROUND((AE54)-7.5,1),",",".")&amp;"L"&amp;SUBSTITUTE(ROUND((AD54)+7.5,1),",",".")&amp;" "&amp;SUBSTITUTE(ROUND(AE54,1),",",".")&amp;"L"&amp;SUBSTITUTE(ROUND(AD54,1),",",".")&amp;" "&amp;SUBSTITUTE(ROUND((AE54)+7.5,1),",",".")&amp;"L"&amp;SUBSTITUTE(ROUND((AD54)-7.5,1),",",".")&amp;" "&amp;SUBSTITUTE(ROUND(AE54,1),",",".")&amp;"Z' fill='#F5F5F5' stroke='#2A3439' stroke-width='1.3'/&gt;")))&amp;"&lt;text x='"&amp;SUBSTITUTE(ROUND(AD54+9,1),",",".")&amp;"' y='"&amp;SUBSTITUTE(ROUND(AE54-8,1),",",".")&amp;"'&gt;"&amp;AI54&amp;"&lt;/text&gt;","")</f>
        <v/>
      </c>
      <c r="AK54" s="58">
        <f>IF(AA54=1,IF(AF54="Motriz","&lt;circle cx='"&amp;SUBSTITUTE(ROUND(728,1),",",".")&amp;"' cy='"&amp;SUBSTITUTE(ROUND(318.8,1),",",".")&amp;"' r='4.3' fill='#2A3439' stroke='#2A3439' stroke-width='1.3'/&gt;",IF(AF54="Enlace","&lt;rect x='"&amp;SUBSTITUTE(ROUND((728)-3.96,1),",",".")&amp;"' y='"&amp;SUBSTITUTE(ROUND((318.8)-3.96,1),",",".")&amp;"' width='7.92' height='7.92' fill='#6699CC' stroke='#2A3439' stroke-width='1.3'/&gt;",IF(AF54="Resultado","&lt;path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AR54" s="58" t="n">
        <v>15</v>
      </c>
      <c r="AS54" s="58">
        <f>IF(AND($AS$4=1,AR54&lt;=nVariables),1,0)</f>
        <v/>
      </c>
      <c r="AT54" s="58">
        <f>IF(AS54=1,'M3'!$F24,"")</f>
        <v/>
      </c>
      <c r="AU54" s="58">
        <f>IF(AS54=1,'M3'!$E24,"")</f>
        <v/>
      </c>
      <c r="AV54" s="58">
        <f>IF(AS54=1,90+AT54*$AS$22,"")</f>
        <v/>
      </c>
      <c r="AW54" s="58">
        <f>IF(AS54=1,574-AU54*$AS$23,"")</f>
        <v/>
      </c>
      <c r="AX54" s="58">
        <f>IF(AS54=1,'M3'!$I24,"")</f>
        <v/>
      </c>
      <c r="AY54" s="58">
        <f>IF(AS54=1,IF(AX54="Motriz","#2A3439",IF(AX54="Enlace","#6699CC",IF(AX54="Resultado","#FFFFFF","#F5F5F5"))),"")</f>
        <v/>
      </c>
      <c r="AZ54" s="58">
        <f>IF(AS54=1,IF(SUMPRODUCT((AT$39:AT53=AT54)*(AU$39:AU53=AU54))=0,1,0),0)</f>
        <v/>
      </c>
      <c r="BA54" s="58">
        <f>IF(AZ54=1,15&amp;IF(AND(AT55=AT54,AU55=AU54),","&amp;16,"")&amp;IF(AND(AT56=AT54,AU56=AU54),","&amp;17,"")&amp;IF(AND(AT57=AT54,AU57=AU54),","&amp;18,"")&amp;IF(AND(AT58=AT54,AU58=AU54),","&amp;19,"")&amp;IF(AND(AT59=AT54,AU59=AU54),","&amp;20,"")&amp;IF(AND(AT60=AT54,AU60=AU54),","&amp;21,"")&amp;IF(AND(AT61=AT54,AU61=AU54),","&amp;22,"")&amp;IF(AND(AT62=AT54,AU62=AU54),","&amp;23,"")&amp;IF(AND(AT63=AT54,AU63=AU54),","&amp;24,"")&amp;IF(AND(AT64=AT54,AU64=AU54),","&amp;25,"")&amp;IF(AND(AT65=AT54,AU65=AU54),","&amp;26,"")&amp;IF(AND(AT66=AT54,AU66=AU54),","&amp;27,"")&amp;IF(AND(AT67=AT54,AU67=AU54),","&amp;28,"")&amp;IF(AND(AT68=AT54,AU68=AU54),","&amp;29,"")&amp;IF(AND(AT69=AT54,AU69=AU54),","&amp;30,"")&amp;IF(AND(AT70=AT54,AU70=AU54),","&amp;31,"")&amp;IF(AND(AT71=AT54,AU71=AU54),","&amp;32,"")&amp;IF(AND(AT72=AT54,AU72=AU54),","&amp;33,"")&amp;IF(AND(AT73=AT54,AU73=AU54),","&amp;34,"")&amp;IF(AND(AT74=AT54,AU74=AU54),","&amp;35,"")&amp;IF(AND(AT75=AT54,AU75=AU54),","&amp;36,"")&amp;IF(AND(AT76=AT54,AU76=AU54),","&amp;37,"")&amp;IF(AND(AT77=AT54,AU77=AU54),","&amp;38,"")&amp;IF(AND(AT78=AT54,AU78=AU54),","&amp;39,"")&amp;IF(AND(AT79=AT54,AU79=AU54),","&amp;40,""),"")</f>
        <v/>
      </c>
      <c r="BB54" s="58">
        <f>IF(AZ54=1,IF(AX54="Motriz","&lt;circle cx='"&amp;SUBSTITUTE(ROUND(AV54,1),",",".")&amp;"' cy='"&amp;SUBSTITUTE(ROUND(AW54,1),",",".")&amp;"' r='6' fill='#2A3439' stroke='#2A3439' stroke-width='1.3'/&gt;",IF(AX54="Enlace","&lt;rect x='"&amp;SUBSTITUTE(ROUND((AV54)-5.52,1),",",".")&amp;"' y='"&amp;SUBSTITUTE(ROUND((AW54)-5.52,1),",",".")&amp;"' width='11.04' height='11.04' fill='#6699CC' stroke='#2A3439' stroke-width='1.3'/&gt;",IF(AX54="Resultado","&lt;path d='M"&amp;SUBSTITUTE(ROUND(AV54,1),",",".")&amp;" "&amp;SUBSTITUTE(ROUND((AW54)-6.9,1),",",".")&amp;"L"&amp;SUBSTITUTE(ROUND((AV54)+6.3,1),",",".")&amp;" "&amp;SUBSTITUTE(ROUND((AW54)+5.1,1),",",".")&amp;"L"&amp;SUBSTITUTE(ROUND((AV54)-6.3,1),",",".")&amp;" "&amp;SUBSTITUTE(ROUND((AW54)+5.1,1),",",".")&amp;"Z' fill='#FFFFFF' stroke='#2A3439' stroke-width='1.3'/&gt;","&lt;path d='M"&amp;SUBSTITUTE(ROUND(AV54,1),",",".")&amp;" "&amp;SUBSTITUTE(ROUND((AW54)-7.5,1),",",".")&amp;"L"&amp;SUBSTITUTE(ROUND((AV54)+7.5,1),",",".")&amp;" "&amp;SUBSTITUTE(ROUND(AW54,1),",",".")&amp;"L"&amp;SUBSTITUTE(ROUND(AV54,1),",",".")&amp;" "&amp;SUBSTITUTE(ROUND((AW54)+7.5,1),",",".")&amp;"L"&amp;SUBSTITUTE(ROUND((AV54)-7.5,1),",",".")&amp;" "&amp;SUBSTITUTE(ROUND(AW54,1),",",".")&amp;"Z' fill='#F5F5F5' stroke='#2A3439' stroke-width='1.3'/&gt;")))&amp;"&lt;text x='"&amp;SUBSTITUTE(ROUND(AV54+9,1),",",".")&amp;"' y='"&amp;SUBSTITUTE(ROUND(AW54-8,1),",",".")&amp;"'&gt;"&amp;BA54&amp;"&lt;/text&gt;","")</f>
        <v/>
      </c>
      <c r="BC54" s="58">
        <f>IF(AS54=1,IF(AX54="Motriz","&lt;circle cx='"&amp;SUBSTITUTE(ROUND(728,1),",",".")&amp;"' cy='"&amp;SUBSTITUTE(ROUND(318.8,1),",",".")&amp;"' r='4.3' fill='#2A3439' stroke='#2A3439' stroke-width='1.3'/&gt;",IF(AX54="Enlace","&lt;rect x='"&amp;SUBSTITUTE(ROUND((728)-3.96,1),",",".")&amp;"' y='"&amp;SUBSTITUTE(ROUND((318.8)-3.96,1),",",".")&amp;"' width='7.92' height='7.92' fill='#6699CC' stroke='#2A3439' stroke-width='1.3'/&gt;",IF(AX54="Resultado","&lt;path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BJ54" s="58" t="n">
        <v>15</v>
      </c>
      <c r="BK54" s="58">
        <f>IF(AND($BK$4=1,BJ54&lt;=nVariables),1,0)</f>
        <v/>
      </c>
      <c r="BL54" s="58">
        <f>IF(BK54=1,'M4'!$F24,"")</f>
        <v/>
      </c>
      <c r="BM54" s="58">
        <f>IF(BK54=1,'M4'!$E24,"")</f>
        <v/>
      </c>
      <c r="BN54" s="58">
        <f>IF(BK54=1,90+BL54*$BK$22,"")</f>
        <v/>
      </c>
      <c r="BO54" s="58">
        <f>IF(BK54=1,574-BM54*$BK$23,"")</f>
        <v/>
      </c>
      <c r="BP54" s="58">
        <f>IF(BK54=1,'M4'!$I24,"")</f>
        <v/>
      </c>
      <c r="BQ54" s="58">
        <f>IF(BK54=1,IF(BP54="Motriz","#2A3439",IF(BP54="Enlace","#6699CC",IF(BP54="Resultado","#FFFFFF","#F5F5F5"))),"")</f>
        <v/>
      </c>
      <c r="BR54" s="58">
        <f>IF(BK54=1,IF(SUMPRODUCT((BL$39:BL53=BL54)*(BM$39:BM53=BM54))=0,1,0),0)</f>
        <v/>
      </c>
      <c r="BS54" s="58">
        <f>IF(BR54=1,15&amp;IF(AND(BL55=BL54,BM55=BM54),","&amp;16,"")&amp;IF(AND(BL56=BL54,BM56=BM54),","&amp;17,"")&amp;IF(AND(BL57=BL54,BM57=BM54),","&amp;18,"")&amp;IF(AND(BL58=BL54,BM58=BM54),","&amp;19,"")&amp;IF(AND(BL59=BL54,BM59=BM54),","&amp;20,"")&amp;IF(AND(BL60=BL54,BM60=BM54),","&amp;21,"")&amp;IF(AND(BL61=BL54,BM61=BM54),","&amp;22,"")&amp;IF(AND(BL62=BL54,BM62=BM54),","&amp;23,"")&amp;IF(AND(BL63=BL54,BM63=BM54),","&amp;24,"")&amp;IF(AND(BL64=BL54,BM64=BM54),","&amp;25,"")&amp;IF(AND(BL65=BL54,BM65=BM54),","&amp;26,"")&amp;IF(AND(BL66=BL54,BM66=BM54),","&amp;27,"")&amp;IF(AND(BL67=BL54,BM67=BM54),","&amp;28,"")&amp;IF(AND(BL68=BL54,BM68=BM54),","&amp;29,"")&amp;IF(AND(BL69=BL54,BM69=BM54),","&amp;30,"")&amp;IF(AND(BL70=BL54,BM70=BM54),","&amp;31,"")&amp;IF(AND(BL71=BL54,BM71=BM54),","&amp;32,"")&amp;IF(AND(BL72=BL54,BM72=BM54),","&amp;33,"")&amp;IF(AND(BL73=BL54,BM73=BM54),","&amp;34,"")&amp;IF(AND(BL74=BL54,BM74=BM54),","&amp;35,"")&amp;IF(AND(BL75=BL54,BM75=BM54),","&amp;36,"")&amp;IF(AND(BL76=BL54,BM76=BM54),","&amp;37,"")&amp;IF(AND(BL77=BL54,BM77=BM54),","&amp;38,"")&amp;IF(AND(BL78=BL54,BM78=BM54),","&amp;39,"")&amp;IF(AND(BL79=BL54,BM79=BM54),","&amp;40,""),"")</f>
        <v/>
      </c>
      <c r="BT54" s="58">
        <f>IF(BR54=1,IF(BP54="Motriz","&lt;circle cx='"&amp;SUBSTITUTE(ROUND(BN54,1),",",".")&amp;"' cy='"&amp;SUBSTITUTE(ROUND(BO54,1),",",".")&amp;"' r='6' fill='#2A3439' stroke='#2A3439' stroke-width='1.3'/&gt;",IF(BP54="Enlace","&lt;rect x='"&amp;SUBSTITUTE(ROUND((BN54)-5.52,1),",",".")&amp;"' y='"&amp;SUBSTITUTE(ROUND((BO54)-5.52,1),",",".")&amp;"' width='11.04' height='11.04' fill='#6699CC' stroke='#2A3439' stroke-width='1.3'/&gt;",IF(BP54="Resultado","&lt;path d='M"&amp;SUBSTITUTE(ROUND(BN54,1),",",".")&amp;" "&amp;SUBSTITUTE(ROUND((BO54)-6.9,1),",",".")&amp;"L"&amp;SUBSTITUTE(ROUND((BN54)+6.3,1),",",".")&amp;" "&amp;SUBSTITUTE(ROUND((BO54)+5.1,1),",",".")&amp;"L"&amp;SUBSTITUTE(ROUND((BN54)-6.3,1),",",".")&amp;" "&amp;SUBSTITUTE(ROUND((BO54)+5.1,1),",",".")&amp;"Z' fill='#FFFFFF' stroke='#2A3439' stroke-width='1.3'/&gt;","&lt;path d='M"&amp;SUBSTITUTE(ROUND(BN54,1),",",".")&amp;" "&amp;SUBSTITUTE(ROUND((BO54)-7.5,1),",",".")&amp;"L"&amp;SUBSTITUTE(ROUND((BN54)+7.5,1),",",".")&amp;" "&amp;SUBSTITUTE(ROUND(BO54,1),",",".")&amp;"L"&amp;SUBSTITUTE(ROUND(BN54,1),",",".")&amp;" "&amp;SUBSTITUTE(ROUND((BO54)+7.5,1),",",".")&amp;"L"&amp;SUBSTITUTE(ROUND((BN54)-7.5,1),",",".")&amp;" "&amp;SUBSTITUTE(ROUND(BO54,1),",",".")&amp;"Z' fill='#F5F5F5' stroke='#2A3439' stroke-width='1.3'/&gt;")))&amp;"&lt;text x='"&amp;SUBSTITUTE(ROUND(BN54+9,1),",",".")&amp;"' y='"&amp;SUBSTITUTE(ROUND(BO54-8,1),",",".")&amp;"'&gt;"&amp;BS54&amp;"&lt;/text&gt;","")</f>
        <v/>
      </c>
      <c r="BU54" s="58">
        <f>IF(BK54=1,IF(BP54="Motriz","&lt;circle cx='"&amp;SUBSTITUTE(ROUND(728,1),",",".")&amp;"' cy='"&amp;SUBSTITUTE(ROUND(318.8,1),",",".")&amp;"' r='4.3' fill='#2A3439' stroke='#2A3439' stroke-width='1.3'/&gt;",IF(BP54="Enlace","&lt;rect x='"&amp;SUBSTITUTE(ROUND((728)-3.96,1),",",".")&amp;"' y='"&amp;SUBSTITUTE(ROUND((318.8)-3.96,1),",",".")&amp;"' width='7.92' height='7.92' fill='#6699CC' stroke='#2A3439' stroke-width='1.3'/&gt;",IF(BP54="Resultado","&lt;path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CB54" s="58" t="n">
        <v>15</v>
      </c>
      <c r="CC54" s="58">
        <f>IF(AND($CC$4=1,CB54&lt;=nVariables),1,0)</f>
        <v/>
      </c>
      <c r="CD54" s="58">
        <f>IF(CC54=1,'M5'!$F24,"")</f>
        <v/>
      </c>
      <c r="CE54" s="58">
        <f>IF(CC54=1,'M5'!$E24,"")</f>
        <v/>
      </c>
      <c r="CF54" s="58">
        <f>IF(CC54=1,90+CD54*$CC$22,"")</f>
        <v/>
      </c>
      <c r="CG54" s="58">
        <f>IF(CC54=1,574-CE54*$CC$23,"")</f>
        <v/>
      </c>
      <c r="CH54" s="58">
        <f>IF(CC54=1,'M5'!$I24,"")</f>
        <v/>
      </c>
      <c r="CI54" s="58">
        <f>IF(CC54=1,IF(CH54="Motriz","#2A3439",IF(CH54="Enlace","#6699CC",IF(CH54="Resultado","#FFFFFF","#F5F5F5"))),"")</f>
        <v/>
      </c>
      <c r="CJ54" s="58">
        <f>IF(CC54=1,IF(SUMPRODUCT((CD$39:CD53=CD54)*(CE$39:CE53=CE54))=0,1,0),0)</f>
        <v/>
      </c>
      <c r="CK54" s="58">
        <f>IF(CJ54=1,15&amp;IF(AND(CD55=CD54,CE55=CE54),","&amp;16,"")&amp;IF(AND(CD56=CD54,CE56=CE54),","&amp;17,"")&amp;IF(AND(CD57=CD54,CE57=CE54),","&amp;18,"")&amp;IF(AND(CD58=CD54,CE58=CE54),","&amp;19,"")&amp;IF(AND(CD59=CD54,CE59=CE54),","&amp;20,"")&amp;IF(AND(CD60=CD54,CE60=CE54),","&amp;21,"")&amp;IF(AND(CD61=CD54,CE61=CE54),","&amp;22,"")&amp;IF(AND(CD62=CD54,CE62=CE54),","&amp;23,"")&amp;IF(AND(CD63=CD54,CE63=CE54),","&amp;24,"")&amp;IF(AND(CD64=CD54,CE64=CE54),","&amp;25,"")&amp;IF(AND(CD65=CD54,CE65=CE54),","&amp;26,"")&amp;IF(AND(CD66=CD54,CE66=CE54),","&amp;27,"")&amp;IF(AND(CD67=CD54,CE67=CE54),","&amp;28,"")&amp;IF(AND(CD68=CD54,CE68=CE54),","&amp;29,"")&amp;IF(AND(CD69=CD54,CE69=CE54),","&amp;30,"")&amp;IF(AND(CD70=CD54,CE70=CE54),","&amp;31,"")&amp;IF(AND(CD71=CD54,CE71=CE54),","&amp;32,"")&amp;IF(AND(CD72=CD54,CE72=CE54),","&amp;33,"")&amp;IF(AND(CD73=CD54,CE73=CE54),","&amp;34,"")&amp;IF(AND(CD74=CD54,CE74=CE54),","&amp;35,"")&amp;IF(AND(CD75=CD54,CE75=CE54),","&amp;36,"")&amp;IF(AND(CD76=CD54,CE76=CE54),","&amp;37,"")&amp;IF(AND(CD77=CD54,CE77=CE54),","&amp;38,"")&amp;IF(AND(CD78=CD54,CE78=CE54),","&amp;39,"")&amp;IF(AND(CD79=CD54,CE79=CE54),","&amp;40,""),"")</f>
        <v/>
      </c>
      <c r="CL54" s="58">
        <f>IF(CJ54=1,IF(CH54="Motriz","&lt;circle cx='"&amp;SUBSTITUTE(ROUND(CF54,1),",",".")&amp;"' cy='"&amp;SUBSTITUTE(ROUND(CG54,1),",",".")&amp;"' r='6' fill='#2A3439' stroke='#2A3439' stroke-width='1.3'/&gt;",IF(CH54="Enlace","&lt;rect x='"&amp;SUBSTITUTE(ROUND((CF54)-5.52,1),",",".")&amp;"' y='"&amp;SUBSTITUTE(ROUND((CG54)-5.52,1),",",".")&amp;"' width='11.04' height='11.04' fill='#6699CC' stroke='#2A3439' stroke-width='1.3'/&gt;",IF(CH54="Resultado","&lt;path d='M"&amp;SUBSTITUTE(ROUND(CF54,1),",",".")&amp;" "&amp;SUBSTITUTE(ROUND((CG54)-6.9,1),",",".")&amp;"L"&amp;SUBSTITUTE(ROUND((CF54)+6.3,1),",",".")&amp;" "&amp;SUBSTITUTE(ROUND((CG54)+5.1,1),",",".")&amp;"L"&amp;SUBSTITUTE(ROUND((CF54)-6.3,1),",",".")&amp;" "&amp;SUBSTITUTE(ROUND((CG54)+5.1,1),",",".")&amp;"Z' fill='#FFFFFF' stroke='#2A3439' stroke-width='1.3'/&gt;","&lt;path d='M"&amp;SUBSTITUTE(ROUND(CF54,1),",",".")&amp;" "&amp;SUBSTITUTE(ROUND((CG54)-7.5,1),",",".")&amp;"L"&amp;SUBSTITUTE(ROUND((CF54)+7.5,1),",",".")&amp;" "&amp;SUBSTITUTE(ROUND(CG54,1),",",".")&amp;"L"&amp;SUBSTITUTE(ROUND(CF54,1),",",".")&amp;" "&amp;SUBSTITUTE(ROUND((CG54)+7.5,1),",",".")&amp;"L"&amp;SUBSTITUTE(ROUND((CF54)-7.5,1),",",".")&amp;" "&amp;SUBSTITUTE(ROUND(CG54,1),",",".")&amp;"Z' fill='#F5F5F5' stroke='#2A3439' stroke-width='1.3'/&gt;")))&amp;"&lt;text x='"&amp;SUBSTITUTE(ROUND(CF54+9,1),",",".")&amp;"' y='"&amp;SUBSTITUTE(ROUND(CG54-8,1),",",".")&amp;"'&gt;"&amp;CK54&amp;"&lt;/text&gt;","")</f>
        <v/>
      </c>
      <c r="CM54" s="58">
        <f>IF(CC54=1,IF(CH54="Motriz","&lt;circle cx='"&amp;SUBSTITUTE(ROUND(728,1),",",".")&amp;"' cy='"&amp;SUBSTITUTE(ROUND(318.8,1),",",".")&amp;"' r='4.3' fill='#2A3439' stroke='#2A3439' stroke-width='1.3'/&gt;",IF(CH54="Enlace","&lt;rect x='"&amp;SUBSTITUTE(ROUND((728)-3.96,1),",",".")&amp;"' y='"&amp;SUBSTITUTE(ROUND((318.8)-3.96,1),",",".")&amp;"' width='7.92' height='7.92' fill='#6699CC' stroke='#2A3439' stroke-width='1.3'/&gt;",IF(CH54="Resultado","&lt;path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CT54" s="58" t="n">
        <v>15</v>
      </c>
      <c r="CU54" s="58">
        <f>IF(AND($CU$4=1,CT54&lt;=nVariables),1,0)</f>
        <v/>
      </c>
      <c r="CV54" s="58">
        <f>IF(CU54=1,'M6'!$F24,"")</f>
        <v/>
      </c>
      <c r="CW54" s="58">
        <f>IF(CU54=1,'M6'!$E24,"")</f>
        <v/>
      </c>
      <c r="CX54" s="58">
        <f>IF(CU54=1,90+CV54*$CU$22,"")</f>
        <v/>
      </c>
      <c r="CY54" s="58">
        <f>IF(CU54=1,574-CW54*$CU$23,"")</f>
        <v/>
      </c>
      <c r="CZ54" s="58">
        <f>IF(CU54=1,'M6'!$I24,"")</f>
        <v/>
      </c>
      <c r="DA54" s="58">
        <f>IF(CU54=1,IF(CZ54="Motriz","#2A3439",IF(CZ54="Enlace","#6699CC",IF(CZ54="Resultado","#FFFFFF","#F5F5F5"))),"")</f>
        <v/>
      </c>
      <c r="DB54" s="58">
        <f>IF(CU54=1,IF(SUMPRODUCT((CV$39:CV53=CV54)*(CW$39:CW53=CW54))=0,1,0),0)</f>
        <v/>
      </c>
      <c r="DC54" s="58">
        <f>IF(DB54=1,15&amp;IF(AND(CV55=CV54,CW55=CW54),","&amp;16,"")&amp;IF(AND(CV56=CV54,CW56=CW54),","&amp;17,"")&amp;IF(AND(CV57=CV54,CW57=CW54),","&amp;18,"")&amp;IF(AND(CV58=CV54,CW58=CW54),","&amp;19,"")&amp;IF(AND(CV59=CV54,CW59=CW54),","&amp;20,"")&amp;IF(AND(CV60=CV54,CW60=CW54),","&amp;21,"")&amp;IF(AND(CV61=CV54,CW61=CW54),","&amp;22,"")&amp;IF(AND(CV62=CV54,CW62=CW54),","&amp;23,"")&amp;IF(AND(CV63=CV54,CW63=CW54),","&amp;24,"")&amp;IF(AND(CV64=CV54,CW64=CW54),","&amp;25,"")&amp;IF(AND(CV65=CV54,CW65=CW54),","&amp;26,"")&amp;IF(AND(CV66=CV54,CW66=CW54),","&amp;27,"")&amp;IF(AND(CV67=CV54,CW67=CW54),","&amp;28,"")&amp;IF(AND(CV68=CV54,CW68=CW54),","&amp;29,"")&amp;IF(AND(CV69=CV54,CW69=CW54),","&amp;30,"")&amp;IF(AND(CV70=CV54,CW70=CW54),","&amp;31,"")&amp;IF(AND(CV71=CV54,CW71=CW54),","&amp;32,"")&amp;IF(AND(CV72=CV54,CW72=CW54),","&amp;33,"")&amp;IF(AND(CV73=CV54,CW73=CW54),","&amp;34,"")&amp;IF(AND(CV74=CV54,CW74=CW54),","&amp;35,"")&amp;IF(AND(CV75=CV54,CW75=CW54),","&amp;36,"")&amp;IF(AND(CV76=CV54,CW76=CW54),","&amp;37,"")&amp;IF(AND(CV77=CV54,CW77=CW54),","&amp;38,"")&amp;IF(AND(CV78=CV54,CW78=CW54),","&amp;39,"")&amp;IF(AND(CV79=CV54,CW79=CW54),","&amp;40,""),"")</f>
        <v/>
      </c>
      <c r="DD54" s="58">
        <f>IF(DB54=1,IF(CZ54="Motriz","&lt;circle cx='"&amp;SUBSTITUTE(ROUND(CX54,1),",",".")&amp;"' cy='"&amp;SUBSTITUTE(ROUND(CY54,1),",",".")&amp;"' r='6' fill='#2A3439' stroke='#2A3439' stroke-width='1.3'/&gt;",IF(CZ54="Enlace","&lt;rect x='"&amp;SUBSTITUTE(ROUND((CX54)-5.52,1),",",".")&amp;"' y='"&amp;SUBSTITUTE(ROUND((CY54)-5.52,1),",",".")&amp;"' width='11.04' height='11.04' fill='#6699CC' stroke='#2A3439' stroke-width='1.3'/&gt;",IF(CZ54="Resultado","&lt;path d='M"&amp;SUBSTITUTE(ROUND(CX54,1),",",".")&amp;" "&amp;SUBSTITUTE(ROUND((CY54)-6.9,1),",",".")&amp;"L"&amp;SUBSTITUTE(ROUND((CX54)+6.3,1),",",".")&amp;" "&amp;SUBSTITUTE(ROUND((CY54)+5.1,1),",",".")&amp;"L"&amp;SUBSTITUTE(ROUND((CX54)-6.3,1),",",".")&amp;" "&amp;SUBSTITUTE(ROUND((CY54)+5.1,1),",",".")&amp;"Z' fill='#FFFFFF' stroke='#2A3439' stroke-width='1.3'/&gt;","&lt;path d='M"&amp;SUBSTITUTE(ROUND(CX54,1),",",".")&amp;" "&amp;SUBSTITUTE(ROUND((CY54)-7.5,1),",",".")&amp;"L"&amp;SUBSTITUTE(ROUND((CX54)+7.5,1),",",".")&amp;" "&amp;SUBSTITUTE(ROUND(CY54,1),",",".")&amp;"L"&amp;SUBSTITUTE(ROUND(CX54,1),",",".")&amp;" "&amp;SUBSTITUTE(ROUND((CY54)+7.5,1),",",".")&amp;"L"&amp;SUBSTITUTE(ROUND((CX54)-7.5,1),",",".")&amp;" "&amp;SUBSTITUTE(ROUND(CY54,1),",",".")&amp;"Z' fill='#F5F5F5' stroke='#2A3439' stroke-width='1.3'/&gt;")))&amp;"&lt;text x='"&amp;SUBSTITUTE(ROUND(CX54+9,1),",",".")&amp;"' y='"&amp;SUBSTITUTE(ROUND(CY54-8,1),",",".")&amp;"'&gt;"&amp;DC54&amp;"&lt;/text&gt;","")</f>
        <v/>
      </c>
      <c r="DE54" s="58">
        <f>IF(CU54=1,IF(CZ54="Motriz","&lt;circle cx='"&amp;SUBSTITUTE(ROUND(728,1),",",".")&amp;"' cy='"&amp;SUBSTITUTE(ROUND(318.8,1),",",".")&amp;"' r='4.3' fill='#2A3439' stroke='#2A3439' stroke-width='1.3'/&gt;",IF(CZ54="Enlace","&lt;rect x='"&amp;SUBSTITUTE(ROUND((728)-3.96,1),",",".")&amp;"' y='"&amp;SUBSTITUTE(ROUND((318.8)-3.96,1),",",".")&amp;"' width='7.92' height='7.92' fill='#6699CC' stroke='#2A3439' stroke-width='1.3'/&gt;",IF(CZ54="Resultado","&lt;path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DL54" s="58" t="n">
        <v>3</v>
      </c>
      <c r="DM54" s="58">
        <f>IF(AND($DM$4=1,DL54&lt;=nVariables),IF('M6'!$I12="Resultado","E",IF('M6'!$I12="Enlace","L",IF('M6'!$I12="Motriz","R",IF('M6'!$I12="Autónoma","A","")))),"")</f>
        <v/>
      </c>
      <c r="DN54" s="58">
        <f>IF(DM54&lt;&gt;"",COUNTIF($DM$52:DM54,DM54),"")</f>
        <v/>
      </c>
      <c r="DO54" s="58">
        <f>IF(DM54&lt;&gt;"",SUBSTITUTE(SUBSTITUTE(SUBSTITUTE(SUBSTITUTE(SUBSTITUTE(SUBSTITUTE(SUBSTITUTE(TRIM(CLEAN(IF(LEN(3&amp;" · "&amp;$D42)&gt;30,LEFT(3&amp;" · "&amp;$D42,29)&amp;"…",3&amp;" · "&amp;$D42))),"&amp;","&amp;amp;"),"&lt;","&amp;lt;"),"&gt;","&amp;gt;"),CHAR(34),"&amp;quot;"),CHAR(10)," "),CHAR(9)," "),CHAR(13)," "),"")</f>
        <v/>
      </c>
      <c r="DP54" s="58">
        <f>IF(DM54&lt;&gt;"",IF($E42&lt;&gt;"",$E42,IF(DM54="E","(efecto · indicador de resultado)",IF(DM54="L","(causa directa · riesgo)",IF(DM54="R","CAUSA RAÍZ · componente del proyecto","(fuera del alcance)")))),"")</f>
        <v/>
      </c>
      <c r="DQ54" s="58">
        <f>IF(DM54&lt;&gt;"",IF(LEN(DP54)&gt;74,LEFT(DP54,73)&amp;"…",DP54),"")</f>
        <v/>
      </c>
      <c r="DR54" s="58">
        <f>IF(DM54&lt;&gt;"",IF(LEN(DQ54)&lt;=37,LEN(DQ54)+1,IFERROR(FIND("~",SUBSTITUTE(LEFT(DQ54,38)," ","~",LEN(LEFT(DQ54,38))-LEN(SUBSTITUTE(LEFT(DQ54,38)," ","")))),38)),"")</f>
        <v/>
      </c>
      <c r="DS54" s="58">
        <f>IF(DM54&lt;&gt;"",SUBSTITUTE(SUBSTITUTE(SUBSTITUTE(SUBSTITUTE(SUBSTITUTE(SUBSTITUTE(SUBSTITUTE(TRIM(CLEAN(TRIM(LEFT(DQ54,DR54-1)))),"&amp;","&amp;amp;"),"&lt;","&amp;lt;"),"&gt;","&amp;gt;"),CHAR(34),"&amp;quot;"),CHAR(10)," "),CHAR(9)," "),CHAR(13)," "),"")</f>
        <v/>
      </c>
      <c r="DT54" s="58">
        <f>IF(DM54&lt;&gt;"",SUBSTITUTE(SUBSTITUTE(SUBSTITUTE(SUBSTITUTE(SUBSTITUTE(SUBSTITUTE(SUBSTITUTE(TRIM(CLEAN(IF(LEN(TRIM(MID(DQ54,DR54,80)))&gt;37,LEFT(TRIM(MID(DQ54,DR54,80)),36)&amp;"…",TRIM(MID(DQ54,DR54,80))))),"&amp;","&amp;amp;"),"&lt;","&amp;lt;"),"&gt;","&amp;gt;"),CHAR(34),"&amp;quot;"),CHAR(10)," "),CHAR(9)," "),CHAR(13)," "),"")</f>
        <v/>
      </c>
      <c r="DU54" s="58">
        <f>IF(DM54&lt;&gt;"",(1200-(MIN(5,IF(DM54="E",$DM$5,IF(DM54="L",$DM$8,IF(DM54="R",$DM$11,$DM$14)))-INT((DN54-1)/5)*5)*216+(MIN(5,IF(DM54="E",$DM$5,IF(DM54="L",$DM$8,IF(DM54="R",$DM$11,$DM$14)))-INT((DN54-1)/5)*5)-1)*14))/2+MOD(DN54-1,5)*(216+14),"")</f>
        <v/>
      </c>
      <c r="DV54" s="58">
        <f>IF(DM54&lt;&gt;"",IF(DM54="E",$DM$17,IF(DM54="L",$DM$21,IF(DM54="R",$DM$23,$DM$25)))+24+INT((DN54-1)/5)*(64+12),"")</f>
        <v/>
      </c>
      <c r="DW54" s="58">
        <f>IF(DM54&lt;&gt;"","&lt;rect x='"&amp;SUBSTITUTE(ROUND(DU54,1),",",".")&amp;"' y='"&amp;SUBSTITUTE(ROUND(DV54,1),",",".")&amp;"' width='216' height='64' rx='9' fill='"&amp;IF(DM54="E","#B9D9EB",IF(DM54="L","#9EB9D4",IF(DM54="R","#6699CC","#F5F5F5")))&amp;"' stroke='#2A3439' stroke-width='1'"&amp;IF(DM54="A"," stroke-dasharray='5 3'","")&amp;"/&gt;"&amp;"&lt;text x='"&amp;SUBSTITUTE(ROUND((DU54+108),1),",",".")&amp;"' y='"&amp;SUBSTITUTE(ROUND(DV54+20,1),",",".")&amp;"' font-size='12' font-weight='bold'&gt;"&amp;DO54&amp;"&lt;/text&gt;"&amp;"&lt;text x='"&amp;SUBSTITUTE(ROUND((DU54+108),1),",",".")&amp;"' y='"&amp;SUBSTITUTE(ROUND(DV54+38,1),",",".")&amp;"' font-size='10'&gt;"&amp;DS54&amp;"&lt;/text&gt;"&amp;"&lt;text x='"&amp;SUBSTITUTE(ROUND((DU54+108),1),",",".")&amp;"' y='"&amp;SUBSTITUTE(ROUND(DV54+53,1),",",".")&amp;"' font-size='10'&gt;"&amp;DT54&amp;"&lt;/text&gt;","")</f>
        <v/>
      </c>
    </row>
    <row r="55">
      <c r="A55" s="58" t="n">
        <v>16</v>
      </c>
      <c r="B55" s="58">
        <f>IF($A55&lt;=nVariables,SUBSTITUTE(SUBSTITUTE(SUBSTITUTE(SUBSTITUTE(SUBSTITUTE(SUBSTITUTE(SUBSTITUTE(TRIM(CLEAN(IF(LEN(TRIM(M!$B25))&gt;46,LEFT(TRIM(M!$B25),45)&amp;"…",TRIM(M!$B25)))),"&amp;","&amp;amp;"),"&lt;","&amp;lt;"),"&gt;","&amp;gt;"),CHAR(34),"&amp;quot;"),CHAR(10)," "),CHAR(9)," "),CHAR(13)," "),"")</f>
        <v/>
      </c>
      <c r="C55" s="58">
        <f>IF($A55&lt;=nVariables,$A55&amp;". "&amp;B55,"")</f>
        <v/>
      </c>
      <c r="D55" s="58">
        <f>IF($A55&lt;=nVariables,IF(TRIM(M!$C25)&lt;&gt;"",TRIM(M!$C25),IF(LEN(TRIM(M!$B25))&gt;24,LEFT(TRIM(M!$B25),23)&amp;"…",TRIM(M!$B25))),"")</f>
        <v/>
      </c>
      <c r="E55" s="58">
        <f>IF($A55&lt;=nVariables,TRIM('Árbol de Problemas'!$F34),"")</f>
        <v/>
      </c>
      <c r="H55" s="58" t="n">
        <v>16</v>
      </c>
      <c r="I55" s="58">
        <f>IF(AND($I$4=1,H55&lt;=nVariables),1,0)</f>
        <v/>
      </c>
      <c r="J55" s="58">
        <f>IF(I55=1,'M1'!$F25,"")</f>
        <v/>
      </c>
      <c r="K55" s="58">
        <f>IF(I55=1,'M1'!$E25,"")</f>
        <v/>
      </c>
      <c r="L55" s="58">
        <f>IF(I55=1,90+J55*$I$22,"")</f>
        <v/>
      </c>
      <c r="M55" s="58">
        <f>IF(I55=1,574-K55*$I$23,"")</f>
        <v/>
      </c>
      <c r="N55" s="58">
        <f>IF(I55=1,'M1'!$I25,"")</f>
        <v/>
      </c>
      <c r="O55" s="58">
        <f>IF(I55=1,IF(N55="Motriz","#2A3439",IF(N55="Enlace","#6699CC",IF(N55="Resultado","#FFFFFF","#F5F5F5"))),"")</f>
        <v/>
      </c>
      <c r="P55" s="58">
        <f>IF(I55=1,IF(SUMPRODUCT((J$39:J54=J55)*(K$39:K54=K55))=0,1,0),0)</f>
        <v/>
      </c>
      <c r="Q55" s="58">
        <f>IF(P55=1,16&amp;IF(AND(J56=J55,K56=K55),","&amp;17,"")&amp;IF(AND(J57=J55,K57=K55),","&amp;18,"")&amp;IF(AND(J58=J55,K58=K55),","&amp;19,"")&amp;IF(AND(J59=J55,K59=K55),","&amp;20,"")&amp;IF(AND(J60=J55,K60=K55),","&amp;21,"")&amp;IF(AND(J61=J55,K61=K55),","&amp;22,"")&amp;IF(AND(J62=J55,K62=K55),","&amp;23,"")&amp;IF(AND(J63=J55,K63=K55),","&amp;24,"")&amp;IF(AND(J64=J55,K64=K55),","&amp;25,"")&amp;IF(AND(J65=J55,K65=K55),","&amp;26,"")&amp;IF(AND(J66=J55,K66=K55),","&amp;27,"")&amp;IF(AND(J67=J55,K67=K55),","&amp;28,"")&amp;IF(AND(J68=J55,K68=K55),","&amp;29,"")&amp;IF(AND(J69=J55,K69=K55),","&amp;30,"")&amp;IF(AND(J70=J55,K70=K55),","&amp;31,"")&amp;IF(AND(J71=J55,K71=K55),","&amp;32,"")&amp;IF(AND(J72=J55,K72=K55),","&amp;33,"")&amp;IF(AND(J73=J55,K73=K55),","&amp;34,"")&amp;IF(AND(J74=J55,K74=K55),","&amp;35,"")&amp;IF(AND(J75=J55,K75=K55),","&amp;36,"")&amp;IF(AND(J76=J55,K76=K55),","&amp;37,"")&amp;IF(AND(J77=J55,K77=K55),","&amp;38,"")&amp;IF(AND(J78=J55,K78=K55),","&amp;39,"")&amp;IF(AND(J79=J55,K79=K55),","&amp;40,""),"")</f>
        <v/>
      </c>
      <c r="R55" s="58">
        <f>IF(P55=1,IF(N55="Motriz","&lt;circle cx='"&amp;SUBSTITUTE(ROUND(L55,1),",",".")&amp;"' cy='"&amp;SUBSTITUTE(ROUND(M55,1),",",".")&amp;"' r='6' fill='#2A3439' stroke='#2A3439' stroke-width='1.3'/&gt;",IF(N55="Enlace","&lt;rect x='"&amp;SUBSTITUTE(ROUND((L55)-5.52,1),",",".")&amp;"' y='"&amp;SUBSTITUTE(ROUND((M55)-5.52,1),",",".")&amp;"' width='11.04' height='11.04' fill='#6699CC' stroke='#2A3439' stroke-width='1.3'/&gt;",IF(N55="Resultado","&lt;path d='M"&amp;SUBSTITUTE(ROUND(L55,1),",",".")&amp;" "&amp;SUBSTITUTE(ROUND((M55)-6.9,1),",",".")&amp;"L"&amp;SUBSTITUTE(ROUND((L55)+6.3,1),",",".")&amp;" "&amp;SUBSTITUTE(ROUND((M55)+5.1,1),",",".")&amp;"L"&amp;SUBSTITUTE(ROUND((L55)-6.3,1),",",".")&amp;" "&amp;SUBSTITUTE(ROUND((M55)+5.1,1),",",".")&amp;"Z' fill='#FFFFFF' stroke='#2A3439' stroke-width='1.3'/&gt;","&lt;path d='M"&amp;SUBSTITUTE(ROUND(L55,1),",",".")&amp;" "&amp;SUBSTITUTE(ROUND((M55)-7.5,1),",",".")&amp;"L"&amp;SUBSTITUTE(ROUND((L55)+7.5,1),",",".")&amp;" "&amp;SUBSTITUTE(ROUND(M55,1),",",".")&amp;"L"&amp;SUBSTITUTE(ROUND(L55,1),",",".")&amp;" "&amp;SUBSTITUTE(ROUND((M55)+7.5,1),",",".")&amp;"L"&amp;SUBSTITUTE(ROUND((L55)-7.5,1),",",".")&amp;" "&amp;SUBSTITUTE(ROUND(M55,1),",",".")&amp;"Z' fill='#F5F5F5' stroke='#2A3439' stroke-width='1.3'/&gt;")))&amp;"&lt;text x='"&amp;SUBSTITUTE(ROUND(L55+9,1),",",".")&amp;"' y='"&amp;SUBSTITUTE(ROUND(M55-8,1),",",".")&amp;"'&gt;"&amp;Q55&amp;"&lt;/text&gt;","")</f>
        <v/>
      </c>
      <c r="S55" s="58">
        <f>IF(I55=1,IF(N55="Motriz","&lt;circle cx='"&amp;SUBSTITUTE(ROUND(728,1),",",".")&amp;"' cy='"&amp;SUBSTITUTE(ROUND(333,1),",",".")&amp;"' r='4.3' fill='#2A3439' stroke='#2A3439' stroke-width='1.3'/&gt;",IF(N55="Enlace","&lt;rect x='"&amp;SUBSTITUTE(ROUND((728)-3.96,1),",",".")&amp;"' y='"&amp;SUBSTITUTE(ROUND((333)-3.96,1),",",".")&amp;"' width='7.92' height='7.92' fill='#6699CC' stroke='#2A3439' stroke-width='1.3'/&gt;",IF(N55="Resultado","&lt;path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Z55" s="58" t="n">
        <v>16</v>
      </c>
      <c r="AA55" s="58">
        <f>IF(AND($AA$4=1,Z55&lt;=nVariables),1,0)</f>
        <v/>
      </c>
      <c r="AB55" s="58">
        <f>IF(AA55=1,'M2'!$F25,"")</f>
        <v/>
      </c>
      <c r="AC55" s="58">
        <f>IF(AA55=1,'M2'!$E25,"")</f>
        <v/>
      </c>
      <c r="AD55" s="58">
        <f>IF(AA55=1,90+AB55*$AA$22,"")</f>
        <v/>
      </c>
      <c r="AE55" s="58">
        <f>IF(AA55=1,574-AC55*$AA$23,"")</f>
        <v/>
      </c>
      <c r="AF55" s="58">
        <f>IF(AA55=1,'M2'!$I25,"")</f>
        <v/>
      </c>
      <c r="AG55" s="58">
        <f>IF(AA55=1,IF(AF55="Motriz","#2A3439",IF(AF55="Enlace","#6699CC",IF(AF55="Resultado","#FFFFFF","#F5F5F5"))),"")</f>
        <v/>
      </c>
      <c r="AH55" s="58">
        <f>IF(AA55=1,IF(SUMPRODUCT((AB$39:AB54=AB55)*(AC$39:AC54=AC55))=0,1,0),0)</f>
        <v/>
      </c>
      <c r="AI55" s="58">
        <f>IF(AH55=1,16&amp;IF(AND(AB56=AB55,AC56=AC55),","&amp;17,"")&amp;IF(AND(AB57=AB55,AC57=AC55),","&amp;18,"")&amp;IF(AND(AB58=AB55,AC58=AC55),","&amp;19,"")&amp;IF(AND(AB59=AB55,AC59=AC55),","&amp;20,"")&amp;IF(AND(AB60=AB55,AC60=AC55),","&amp;21,"")&amp;IF(AND(AB61=AB55,AC61=AC55),","&amp;22,"")&amp;IF(AND(AB62=AB55,AC62=AC55),","&amp;23,"")&amp;IF(AND(AB63=AB55,AC63=AC55),","&amp;24,"")&amp;IF(AND(AB64=AB55,AC64=AC55),","&amp;25,"")&amp;IF(AND(AB65=AB55,AC65=AC55),","&amp;26,"")&amp;IF(AND(AB66=AB55,AC66=AC55),","&amp;27,"")&amp;IF(AND(AB67=AB55,AC67=AC55),","&amp;28,"")&amp;IF(AND(AB68=AB55,AC68=AC55),","&amp;29,"")&amp;IF(AND(AB69=AB55,AC69=AC55),","&amp;30,"")&amp;IF(AND(AB70=AB55,AC70=AC55),","&amp;31,"")&amp;IF(AND(AB71=AB55,AC71=AC55),","&amp;32,"")&amp;IF(AND(AB72=AB55,AC72=AC55),","&amp;33,"")&amp;IF(AND(AB73=AB55,AC73=AC55),","&amp;34,"")&amp;IF(AND(AB74=AB55,AC74=AC55),","&amp;35,"")&amp;IF(AND(AB75=AB55,AC75=AC55),","&amp;36,"")&amp;IF(AND(AB76=AB55,AC76=AC55),","&amp;37,"")&amp;IF(AND(AB77=AB55,AC77=AC55),","&amp;38,"")&amp;IF(AND(AB78=AB55,AC78=AC55),","&amp;39,"")&amp;IF(AND(AB79=AB55,AC79=AC55),","&amp;40,""),"")</f>
        <v/>
      </c>
      <c r="AJ55" s="58">
        <f>IF(AH55=1,IF(AF55="Motriz","&lt;circle cx='"&amp;SUBSTITUTE(ROUND(AD55,1),",",".")&amp;"' cy='"&amp;SUBSTITUTE(ROUND(AE55,1),",",".")&amp;"' r='6' fill='#2A3439' stroke='#2A3439' stroke-width='1.3'/&gt;",IF(AF55="Enlace","&lt;rect x='"&amp;SUBSTITUTE(ROUND((AD55)-5.52,1),",",".")&amp;"' y='"&amp;SUBSTITUTE(ROUND((AE55)-5.52,1),",",".")&amp;"' width='11.04' height='11.04' fill='#6699CC' stroke='#2A3439' stroke-width='1.3'/&gt;",IF(AF55="Resultado","&lt;path d='M"&amp;SUBSTITUTE(ROUND(AD55,1),",",".")&amp;" "&amp;SUBSTITUTE(ROUND((AE55)-6.9,1),",",".")&amp;"L"&amp;SUBSTITUTE(ROUND((AD55)+6.3,1),",",".")&amp;" "&amp;SUBSTITUTE(ROUND((AE55)+5.1,1),",",".")&amp;"L"&amp;SUBSTITUTE(ROUND((AD55)-6.3,1),",",".")&amp;" "&amp;SUBSTITUTE(ROUND((AE55)+5.1,1),",",".")&amp;"Z' fill='#FFFFFF' stroke='#2A3439' stroke-width='1.3'/&gt;","&lt;path d='M"&amp;SUBSTITUTE(ROUND(AD55,1),",",".")&amp;" "&amp;SUBSTITUTE(ROUND((AE55)-7.5,1),",",".")&amp;"L"&amp;SUBSTITUTE(ROUND((AD55)+7.5,1),",",".")&amp;" "&amp;SUBSTITUTE(ROUND(AE55,1),",",".")&amp;"L"&amp;SUBSTITUTE(ROUND(AD55,1),",",".")&amp;" "&amp;SUBSTITUTE(ROUND((AE55)+7.5,1),",",".")&amp;"L"&amp;SUBSTITUTE(ROUND((AD55)-7.5,1),",",".")&amp;" "&amp;SUBSTITUTE(ROUND(AE55,1),",",".")&amp;"Z' fill='#F5F5F5' stroke='#2A3439' stroke-width='1.3'/&gt;")))&amp;"&lt;text x='"&amp;SUBSTITUTE(ROUND(AD55+9,1),",",".")&amp;"' y='"&amp;SUBSTITUTE(ROUND(AE55-8,1),",",".")&amp;"'&gt;"&amp;AI55&amp;"&lt;/text&gt;","")</f>
        <v/>
      </c>
      <c r="AK55" s="58">
        <f>IF(AA55=1,IF(AF55="Motriz","&lt;circle cx='"&amp;SUBSTITUTE(ROUND(728,1),",",".")&amp;"' cy='"&amp;SUBSTITUTE(ROUND(333,1),",",".")&amp;"' r='4.3' fill='#2A3439' stroke='#2A3439' stroke-width='1.3'/&gt;",IF(AF55="Enlace","&lt;rect x='"&amp;SUBSTITUTE(ROUND((728)-3.96,1),",",".")&amp;"' y='"&amp;SUBSTITUTE(ROUND((333)-3.96,1),",",".")&amp;"' width='7.92' height='7.92' fill='#6699CC' stroke='#2A3439' stroke-width='1.3'/&gt;",IF(AF55="Resultado","&lt;path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AR55" s="58" t="n">
        <v>16</v>
      </c>
      <c r="AS55" s="58">
        <f>IF(AND($AS$4=1,AR55&lt;=nVariables),1,0)</f>
        <v/>
      </c>
      <c r="AT55" s="58">
        <f>IF(AS55=1,'M3'!$F25,"")</f>
        <v/>
      </c>
      <c r="AU55" s="58">
        <f>IF(AS55=1,'M3'!$E25,"")</f>
        <v/>
      </c>
      <c r="AV55" s="58">
        <f>IF(AS55=1,90+AT55*$AS$22,"")</f>
        <v/>
      </c>
      <c r="AW55" s="58">
        <f>IF(AS55=1,574-AU55*$AS$23,"")</f>
        <v/>
      </c>
      <c r="AX55" s="58">
        <f>IF(AS55=1,'M3'!$I25,"")</f>
        <v/>
      </c>
      <c r="AY55" s="58">
        <f>IF(AS55=1,IF(AX55="Motriz","#2A3439",IF(AX55="Enlace","#6699CC",IF(AX55="Resultado","#FFFFFF","#F5F5F5"))),"")</f>
        <v/>
      </c>
      <c r="AZ55" s="58">
        <f>IF(AS55=1,IF(SUMPRODUCT((AT$39:AT54=AT55)*(AU$39:AU54=AU55))=0,1,0),0)</f>
        <v/>
      </c>
      <c r="BA55" s="58">
        <f>IF(AZ55=1,16&amp;IF(AND(AT56=AT55,AU56=AU55),","&amp;17,"")&amp;IF(AND(AT57=AT55,AU57=AU55),","&amp;18,"")&amp;IF(AND(AT58=AT55,AU58=AU55),","&amp;19,"")&amp;IF(AND(AT59=AT55,AU59=AU55),","&amp;20,"")&amp;IF(AND(AT60=AT55,AU60=AU55),","&amp;21,"")&amp;IF(AND(AT61=AT55,AU61=AU55),","&amp;22,"")&amp;IF(AND(AT62=AT55,AU62=AU55),","&amp;23,"")&amp;IF(AND(AT63=AT55,AU63=AU55),","&amp;24,"")&amp;IF(AND(AT64=AT55,AU64=AU55),","&amp;25,"")&amp;IF(AND(AT65=AT55,AU65=AU55),","&amp;26,"")&amp;IF(AND(AT66=AT55,AU66=AU55),","&amp;27,"")&amp;IF(AND(AT67=AT55,AU67=AU55),","&amp;28,"")&amp;IF(AND(AT68=AT55,AU68=AU55),","&amp;29,"")&amp;IF(AND(AT69=AT55,AU69=AU55),","&amp;30,"")&amp;IF(AND(AT70=AT55,AU70=AU55),","&amp;31,"")&amp;IF(AND(AT71=AT55,AU71=AU55),","&amp;32,"")&amp;IF(AND(AT72=AT55,AU72=AU55),","&amp;33,"")&amp;IF(AND(AT73=AT55,AU73=AU55),","&amp;34,"")&amp;IF(AND(AT74=AT55,AU74=AU55),","&amp;35,"")&amp;IF(AND(AT75=AT55,AU75=AU55),","&amp;36,"")&amp;IF(AND(AT76=AT55,AU76=AU55),","&amp;37,"")&amp;IF(AND(AT77=AT55,AU77=AU55),","&amp;38,"")&amp;IF(AND(AT78=AT55,AU78=AU55),","&amp;39,"")&amp;IF(AND(AT79=AT55,AU79=AU55),","&amp;40,""),"")</f>
        <v/>
      </c>
      <c r="BB55" s="58">
        <f>IF(AZ55=1,IF(AX55="Motriz","&lt;circle cx='"&amp;SUBSTITUTE(ROUND(AV55,1),",",".")&amp;"' cy='"&amp;SUBSTITUTE(ROUND(AW55,1),",",".")&amp;"' r='6' fill='#2A3439' stroke='#2A3439' stroke-width='1.3'/&gt;",IF(AX55="Enlace","&lt;rect x='"&amp;SUBSTITUTE(ROUND((AV55)-5.52,1),",",".")&amp;"' y='"&amp;SUBSTITUTE(ROUND((AW55)-5.52,1),",",".")&amp;"' width='11.04' height='11.04' fill='#6699CC' stroke='#2A3439' stroke-width='1.3'/&gt;",IF(AX55="Resultado","&lt;path d='M"&amp;SUBSTITUTE(ROUND(AV55,1),",",".")&amp;" "&amp;SUBSTITUTE(ROUND((AW55)-6.9,1),",",".")&amp;"L"&amp;SUBSTITUTE(ROUND((AV55)+6.3,1),",",".")&amp;" "&amp;SUBSTITUTE(ROUND((AW55)+5.1,1),",",".")&amp;"L"&amp;SUBSTITUTE(ROUND((AV55)-6.3,1),",",".")&amp;" "&amp;SUBSTITUTE(ROUND((AW55)+5.1,1),",",".")&amp;"Z' fill='#FFFFFF' stroke='#2A3439' stroke-width='1.3'/&gt;","&lt;path d='M"&amp;SUBSTITUTE(ROUND(AV55,1),",",".")&amp;" "&amp;SUBSTITUTE(ROUND((AW55)-7.5,1),",",".")&amp;"L"&amp;SUBSTITUTE(ROUND((AV55)+7.5,1),",",".")&amp;" "&amp;SUBSTITUTE(ROUND(AW55,1),",",".")&amp;"L"&amp;SUBSTITUTE(ROUND(AV55,1),",",".")&amp;" "&amp;SUBSTITUTE(ROUND((AW55)+7.5,1),",",".")&amp;"L"&amp;SUBSTITUTE(ROUND((AV55)-7.5,1),",",".")&amp;" "&amp;SUBSTITUTE(ROUND(AW55,1),",",".")&amp;"Z' fill='#F5F5F5' stroke='#2A3439' stroke-width='1.3'/&gt;")))&amp;"&lt;text x='"&amp;SUBSTITUTE(ROUND(AV55+9,1),",",".")&amp;"' y='"&amp;SUBSTITUTE(ROUND(AW55-8,1),",",".")&amp;"'&gt;"&amp;BA55&amp;"&lt;/text&gt;","")</f>
        <v/>
      </c>
      <c r="BC55" s="58">
        <f>IF(AS55=1,IF(AX55="Motriz","&lt;circle cx='"&amp;SUBSTITUTE(ROUND(728,1),",",".")&amp;"' cy='"&amp;SUBSTITUTE(ROUND(333,1),",",".")&amp;"' r='4.3' fill='#2A3439' stroke='#2A3439' stroke-width='1.3'/&gt;",IF(AX55="Enlace","&lt;rect x='"&amp;SUBSTITUTE(ROUND((728)-3.96,1),",",".")&amp;"' y='"&amp;SUBSTITUTE(ROUND((333)-3.96,1),",",".")&amp;"' width='7.92' height='7.92' fill='#6699CC' stroke='#2A3439' stroke-width='1.3'/&gt;",IF(AX55="Resultado","&lt;path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BJ55" s="58" t="n">
        <v>16</v>
      </c>
      <c r="BK55" s="58">
        <f>IF(AND($BK$4=1,BJ55&lt;=nVariables),1,0)</f>
        <v/>
      </c>
      <c r="BL55" s="58">
        <f>IF(BK55=1,'M4'!$F25,"")</f>
        <v/>
      </c>
      <c r="BM55" s="58">
        <f>IF(BK55=1,'M4'!$E25,"")</f>
        <v/>
      </c>
      <c r="BN55" s="58">
        <f>IF(BK55=1,90+BL55*$BK$22,"")</f>
        <v/>
      </c>
      <c r="BO55" s="58">
        <f>IF(BK55=1,574-BM55*$BK$23,"")</f>
        <v/>
      </c>
      <c r="BP55" s="58">
        <f>IF(BK55=1,'M4'!$I25,"")</f>
        <v/>
      </c>
      <c r="BQ55" s="58">
        <f>IF(BK55=1,IF(BP55="Motriz","#2A3439",IF(BP55="Enlace","#6699CC",IF(BP55="Resultado","#FFFFFF","#F5F5F5"))),"")</f>
        <v/>
      </c>
      <c r="BR55" s="58">
        <f>IF(BK55=1,IF(SUMPRODUCT((BL$39:BL54=BL55)*(BM$39:BM54=BM55))=0,1,0),0)</f>
        <v/>
      </c>
      <c r="BS55" s="58">
        <f>IF(BR55=1,16&amp;IF(AND(BL56=BL55,BM56=BM55),","&amp;17,"")&amp;IF(AND(BL57=BL55,BM57=BM55),","&amp;18,"")&amp;IF(AND(BL58=BL55,BM58=BM55),","&amp;19,"")&amp;IF(AND(BL59=BL55,BM59=BM55),","&amp;20,"")&amp;IF(AND(BL60=BL55,BM60=BM55),","&amp;21,"")&amp;IF(AND(BL61=BL55,BM61=BM55),","&amp;22,"")&amp;IF(AND(BL62=BL55,BM62=BM55),","&amp;23,"")&amp;IF(AND(BL63=BL55,BM63=BM55),","&amp;24,"")&amp;IF(AND(BL64=BL55,BM64=BM55),","&amp;25,"")&amp;IF(AND(BL65=BL55,BM65=BM55),","&amp;26,"")&amp;IF(AND(BL66=BL55,BM66=BM55),","&amp;27,"")&amp;IF(AND(BL67=BL55,BM67=BM55),","&amp;28,"")&amp;IF(AND(BL68=BL55,BM68=BM55),","&amp;29,"")&amp;IF(AND(BL69=BL55,BM69=BM55),","&amp;30,"")&amp;IF(AND(BL70=BL55,BM70=BM55),","&amp;31,"")&amp;IF(AND(BL71=BL55,BM71=BM55),","&amp;32,"")&amp;IF(AND(BL72=BL55,BM72=BM55),","&amp;33,"")&amp;IF(AND(BL73=BL55,BM73=BM55),","&amp;34,"")&amp;IF(AND(BL74=BL55,BM74=BM55),","&amp;35,"")&amp;IF(AND(BL75=BL55,BM75=BM55),","&amp;36,"")&amp;IF(AND(BL76=BL55,BM76=BM55),","&amp;37,"")&amp;IF(AND(BL77=BL55,BM77=BM55),","&amp;38,"")&amp;IF(AND(BL78=BL55,BM78=BM55),","&amp;39,"")&amp;IF(AND(BL79=BL55,BM79=BM55),","&amp;40,""),"")</f>
        <v/>
      </c>
      <c r="BT55" s="58">
        <f>IF(BR55=1,IF(BP55="Motriz","&lt;circle cx='"&amp;SUBSTITUTE(ROUND(BN55,1),",",".")&amp;"' cy='"&amp;SUBSTITUTE(ROUND(BO55,1),",",".")&amp;"' r='6' fill='#2A3439' stroke='#2A3439' stroke-width='1.3'/&gt;",IF(BP55="Enlace","&lt;rect x='"&amp;SUBSTITUTE(ROUND((BN55)-5.52,1),",",".")&amp;"' y='"&amp;SUBSTITUTE(ROUND((BO55)-5.52,1),",",".")&amp;"' width='11.04' height='11.04' fill='#6699CC' stroke='#2A3439' stroke-width='1.3'/&gt;",IF(BP55="Resultado","&lt;path d='M"&amp;SUBSTITUTE(ROUND(BN55,1),",",".")&amp;" "&amp;SUBSTITUTE(ROUND((BO55)-6.9,1),",",".")&amp;"L"&amp;SUBSTITUTE(ROUND((BN55)+6.3,1),",",".")&amp;" "&amp;SUBSTITUTE(ROUND((BO55)+5.1,1),",",".")&amp;"L"&amp;SUBSTITUTE(ROUND((BN55)-6.3,1),",",".")&amp;" "&amp;SUBSTITUTE(ROUND((BO55)+5.1,1),",",".")&amp;"Z' fill='#FFFFFF' stroke='#2A3439' stroke-width='1.3'/&gt;","&lt;path d='M"&amp;SUBSTITUTE(ROUND(BN55,1),",",".")&amp;" "&amp;SUBSTITUTE(ROUND((BO55)-7.5,1),",",".")&amp;"L"&amp;SUBSTITUTE(ROUND((BN55)+7.5,1),",",".")&amp;" "&amp;SUBSTITUTE(ROUND(BO55,1),",",".")&amp;"L"&amp;SUBSTITUTE(ROUND(BN55,1),",",".")&amp;" "&amp;SUBSTITUTE(ROUND((BO55)+7.5,1),",",".")&amp;"L"&amp;SUBSTITUTE(ROUND((BN55)-7.5,1),",",".")&amp;" "&amp;SUBSTITUTE(ROUND(BO55,1),",",".")&amp;"Z' fill='#F5F5F5' stroke='#2A3439' stroke-width='1.3'/&gt;")))&amp;"&lt;text x='"&amp;SUBSTITUTE(ROUND(BN55+9,1),",",".")&amp;"' y='"&amp;SUBSTITUTE(ROUND(BO55-8,1),",",".")&amp;"'&gt;"&amp;BS55&amp;"&lt;/text&gt;","")</f>
        <v/>
      </c>
      <c r="BU55" s="58">
        <f>IF(BK55=1,IF(BP55="Motriz","&lt;circle cx='"&amp;SUBSTITUTE(ROUND(728,1),",",".")&amp;"' cy='"&amp;SUBSTITUTE(ROUND(333,1),",",".")&amp;"' r='4.3' fill='#2A3439' stroke='#2A3439' stroke-width='1.3'/&gt;",IF(BP55="Enlace","&lt;rect x='"&amp;SUBSTITUTE(ROUND((728)-3.96,1),",",".")&amp;"' y='"&amp;SUBSTITUTE(ROUND((333)-3.96,1),",",".")&amp;"' width='7.92' height='7.92' fill='#6699CC' stroke='#2A3439' stroke-width='1.3'/&gt;",IF(BP55="Resultado","&lt;path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CB55" s="58" t="n">
        <v>16</v>
      </c>
      <c r="CC55" s="58">
        <f>IF(AND($CC$4=1,CB55&lt;=nVariables),1,0)</f>
        <v/>
      </c>
      <c r="CD55" s="58">
        <f>IF(CC55=1,'M5'!$F25,"")</f>
        <v/>
      </c>
      <c r="CE55" s="58">
        <f>IF(CC55=1,'M5'!$E25,"")</f>
        <v/>
      </c>
      <c r="CF55" s="58">
        <f>IF(CC55=1,90+CD55*$CC$22,"")</f>
        <v/>
      </c>
      <c r="CG55" s="58">
        <f>IF(CC55=1,574-CE55*$CC$23,"")</f>
        <v/>
      </c>
      <c r="CH55" s="58">
        <f>IF(CC55=1,'M5'!$I25,"")</f>
        <v/>
      </c>
      <c r="CI55" s="58">
        <f>IF(CC55=1,IF(CH55="Motriz","#2A3439",IF(CH55="Enlace","#6699CC",IF(CH55="Resultado","#FFFFFF","#F5F5F5"))),"")</f>
        <v/>
      </c>
      <c r="CJ55" s="58">
        <f>IF(CC55=1,IF(SUMPRODUCT((CD$39:CD54=CD55)*(CE$39:CE54=CE55))=0,1,0),0)</f>
        <v/>
      </c>
      <c r="CK55" s="58">
        <f>IF(CJ55=1,16&amp;IF(AND(CD56=CD55,CE56=CE55),","&amp;17,"")&amp;IF(AND(CD57=CD55,CE57=CE55),","&amp;18,"")&amp;IF(AND(CD58=CD55,CE58=CE55),","&amp;19,"")&amp;IF(AND(CD59=CD55,CE59=CE55),","&amp;20,"")&amp;IF(AND(CD60=CD55,CE60=CE55),","&amp;21,"")&amp;IF(AND(CD61=CD55,CE61=CE55),","&amp;22,"")&amp;IF(AND(CD62=CD55,CE62=CE55),","&amp;23,"")&amp;IF(AND(CD63=CD55,CE63=CE55),","&amp;24,"")&amp;IF(AND(CD64=CD55,CE64=CE55),","&amp;25,"")&amp;IF(AND(CD65=CD55,CE65=CE55),","&amp;26,"")&amp;IF(AND(CD66=CD55,CE66=CE55),","&amp;27,"")&amp;IF(AND(CD67=CD55,CE67=CE55),","&amp;28,"")&amp;IF(AND(CD68=CD55,CE68=CE55),","&amp;29,"")&amp;IF(AND(CD69=CD55,CE69=CE55),","&amp;30,"")&amp;IF(AND(CD70=CD55,CE70=CE55),","&amp;31,"")&amp;IF(AND(CD71=CD55,CE71=CE55),","&amp;32,"")&amp;IF(AND(CD72=CD55,CE72=CE55),","&amp;33,"")&amp;IF(AND(CD73=CD55,CE73=CE55),","&amp;34,"")&amp;IF(AND(CD74=CD55,CE74=CE55),","&amp;35,"")&amp;IF(AND(CD75=CD55,CE75=CE55),","&amp;36,"")&amp;IF(AND(CD76=CD55,CE76=CE55),","&amp;37,"")&amp;IF(AND(CD77=CD55,CE77=CE55),","&amp;38,"")&amp;IF(AND(CD78=CD55,CE78=CE55),","&amp;39,"")&amp;IF(AND(CD79=CD55,CE79=CE55),","&amp;40,""),"")</f>
        <v/>
      </c>
      <c r="CL55" s="58">
        <f>IF(CJ55=1,IF(CH55="Motriz","&lt;circle cx='"&amp;SUBSTITUTE(ROUND(CF55,1),",",".")&amp;"' cy='"&amp;SUBSTITUTE(ROUND(CG55,1),",",".")&amp;"' r='6' fill='#2A3439' stroke='#2A3439' stroke-width='1.3'/&gt;",IF(CH55="Enlace","&lt;rect x='"&amp;SUBSTITUTE(ROUND((CF55)-5.52,1),",",".")&amp;"' y='"&amp;SUBSTITUTE(ROUND((CG55)-5.52,1),",",".")&amp;"' width='11.04' height='11.04' fill='#6699CC' stroke='#2A3439' stroke-width='1.3'/&gt;",IF(CH55="Resultado","&lt;path d='M"&amp;SUBSTITUTE(ROUND(CF55,1),",",".")&amp;" "&amp;SUBSTITUTE(ROUND((CG55)-6.9,1),",",".")&amp;"L"&amp;SUBSTITUTE(ROUND((CF55)+6.3,1),",",".")&amp;" "&amp;SUBSTITUTE(ROUND((CG55)+5.1,1),",",".")&amp;"L"&amp;SUBSTITUTE(ROUND((CF55)-6.3,1),",",".")&amp;" "&amp;SUBSTITUTE(ROUND((CG55)+5.1,1),",",".")&amp;"Z' fill='#FFFFFF' stroke='#2A3439' stroke-width='1.3'/&gt;","&lt;path d='M"&amp;SUBSTITUTE(ROUND(CF55,1),",",".")&amp;" "&amp;SUBSTITUTE(ROUND((CG55)-7.5,1),",",".")&amp;"L"&amp;SUBSTITUTE(ROUND((CF55)+7.5,1),",",".")&amp;" "&amp;SUBSTITUTE(ROUND(CG55,1),",",".")&amp;"L"&amp;SUBSTITUTE(ROUND(CF55,1),",",".")&amp;" "&amp;SUBSTITUTE(ROUND((CG55)+7.5,1),",",".")&amp;"L"&amp;SUBSTITUTE(ROUND((CF55)-7.5,1),",",".")&amp;" "&amp;SUBSTITUTE(ROUND(CG55,1),",",".")&amp;"Z' fill='#F5F5F5' stroke='#2A3439' stroke-width='1.3'/&gt;")))&amp;"&lt;text x='"&amp;SUBSTITUTE(ROUND(CF55+9,1),",",".")&amp;"' y='"&amp;SUBSTITUTE(ROUND(CG55-8,1),",",".")&amp;"'&gt;"&amp;CK55&amp;"&lt;/text&gt;","")</f>
        <v/>
      </c>
      <c r="CM55" s="58">
        <f>IF(CC55=1,IF(CH55="Motriz","&lt;circle cx='"&amp;SUBSTITUTE(ROUND(728,1),",",".")&amp;"' cy='"&amp;SUBSTITUTE(ROUND(333,1),",",".")&amp;"' r='4.3' fill='#2A3439' stroke='#2A3439' stroke-width='1.3'/&gt;",IF(CH55="Enlace","&lt;rect x='"&amp;SUBSTITUTE(ROUND((728)-3.96,1),",",".")&amp;"' y='"&amp;SUBSTITUTE(ROUND((333)-3.96,1),",",".")&amp;"' width='7.92' height='7.92' fill='#6699CC' stroke='#2A3439' stroke-width='1.3'/&gt;",IF(CH55="Resultado","&lt;path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CT55" s="58" t="n">
        <v>16</v>
      </c>
      <c r="CU55" s="58">
        <f>IF(AND($CU$4=1,CT55&lt;=nVariables),1,0)</f>
        <v/>
      </c>
      <c r="CV55" s="58">
        <f>IF(CU55=1,'M6'!$F25,"")</f>
        <v/>
      </c>
      <c r="CW55" s="58">
        <f>IF(CU55=1,'M6'!$E25,"")</f>
        <v/>
      </c>
      <c r="CX55" s="58">
        <f>IF(CU55=1,90+CV55*$CU$22,"")</f>
        <v/>
      </c>
      <c r="CY55" s="58">
        <f>IF(CU55=1,574-CW55*$CU$23,"")</f>
        <v/>
      </c>
      <c r="CZ55" s="58">
        <f>IF(CU55=1,'M6'!$I25,"")</f>
        <v/>
      </c>
      <c r="DA55" s="58">
        <f>IF(CU55=1,IF(CZ55="Motriz","#2A3439",IF(CZ55="Enlace","#6699CC",IF(CZ55="Resultado","#FFFFFF","#F5F5F5"))),"")</f>
        <v/>
      </c>
      <c r="DB55" s="58">
        <f>IF(CU55=1,IF(SUMPRODUCT((CV$39:CV54=CV55)*(CW$39:CW54=CW55))=0,1,0),0)</f>
        <v/>
      </c>
      <c r="DC55" s="58">
        <f>IF(DB55=1,16&amp;IF(AND(CV56=CV55,CW56=CW55),","&amp;17,"")&amp;IF(AND(CV57=CV55,CW57=CW55),","&amp;18,"")&amp;IF(AND(CV58=CV55,CW58=CW55),","&amp;19,"")&amp;IF(AND(CV59=CV55,CW59=CW55),","&amp;20,"")&amp;IF(AND(CV60=CV55,CW60=CW55),","&amp;21,"")&amp;IF(AND(CV61=CV55,CW61=CW55),","&amp;22,"")&amp;IF(AND(CV62=CV55,CW62=CW55),","&amp;23,"")&amp;IF(AND(CV63=CV55,CW63=CW55),","&amp;24,"")&amp;IF(AND(CV64=CV55,CW64=CW55),","&amp;25,"")&amp;IF(AND(CV65=CV55,CW65=CW55),","&amp;26,"")&amp;IF(AND(CV66=CV55,CW66=CW55),","&amp;27,"")&amp;IF(AND(CV67=CV55,CW67=CW55),","&amp;28,"")&amp;IF(AND(CV68=CV55,CW68=CW55),","&amp;29,"")&amp;IF(AND(CV69=CV55,CW69=CW55),","&amp;30,"")&amp;IF(AND(CV70=CV55,CW70=CW55),","&amp;31,"")&amp;IF(AND(CV71=CV55,CW71=CW55),","&amp;32,"")&amp;IF(AND(CV72=CV55,CW72=CW55),","&amp;33,"")&amp;IF(AND(CV73=CV55,CW73=CW55),","&amp;34,"")&amp;IF(AND(CV74=CV55,CW74=CW55),","&amp;35,"")&amp;IF(AND(CV75=CV55,CW75=CW55),","&amp;36,"")&amp;IF(AND(CV76=CV55,CW76=CW55),","&amp;37,"")&amp;IF(AND(CV77=CV55,CW77=CW55),","&amp;38,"")&amp;IF(AND(CV78=CV55,CW78=CW55),","&amp;39,"")&amp;IF(AND(CV79=CV55,CW79=CW55),","&amp;40,""),"")</f>
        <v/>
      </c>
      <c r="DD55" s="58">
        <f>IF(DB55=1,IF(CZ55="Motriz","&lt;circle cx='"&amp;SUBSTITUTE(ROUND(CX55,1),",",".")&amp;"' cy='"&amp;SUBSTITUTE(ROUND(CY55,1),",",".")&amp;"' r='6' fill='#2A3439' stroke='#2A3439' stroke-width='1.3'/&gt;",IF(CZ55="Enlace","&lt;rect x='"&amp;SUBSTITUTE(ROUND((CX55)-5.52,1),",",".")&amp;"' y='"&amp;SUBSTITUTE(ROUND((CY55)-5.52,1),",",".")&amp;"' width='11.04' height='11.04' fill='#6699CC' stroke='#2A3439' stroke-width='1.3'/&gt;",IF(CZ55="Resultado","&lt;path d='M"&amp;SUBSTITUTE(ROUND(CX55,1),",",".")&amp;" "&amp;SUBSTITUTE(ROUND((CY55)-6.9,1),",",".")&amp;"L"&amp;SUBSTITUTE(ROUND((CX55)+6.3,1),",",".")&amp;" "&amp;SUBSTITUTE(ROUND((CY55)+5.1,1),",",".")&amp;"L"&amp;SUBSTITUTE(ROUND((CX55)-6.3,1),",",".")&amp;" "&amp;SUBSTITUTE(ROUND((CY55)+5.1,1),",",".")&amp;"Z' fill='#FFFFFF' stroke='#2A3439' stroke-width='1.3'/&gt;","&lt;path d='M"&amp;SUBSTITUTE(ROUND(CX55,1),",",".")&amp;" "&amp;SUBSTITUTE(ROUND((CY55)-7.5,1),",",".")&amp;"L"&amp;SUBSTITUTE(ROUND((CX55)+7.5,1),",",".")&amp;" "&amp;SUBSTITUTE(ROUND(CY55,1),",",".")&amp;"L"&amp;SUBSTITUTE(ROUND(CX55,1),",",".")&amp;" "&amp;SUBSTITUTE(ROUND((CY55)+7.5,1),",",".")&amp;"L"&amp;SUBSTITUTE(ROUND((CX55)-7.5,1),",",".")&amp;" "&amp;SUBSTITUTE(ROUND(CY55,1),",",".")&amp;"Z' fill='#F5F5F5' stroke='#2A3439' stroke-width='1.3'/&gt;")))&amp;"&lt;text x='"&amp;SUBSTITUTE(ROUND(CX55+9,1),",",".")&amp;"' y='"&amp;SUBSTITUTE(ROUND(CY55-8,1),",",".")&amp;"'&gt;"&amp;DC55&amp;"&lt;/text&gt;","")</f>
        <v/>
      </c>
      <c r="DE55" s="58">
        <f>IF(CU55=1,IF(CZ55="Motriz","&lt;circle cx='"&amp;SUBSTITUTE(ROUND(728,1),",",".")&amp;"' cy='"&amp;SUBSTITUTE(ROUND(333,1),",",".")&amp;"' r='4.3' fill='#2A3439' stroke='#2A3439' stroke-width='1.3'/&gt;",IF(CZ55="Enlace","&lt;rect x='"&amp;SUBSTITUTE(ROUND((728)-3.96,1),",",".")&amp;"' y='"&amp;SUBSTITUTE(ROUND((333)-3.96,1),",",".")&amp;"' width='7.92' height='7.92' fill='#6699CC' stroke='#2A3439' stroke-width='1.3'/&gt;",IF(CZ55="Resultado","&lt;path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DL55" s="58" t="n">
        <v>4</v>
      </c>
      <c r="DM55" s="58">
        <f>IF(AND($DM$4=1,DL55&lt;=nVariables),IF('M6'!$I13="Resultado","E",IF('M6'!$I13="Enlace","L",IF('M6'!$I13="Motriz","R",IF('M6'!$I13="Autónoma","A","")))),"")</f>
        <v/>
      </c>
      <c r="DN55" s="58">
        <f>IF(DM55&lt;&gt;"",COUNTIF($DM$52:DM55,DM55),"")</f>
        <v/>
      </c>
      <c r="DO55" s="58">
        <f>IF(DM55&lt;&gt;"",SUBSTITUTE(SUBSTITUTE(SUBSTITUTE(SUBSTITUTE(SUBSTITUTE(SUBSTITUTE(SUBSTITUTE(TRIM(CLEAN(IF(LEN(4&amp;" · "&amp;$D43)&gt;30,LEFT(4&amp;" · "&amp;$D43,29)&amp;"…",4&amp;" · "&amp;$D43))),"&amp;","&amp;amp;"),"&lt;","&amp;lt;"),"&gt;","&amp;gt;"),CHAR(34),"&amp;quot;"),CHAR(10)," "),CHAR(9)," "),CHAR(13)," "),"")</f>
        <v/>
      </c>
      <c r="DP55" s="58">
        <f>IF(DM55&lt;&gt;"",IF($E43&lt;&gt;"",$E43,IF(DM55="E","(efecto · indicador de resultado)",IF(DM55="L","(causa directa · riesgo)",IF(DM55="R","CAUSA RAÍZ · componente del proyecto","(fuera del alcance)")))),"")</f>
        <v/>
      </c>
      <c r="DQ55" s="58">
        <f>IF(DM55&lt;&gt;"",IF(LEN(DP55)&gt;74,LEFT(DP55,73)&amp;"…",DP55),"")</f>
        <v/>
      </c>
      <c r="DR55" s="58">
        <f>IF(DM55&lt;&gt;"",IF(LEN(DQ55)&lt;=37,LEN(DQ55)+1,IFERROR(FIND("~",SUBSTITUTE(LEFT(DQ55,38)," ","~",LEN(LEFT(DQ55,38))-LEN(SUBSTITUTE(LEFT(DQ55,38)," ","")))),38)),"")</f>
        <v/>
      </c>
      <c r="DS55" s="58">
        <f>IF(DM55&lt;&gt;"",SUBSTITUTE(SUBSTITUTE(SUBSTITUTE(SUBSTITUTE(SUBSTITUTE(SUBSTITUTE(SUBSTITUTE(TRIM(CLEAN(TRIM(LEFT(DQ55,DR55-1)))),"&amp;","&amp;amp;"),"&lt;","&amp;lt;"),"&gt;","&amp;gt;"),CHAR(34),"&amp;quot;"),CHAR(10)," "),CHAR(9)," "),CHAR(13)," "),"")</f>
        <v/>
      </c>
      <c r="DT55" s="58">
        <f>IF(DM55&lt;&gt;"",SUBSTITUTE(SUBSTITUTE(SUBSTITUTE(SUBSTITUTE(SUBSTITUTE(SUBSTITUTE(SUBSTITUTE(TRIM(CLEAN(IF(LEN(TRIM(MID(DQ55,DR55,80)))&gt;37,LEFT(TRIM(MID(DQ55,DR55,80)),36)&amp;"…",TRIM(MID(DQ55,DR55,80))))),"&amp;","&amp;amp;"),"&lt;","&amp;lt;"),"&gt;","&amp;gt;"),CHAR(34),"&amp;quot;"),CHAR(10)," "),CHAR(9)," "),CHAR(13)," "),"")</f>
        <v/>
      </c>
      <c r="DU55" s="58">
        <f>IF(DM55&lt;&gt;"",(1200-(MIN(5,IF(DM55="E",$DM$5,IF(DM55="L",$DM$8,IF(DM55="R",$DM$11,$DM$14)))-INT((DN55-1)/5)*5)*216+(MIN(5,IF(DM55="E",$DM$5,IF(DM55="L",$DM$8,IF(DM55="R",$DM$11,$DM$14)))-INT((DN55-1)/5)*5)-1)*14))/2+MOD(DN55-1,5)*(216+14),"")</f>
        <v/>
      </c>
      <c r="DV55" s="58">
        <f>IF(DM55&lt;&gt;"",IF(DM55="E",$DM$17,IF(DM55="L",$DM$21,IF(DM55="R",$DM$23,$DM$25)))+24+INT((DN55-1)/5)*(64+12),"")</f>
        <v/>
      </c>
      <c r="DW55" s="58">
        <f>IF(DM55&lt;&gt;"","&lt;rect x='"&amp;SUBSTITUTE(ROUND(DU55,1),",",".")&amp;"' y='"&amp;SUBSTITUTE(ROUND(DV55,1),",",".")&amp;"' width='216' height='64' rx='9' fill='"&amp;IF(DM55="E","#B9D9EB",IF(DM55="L","#9EB9D4",IF(DM55="R","#6699CC","#F5F5F5")))&amp;"' stroke='#2A3439' stroke-width='1'"&amp;IF(DM55="A"," stroke-dasharray='5 3'","")&amp;"/&gt;"&amp;"&lt;text x='"&amp;SUBSTITUTE(ROUND((DU55+108),1),",",".")&amp;"' y='"&amp;SUBSTITUTE(ROUND(DV55+20,1),",",".")&amp;"' font-size='12' font-weight='bold'&gt;"&amp;DO55&amp;"&lt;/text&gt;"&amp;"&lt;text x='"&amp;SUBSTITUTE(ROUND((DU55+108),1),",",".")&amp;"' y='"&amp;SUBSTITUTE(ROUND(DV55+38,1),",",".")&amp;"' font-size='10'&gt;"&amp;DS55&amp;"&lt;/text&gt;"&amp;"&lt;text x='"&amp;SUBSTITUTE(ROUND((DU55+108),1),",",".")&amp;"' y='"&amp;SUBSTITUTE(ROUND(DV55+53,1),",",".")&amp;"' font-size='10'&gt;"&amp;DT55&amp;"&lt;/text&gt;","")</f>
        <v/>
      </c>
    </row>
    <row r="56">
      <c r="A56" s="58" t="n">
        <v>17</v>
      </c>
      <c r="B56" s="58">
        <f>IF($A56&lt;=nVariables,SUBSTITUTE(SUBSTITUTE(SUBSTITUTE(SUBSTITUTE(SUBSTITUTE(SUBSTITUTE(SUBSTITUTE(TRIM(CLEAN(IF(LEN(TRIM(M!$B26))&gt;46,LEFT(TRIM(M!$B26),45)&amp;"…",TRIM(M!$B26)))),"&amp;","&amp;amp;"),"&lt;","&amp;lt;"),"&gt;","&amp;gt;"),CHAR(34),"&amp;quot;"),CHAR(10)," "),CHAR(9)," "),CHAR(13)," "),"")</f>
        <v/>
      </c>
      <c r="C56" s="58">
        <f>IF($A56&lt;=nVariables,$A56&amp;". "&amp;B56,"")</f>
        <v/>
      </c>
      <c r="D56" s="58">
        <f>IF($A56&lt;=nVariables,IF(TRIM(M!$C26)&lt;&gt;"",TRIM(M!$C26),IF(LEN(TRIM(M!$B26))&gt;24,LEFT(TRIM(M!$B26),23)&amp;"…",TRIM(M!$B26))),"")</f>
        <v/>
      </c>
      <c r="E56" s="58">
        <f>IF($A56&lt;=nVariables,TRIM('Árbol de Problemas'!$F35),"")</f>
        <v/>
      </c>
      <c r="H56" s="58" t="n">
        <v>17</v>
      </c>
      <c r="I56" s="58">
        <f>IF(AND($I$4=1,H56&lt;=nVariables),1,0)</f>
        <v/>
      </c>
      <c r="J56" s="58">
        <f>IF(I56=1,'M1'!$F26,"")</f>
        <v/>
      </c>
      <c r="K56" s="58">
        <f>IF(I56=1,'M1'!$E26,"")</f>
        <v/>
      </c>
      <c r="L56" s="58">
        <f>IF(I56=1,90+J56*$I$22,"")</f>
        <v/>
      </c>
      <c r="M56" s="58">
        <f>IF(I56=1,574-K56*$I$23,"")</f>
        <v/>
      </c>
      <c r="N56" s="58">
        <f>IF(I56=1,'M1'!$I26,"")</f>
        <v/>
      </c>
      <c r="O56" s="58">
        <f>IF(I56=1,IF(N56="Motriz","#2A3439",IF(N56="Enlace","#6699CC",IF(N56="Resultado","#FFFFFF","#F5F5F5"))),"")</f>
        <v/>
      </c>
      <c r="P56" s="58">
        <f>IF(I56=1,IF(SUMPRODUCT((J$39:J55=J56)*(K$39:K55=K56))=0,1,0),0)</f>
        <v/>
      </c>
      <c r="Q56" s="58">
        <f>IF(P56=1,17&amp;IF(AND(J57=J56,K57=K56),","&amp;18,"")&amp;IF(AND(J58=J56,K58=K56),","&amp;19,"")&amp;IF(AND(J59=J56,K59=K56),","&amp;20,"")&amp;IF(AND(J60=J56,K60=K56),","&amp;21,"")&amp;IF(AND(J61=J56,K61=K56),","&amp;22,"")&amp;IF(AND(J62=J56,K62=K56),","&amp;23,"")&amp;IF(AND(J63=J56,K63=K56),","&amp;24,"")&amp;IF(AND(J64=J56,K64=K56),","&amp;25,"")&amp;IF(AND(J65=J56,K65=K56),","&amp;26,"")&amp;IF(AND(J66=J56,K66=K56),","&amp;27,"")&amp;IF(AND(J67=J56,K67=K56),","&amp;28,"")&amp;IF(AND(J68=J56,K68=K56),","&amp;29,"")&amp;IF(AND(J69=J56,K69=K56),","&amp;30,"")&amp;IF(AND(J70=J56,K70=K56),","&amp;31,"")&amp;IF(AND(J71=J56,K71=K56),","&amp;32,"")&amp;IF(AND(J72=J56,K72=K56),","&amp;33,"")&amp;IF(AND(J73=J56,K73=K56),","&amp;34,"")&amp;IF(AND(J74=J56,K74=K56),","&amp;35,"")&amp;IF(AND(J75=J56,K75=K56),","&amp;36,"")&amp;IF(AND(J76=J56,K76=K56),","&amp;37,"")&amp;IF(AND(J77=J56,K77=K56),","&amp;38,"")&amp;IF(AND(J78=J56,K78=K56),","&amp;39,"")&amp;IF(AND(J79=J56,K79=K56),","&amp;40,""),"")</f>
        <v/>
      </c>
      <c r="R56" s="58">
        <f>IF(P56=1,IF(N56="Motriz","&lt;circle cx='"&amp;SUBSTITUTE(ROUND(L56,1),",",".")&amp;"' cy='"&amp;SUBSTITUTE(ROUND(M56,1),",",".")&amp;"' r='6' fill='#2A3439' stroke='#2A3439' stroke-width='1.3'/&gt;",IF(N56="Enlace","&lt;rect x='"&amp;SUBSTITUTE(ROUND((L56)-5.52,1),",",".")&amp;"' y='"&amp;SUBSTITUTE(ROUND((M56)-5.52,1),",",".")&amp;"' width='11.04' height='11.04' fill='#6699CC' stroke='#2A3439' stroke-width='1.3'/&gt;",IF(N56="Resultado","&lt;path d='M"&amp;SUBSTITUTE(ROUND(L56,1),",",".")&amp;" "&amp;SUBSTITUTE(ROUND((M56)-6.9,1),",",".")&amp;"L"&amp;SUBSTITUTE(ROUND((L56)+6.3,1),",",".")&amp;" "&amp;SUBSTITUTE(ROUND((M56)+5.1,1),",",".")&amp;"L"&amp;SUBSTITUTE(ROUND((L56)-6.3,1),",",".")&amp;" "&amp;SUBSTITUTE(ROUND((M56)+5.1,1),",",".")&amp;"Z' fill='#FFFFFF' stroke='#2A3439' stroke-width='1.3'/&gt;","&lt;path d='M"&amp;SUBSTITUTE(ROUND(L56,1),",",".")&amp;" "&amp;SUBSTITUTE(ROUND((M56)-7.5,1),",",".")&amp;"L"&amp;SUBSTITUTE(ROUND((L56)+7.5,1),",",".")&amp;" "&amp;SUBSTITUTE(ROUND(M56,1),",",".")&amp;"L"&amp;SUBSTITUTE(ROUND(L56,1),",",".")&amp;" "&amp;SUBSTITUTE(ROUND((M56)+7.5,1),",",".")&amp;"L"&amp;SUBSTITUTE(ROUND((L56)-7.5,1),",",".")&amp;" "&amp;SUBSTITUTE(ROUND(M56,1),",",".")&amp;"Z' fill='#F5F5F5' stroke='#2A3439' stroke-width='1.3'/&gt;")))&amp;"&lt;text x='"&amp;SUBSTITUTE(ROUND(L56+9,1),",",".")&amp;"' y='"&amp;SUBSTITUTE(ROUND(M56-8,1),",",".")&amp;"'&gt;"&amp;Q56&amp;"&lt;/text&gt;","")</f>
        <v/>
      </c>
      <c r="S56" s="58">
        <f>IF(I56=1,IF(N56="Motriz","&lt;circle cx='"&amp;SUBSTITUTE(ROUND(728,1),",",".")&amp;"' cy='"&amp;SUBSTITUTE(ROUND(347.2,1),",",".")&amp;"' r='4.3' fill='#2A3439' stroke='#2A3439' stroke-width='1.3'/&gt;",IF(N56="Enlace","&lt;rect x='"&amp;SUBSTITUTE(ROUND((728)-3.96,1),",",".")&amp;"' y='"&amp;SUBSTITUTE(ROUND((347.2)-3.96,1),",",".")&amp;"' width='7.92' height='7.92' fill='#6699CC' stroke='#2A3439' stroke-width='1.3'/&gt;",IF(N56="Resultado","&lt;path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Z56" s="58" t="n">
        <v>17</v>
      </c>
      <c r="AA56" s="58">
        <f>IF(AND($AA$4=1,Z56&lt;=nVariables),1,0)</f>
        <v/>
      </c>
      <c r="AB56" s="58">
        <f>IF(AA56=1,'M2'!$F26,"")</f>
        <v/>
      </c>
      <c r="AC56" s="58">
        <f>IF(AA56=1,'M2'!$E26,"")</f>
        <v/>
      </c>
      <c r="AD56" s="58">
        <f>IF(AA56=1,90+AB56*$AA$22,"")</f>
        <v/>
      </c>
      <c r="AE56" s="58">
        <f>IF(AA56=1,574-AC56*$AA$23,"")</f>
        <v/>
      </c>
      <c r="AF56" s="58">
        <f>IF(AA56=1,'M2'!$I26,"")</f>
        <v/>
      </c>
      <c r="AG56" s="58">
        <f>IF(AA56=1,IF(AF56="Motriz","#2A3439",IF(AF56="Enlace","#6699CC",IF(AF56="Resultado","#FFFFFF","#F5F5F5"))),"")</f>
        <v/>
      </c>
      <c r="AH56" s="58">
        <f>IF(AA56=1,IF(SUMPRODUCT((AB$39:AB55=AB56)*(AC$39:AC55=AC56))=0,1,0),0)</f>
        <v/>
      </c>
      <c r="AI56" s="58">
        <f>IF(AH56=1,17&amp;IF(AND(AB57=AB56,AC57=AC56),","&amp;18,"")&amp;IF(AND(AB58=AB56,AC58=AC56),","&amp;19,"")&amp;IF(AND(AB59=AB56,AC59=AC56),","&amp;20,"")&amp;IF(AND(AB60=AB56,AC60=AC56),","&amp;21,"")&amp;IF(AND(AB61=AB56,AC61=AC56),","&amp;22,"")&amp;IF(AND(AB62=AB56,AC62=AC56),","&amp;23,"")&amp;IF(AND(AB63=AB56,AC63=AC56),","&amp;24,"")&amp;IF(AND(AB64=AB56,AC64=AC56),","&amp;25,"")&amp;IF(AND(AB65=AB56,AC65=AC56),","&amp;26,"")&amp;IF(AND(AB66=AB56,AC66=AC56),","&amp;27,"")&amp;IF(AND(AB67=AB56,AC67=AC56),","&amp;28,"")&amp;IF(AND(AB68=AB56,AC68=AC56),","&amp;29,"")&amp;IF(AND(AB69=AB56,AC69=AC56),","&amp;30,"")&amp;IF(AND(AB70=AB56,AC70=AC56),","&amp;31,"")&amp;IF(AND(AB71=AB56,AC71=AC56),","&amp;32,"")&amp;IF(AND(AB72=AB56,AC72=AC56),","&amp;33,"")&amp;IF(AND(AB73=AB56,AC73=AC56),","&amp;34,"")&amp;IF(AND(AB74=AB56,AC74=AC56),","&amp;35,"")&amp;IF(AND(AB75=AB56,AC75=AC56),","&amp;36,"")&amp;IF(AND(AB76=AB56,AC76=AC56),","&amp;37,"")&amp;IF(AND(AB77=AB56,AC77=AC56),","&amp;38,"")&amp;IF(AND(AB78=AB56,AC78=AC56),","&amp;39,"")&amp;IF(AND(AB79=AB56,AC79=AC56),","&amp;40,""),"")</f>
        <v/>
      </c>
      <c r="AJ56" s="58">
        <f>IF(AH56=1,IF(AF56="Motriz","&lt;circle cx='"&amp;SUBSTITUTE(ROUND(AD56,1),",",".")&amp;"' cy='"&amp;SUBSTITUTE(ROUND(AE56,1),",",".")&amp;"' r='6' fill='#2A3439' stroke='#2A3439' stroke-width='1.3'/&gt;",IF(AF56="Enlace","&lt;rect x='"&amp;SUBSTITUTE(ROUND((AD56)-5.52,1),",",".")&amp;"' y='"&amp;SUBSTITUTE(ROUND((AE56)-5.52,1),",",".")&amp;"' width='11.04' height='11.04' fill='#6699CC' stroke='#2A3439' stroke-width='1.3'/&gt;",IF(AF56="Resultado","&lt;path d='M"&amp;SUBSTITUTE(ROUND(AD56,1),",",".")&amp;" "&amp;SUBSTITUTE(ROUND((AE56)-6.9,1),",",".")&amp;"L"&amp;SUBSTITUTE(ROUND((AD56)+6.3,1),",",".")&amp;" "&amp;SUBSTITUTE(ROUND((AE56)+5.1,1),",",".")&amp;"L"&amp;SUBSTITUTE(ROUND((AD56)-6.3,1),",",".")&amp;" "&amp;SUBSTITUTE(ROUND((AE56)+5.1,1),",",".")&amp;"Z' fill='#FFFFFF' stroke='#2A3439' stroke-width='1.3'/&gt;","&lt;path d='M"&amp;SUBSTITUTE(ROUND(AD56,1),",",".")&amp;" "&amp;SUBSTITUTE(ROUND((AE56)-7.5,1),",",".")&amp;"L"&amp;SUBSTITUTE(ROUND((AD56)+7.5,1),",",".")&amp;" "&amp;SUBSTITUTE(ROUND(AE56,1),",",".")&amp;"L"&amp;SUBSTITUTE(ROUND(AD56,1),",",".")&amp;" "&amp;SUBSTITUTE(ROUND((AE56)+7.5,1),",",".")&amp;"L"&amp;SUBSTITUTE(ROUND((AD56)-7.5,1),",",".")&amp;" "&amp;SUBSTITUTE(ROUND(AE56,1),",",".")&amp;"Z' fill='#F5F5F5' stroke='#2A3439' stroke-width='1.3'/&gt;")))&amp;"&lt;text x='"&amp;SUBSTITUTE(ROUND(AD56+9,1),",",".")&amp;"' y='"&amp;SUBSTITUTE(ROUND(AE56-8,1),",",".")&amp;"'&gt;"&amp;AI56&amp;"&lt;/text&gt;","")</f>
        <v/>
      </c>
      <c r="AK56" s="58">
        <f>IF(AA56=1,IF(AF56="Motriz","&lt;circle cx='"&amp;SUBSTITUTE(ROUND(728,1),",",".")&amp;"' cy='"&amp;SUBSTITUTE(ROUND(347.2,1),",",".")&amp;"' r='4.3' fill='#2A3439' stroke='#2A3439' stroke-width='1.3'/&gt;",IF(AF56="Enlace","&lt;rect x='"&amp;SUBSTITUTE(ROUND((728)-3.96,1),",",".")&amp;"' y='"&amp;SUBSTITUTE(ROUND((347.2)-3.96,1),",",".")&amp;"' width='7.92' height='7.92' fill='#6699CC' stroke='#2A3439' stroke-width='1.3'/&gt;",IF(AF56="Resultado","&lt;path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AR56" s="58" t="n">
        <v>17</v>
      </c>
      <c r="AS56" s="58">
        <f>IF(AND($AS$4=1,AR56&lt;=nVariables),1,0)</f>
        <v/>
      </c>
      <c r="AT56" s="58">
        <f>IF(AS56=1,'M3'!$F26,"")</f>
        <v/>
      </c>
      <c r="AU56" s="58">
        <f>IF(AS56=1,'M3'!$E26,"")</f>
        <v/>
      </c>
      <c r="AV56" s="58">
        <f>IF(AS56=1,90+AT56*$AS$22,"")</f>
        <v/>
      </c>
      <c r="AW56" s="58">
        <f>IF(AS56=1,574-AU56*$AS$23,"")</f>
        <v/>
      </c>
      <c r="AX56" s="58">
        <f>IF(AS56=1,'M3'!$I26,"")</f>
        <v/>
      </c>
      <c r="AY56" s="58">
        <f>IF(AS56=1,IF(AX56="Motriz","#2A3439",IF(AX56="Enlace","#6699CC",IF(AX56="Resultado","#FFFFFF","#F5F5F5"))),"")</f>
        <v/>
      </c>
      <c r="AZ56" s="58">
        <f>IF(AS56=1,IF(SUMPRODUCT((AT$39:AT55=AT56)*(AU$39:AU55=AU56))=0,1,0),0)</f>
        <v/>
      </c>
      <c r="BA56" s="58">
        <f>IF(AZ56=1,17&amp;IF(AND(AT57=AT56,AU57=AU56),","&amp;18,"")&amp;IF(AND(AT58=AT56,AU58=AU56),","&amp;19,"")&amp;IF(AND(AT59=AT56,AU59=AU56),","&amp;20,"")&amp;IF(AND(AT60=AT56,AU60=AU56),","&amp;21,"")&amp;IF(AND(AT61=AT56,AU61=AU56),","&amp;22,"")&amp;IF(AND(AT62=AT56,AU62=AU56),","&amp;23,"")&amp;IF(AND(AT63=AT56,AU63=AU56),","&amp;24,"")&amp;IF(AND(AT64=AT56,AU64=AU56),","&amp;25,"")&amp;IF(AND(AT65=AT56,AU65=AU56),","&amp;26,"")&amp;IF(AND(AT66=AT56,AU66=AU56),","&amp;27,"")&amp;IF(AND(AT67=AT56,AU67=AU56),","&amp;28,"")&amp;IF(AND(AT68=AT56,AU68=AU56),","&amp;29,"")&amp;IF(AND(AT69=AT56,AU69=AU56),","&amp;30,"")&amp;IF(AND(AT70=AT56,AU70=AU56),","&amp;31,"")&amp;IF(AND(AT71=AT56,AU71=AU56),","&amp;32,"")&amp;IF(AND(AT72=AT56,AU72=AU56),","&amp;33,"")&amp;IF(AND(AT73=AT56,AU73=AU56),","&amp;34,"")&amp;IF(AND(AT74=AT56,AU74=AU56),","&amp;35,"")&amp;IF(AND(AT75=AT56,AU75=AU56),","&amp;36,"")&amp;IF(AND(AT76=AT56,AU76=AU56),","&amp;37,"")&amp;IF(AND(AT77=AT56,AU77=AU56),","&amp;38,"")&amp;IF(AND(AT78=AT56,AU78=AU56),","&amp;39,"")&amp;IF(AND(AT79=AT56,AU79=AU56),","&amp;40,""),"")</f>
        <v/>
      </c>
      <c r="BB56" s="58">
        <f>IF(AZ56=1,IF(AX56="Motriz","&lt;circle cx='"&amp;SUBSTITUTE(ROUND(AV56,1),",",".")&amp;"' cy='"&amp;SUBSTITUTE(ROUND(AW56,1),",",".")&amp;"' r='6' fill='#2A3439' stroke='#2A3439' stroke-width='1.3'/&gt;",IF(AX56="Enlace","&lt;rect x='"&amp;SUBSTITUTE(ROUND((AV56)-5.52,1),",",".")&amp;"' y='"&amp;SUBSTITUTE(ROUND((AW56)-5.52,1),",",".")&amp;"' width='11.04' height='11.04' fill='#6699CC' stroke='#2A3439' stroke-width='1.3'/&gt;",IF(AX56="Resultado","&lt;path d='M"&amp;SUBSTITUTE(ROUND(AV56,1),",",".")&amp;" "&amp;SUBSTITUTE(ROUND((AW56)-6.9,1),",",".")&amp;"L"&amp;SUBSTITUTE(ROUND((AV56)+6.3,1),",",".")&amp;" "&amp;SUBSTITUTE(ROUND((AW56)+5.1,1),",",".")&amp;"L"&amp;SUBSTITUTE(ROUND((AV56)-6.3,1),",",".")&amp;" "&amp;SUBSTITUTE(ROUND((AW56)+5.1,1),",",".")&amp;"Z' fill='#FFFFFF' stroke='#2A3439' stroke-width='1.3'/&gt;","&lt;path d='M"&amp;SUBSTITUTE(ROUND(AV56,1),",",".")&amp;" "&amp;SUBSTITUTE(ROUND((AW56)-7.5,1),",",".")&amp;"L"&amp;SUBSTITUTE(ROUND((AV56)+7.5,1),",",".")&amp;" "&amp;SUBSTITUTE(ROUND(AW56,1),",",".")&amp;"L"&amp;SUBSTITUTE(ROUND(AV56,1),",",".")&amp;" "&amp;SUBSTITUTE(ROUND((AW56)+7.5,1),",",".")&amp;"L"&amp;SUBSTITUTE(ROUND((AV56)-7.5,1),",",".")&amp;" "&amp;SUBSTITUTE(ROUND(AW56,1),",",".")&amp;"Z' fill='#F5F5F5' stroke='#2A3439' stroke-width='1.3'/&gt;")))&amp;"&lt;text x='"&amp;SUBSTITUTE(ROUND(AV56+9,1),",",".")&amp;"' y='"&amp;SUBSTITUTE(ROUND(AW56-8,1),",",".")&amp;"'&gt;"&amp;BA56&amp;"&lt;/text&gt;","")</f>
        <v/>
      </c>
      <c r="BC56" s="58">
        <f>IF(AS56=1,IF(AX56="Motriz","&lt;circle cx='"&amp;SUBSTITUTE(ROUND(728,1),",",".")&amp;"' cy='"&amp;SUBSTITUTE(ROUND(347.2,1),",",".")&amp;"' r='4.3' fill='#2A3439' stroke='#2A3439' stroke-width='1.3'/&gt;",IF(AX56="Enlace","&lt;rect x='"&amp;SUBSTITUTE(ROUND((728)-3.96,1),",",".")&amp;"' y='"&amp;SUBSTITUTE(ROUND((347.2)-3.96,1),",",".")&amp;"' width='7.92' height='7.92' fill='#6699CC' stroke='#2A3439' stroke-width='1.3'/&gt;",IF(AX56="Resultado","&lt;path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BJ56" s="58" t="n">
        <v>17</v>
      </c>
      <c r="BK56" s="58">
        <f>IF(AND($BK$4=1,BJ56&lt;=nVariables),1,0)</f>
        <v/>
      </c>
      <c r="BL56" s="58">
        <f>IF(BK56=1,'M4'!$F26,"")</f>
        <v/>
      </c>
      <c r="BM56" s="58">
        <f>IF(BK56=1,'M4'!$E26,"")</f>
        <v/>
      </c>
      <c r="BN56" s="58">
        <f>IF(BK56=1,90+BL56*$BK$22,"")</f>
        <v/>
      </c>
      <c r="BO56" s="58">
        <f>IF(BK56=1,574-BM56*$BK$23,"")</f>
        <v/>
      </c>
      <c r="BP56" s="58">
        <f>IF(BK56=1,'M4'!$I26,"")</f>
        <v/>
      </c>
      <c r="BQ56" s="58">
        <f>IF(BK56=1,IF(BP56="Motriz","#2A3439",IF(BP56="Enlace","#6699CC",IF(BP56="Resultado","#FFFFFF","#F5F5F5"))),"")</f>
        <v/>
      </c>
      <c r="BR56" s="58">
        <f>IF(BK56=1,IF(SUMPRODUCT((BL$39:BL55=BL56)*(BM$39:BM55=BM56))=0,1,0),0)</f>
        <v/>
      </c>
      <c r="BS56" s="58">
        <f>IF(BR56=1,17&amp;IF(AND(BL57=BL56,BM57=BM56),","&amp;18,"")&amp;IF(AND(BL58=BL56,BM58=BM56),","&amp;19,"")&amp;IF(AND(BL59=BL56,BM59=BM56),","&amp;20,"")&amp;IF(AND(BL60=BL56,BM60=BM56),","&amp;21,"")&amp;IF(AND(BL61=BL56,BM61=BM56),","&amp;22,"")&amp;IF(AND(BL62=BL56,BM62=BM56),","&amp;23,"")&amp;IF(AND(BL63=BL56,BM63=BM56),","&amp;24,"")&amp;IF(AND(BL64=BL56,BM64=BM56),","&amp;25,"")&amp;IF(AND(BL65=BL56,BM65=BM56),","&amp;26,"")&amp;IF(AND(BL66=BL56,BM66=BM56),","&amp;27,"")&amp;IF(AND(BL67=BL56,BM67=BM56),","&amp;28,"")&amp;IF(AND(BL68=BL56,BM68=BM56),","&amp;29,"")&amp;IF(AND(BL69=BL56,BM69=BM56),","&amp;30,"")&amp;IF(AND(BL70=BL56,BM70=BM56),","&amp;31,"")&amp;IF(AND(BL71=BL56,BM71=BM56),","&amp;32,"")&amp;IF(AND(BL72=BL56,BM72=BM56),","&amp;33,"")&amp;IF(AND(BL73=BL56,BM73=BM56),","&amp;34,"")&amp;IF(AND(BL74=BL56,BM74=BM56),","&amp;35,"")&amp;IF(AND(BL75=BL56,BM75=BM56),","&amp;36,"")&amp;IF(AND(BL76=BL56,BM76=BM56),","&amp;37,"")&amp;IF(AND(BL77=BL56,BM77=BM56),","&amp;38,"")&amp;IF(AND(BL78=BL56,BM78=BM56),","&amp;39,"")&amp;IF(AND(BL79=BL56,BM79=BM56),","&amp;40,""),"")</f>
        <v/>
      </c>
      <c r="BT56" s="58">
        <f>IF(BR56=1,IF(BP56="Motriz","&lt;circle cx='"&amp;SUBSTITUTE(ROUND(BN56,1),",",".")&amp;"' cy='"&amp;SUBSTITUTE(ROUND(BO56,1),",",".")&amp;"' r='6' fill='#2A3439' stroke='#2A3439' stroke-width='1.3'/&gt;",IF(BP56="Enlace","&lt;rect x='"&amp;SUBSTITUTE(ROUND((BN56)-5.52,1),",",".")&amp;"' y='"&amp;SUBSTITUTE(ROUND((BO56)-5.52,1),",",".")&amp;"' width='11.04' height='11.04' fill='#6699CC' stroke='#2A3439' stroke-width='1.3'/&gt;",IF(BP56="Resultado","&lt;path d='M"&amp;SUBSTITUTE(ROUND(BN56,1),",",".")&amp;" "&amp;SUBSTITUTE(ROUND((BO56)-6.9,1),",",".")&amp;"L"&amp;SUBSTITUTE(ROUND((BN56)+6.3,1),",",".")&amp;" "&amp;SUBSTITUTE(ROUND((BO56)+5.1,1),",",".")&amp;"L"&amp;SUBSTITUTE(ROUND((BN56)-6.3,1),",",".")&amp;" "&amp;SUBSTITUTE(ROUND((BO56)+5.1,1),",",".")&amp;"Z' fill='#FFFFFF' stroke='#2A3439' stroke-width='1.3'/&gt;","&lt;path d='M"&amp;SUBSTITUTE(ROUND(BN56,1),",",".")&amp;" "&amp;SUBSTITUTE(ROUND((BO56)-7.5,1),",",".")&amp;"L"&amp;SUBSTITUTE(ROUND((BN56)+7.5,1),",",".")&amp;" "&amp;SUBSTITUTE(ROUND(BO56,1),",",".")&amp;"L"&amp;SUBSTITUTE(ROUND(BN56,1),",",".")&amp;" "&amp;SUBSTITUTE(ROUND((BO56)+7.5,1),",",".")&amp;"L"&amp;SUBSTITUTE(ROUND((BN56)-7.5,1),",",".")&amp;" "&amp;SUBSTITUTE(ROUND(BO56,1),",",".")&amp;"Z' fill='#F5F5F5' stroke='#2A3439' stroke-width='1.3'/&gt;")))&amp;"&lt;text x='"&amp;SUBSTITUTE(ROUND(BN56+9,1),",",".")&amp;"' y='"&amp;SUBSTITUTE(ROUND(BO56-8,1),",",".")&amp;"'&gt;"&amp;BS56&amp;"&lt;/text&gt;","")</f>
        <v/>
      </c>
      <c r="BU56" s="58">
        <f>IF(BK56=1,IF(BP56="Motriz","&lt;circle cx='"&amp;SUBSTITUTE(ROUND(728,1),",",".")&amp;"' cy='"&amp;SUBSTITUTE(ROUND(347.2,1),",",".")&amp;"' r='4.3' fill='#2A3439' stroke='#2A3439' stroke-width='1.3'/&gt;",IF(BP56="Enlace","&lt;rect x='"&amp;SUBSTITUTE(ROUND((728)-3.96,1),",",".")&amp;"' y='"&amp;SUBSTITUTE(ROUND((347.2)-3.96,1),",",".")&amp;"' width='7.92' height='7.92' fill='#6699CC' stroke='#2A3439' stroke-width='1.3'/&gt;",IF(BP56="Resultado","&lt;path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CB56" s="58" t="n">
        <v>17</v>
      </c>
      <c r="CC56" s="58">
        <f>IF(AND($CC$4=1,CB56&lt;=nVariables),1,0)</f>
        <v/>
      </c>
      <c r="CD56" s="58">
        <f>IF(CC56=1,'M5'!$F26,"")</f>
        <v/>
      </c>
      <c r="CE56" s="58">
        <f>IF(CC56=1,'M5'!$E26,"")</f>
        <v/>
      </c>
      <c r="CF56" s="58">
        <f>IF(CC56=1,90+CD56*$CC$22,"")</f>
        <v/>
      </c>
      <c r="CG56" s="58">
        <f>IF(CC56=1,574-CE56*$CC$23,"")</f>
        <v/>
      </c>
      <c r="CH56" s="58">
        <f>IF(CC56=1,'M5'!$I26,"")</f>
        <v/>
      </c>
      <c r="CI56" s="58">
        <f>IF(CC56=1,IF(CH56="Motriz","#2A3439",IF(CH56="Enlace","#6699CC",IF(CH56="Resultado","#FFFFFF","#F5F5F5"))),"")</f>
        <v/>
      </c>
      <c r="CJ56" s="58">
        <f>IF(CC56=1,IF(SUMPRODUCT((CD$39:CD55=CD56)*(CE$39:CE55=CE56))=0,1,0),0)</f>
        <v/>
      </c>
      <c r="CK56" s="58">
        <f>IF(CJ56=1,17&amp;IF(AND(CD57=CD56,CE57=CE56),","&amp;18,"")&amp;IF(AND(CD58=CD56,CE58=CE56),","&amp;19,"")&amp;IF(AND(CD59=CD56,CE59=CE56),","&amp;20,"")&amp;IF(AND(CD60=CD56,CE60=CE56),","&amp;21,"")&amp;IF(AND(CD61=CD56,CE61=CE56),","&amp;22,"")&amp;IF(AND(CD62=CD56,CE62=CE56),","&amp;23,"")&amp;IF(AND(CD63=CD56,CE63=CE56),","&amp;24,"")&amp;IF(AND(CD64=CD56,CE64=CE56),","&amp;25,"")&amp;IF(AND(CD65=CD56,CE65=CE56),","&amp;26,"")&amp;IF(AND(CD66=CD56,CE66=CE56),","&amp;27,"")&amp;IF(AND(CD67=CD56,CE67=CE56),","&amp;28,"")&amp;IF(AND(CD68=CD56,CE68=CE56),","&amp;29,"")&amp;IF(AND(CD69=CD56,CE69=CE56),","&amp;30,"")&amp;IF(AND(CD70=CD56,CE70=CE56),","&amp;31,"")&amp;IF(AND(CD71=CD56,CE71=CE56),","&amp;32,"")&amp;IF(AND(CD72=CD56,CE72=CE56),","&amp;33,"")&amp;IF(AND(CD73=CD56,CE73=CE56),","&amp;34,"")&amp;IF(AND(CD74=CD56,CE74=CE56),","&amp;35,"")&amp;IF(AND(CD75=CD56,CE75=CE56),","&amp;36,"")&amp;IF(AND(CD76=CD56,CE76=CE56),","&amp;37,"")&amp;IF(AND(CD77=CD56,CE77=CE56),","&amp;38,"")&amp;IF(AND(CD78=CD56,CE78=CE56),","&amp;39,"")&amp;IF(AND(CD79=CD56,CE79=CE56),","&amp;40,""),"")</f>
        <v/>
      </c>
      <c r="CL56" s="58">
        <f>IF(CJ56=1,IF(CH56="Motriz","&lt;circle cx='"&amp;SUBSTITUTE(ROUND(CF56,1),",",".")&amp;"' cy='"&amp;SUBSTITUTE(ROUND(CG56,1),",",".")&amp;"' r='6' fill='#2A3439' stroke='#2A3439' stroke-width='1.3'/&gt;",IF(CH56="Enlace","&lt;rect x='"&amp;SUBSTITUTE(ROUND((CF56)-5.52,1),",",".")&amp;"' y='"&amp;SUBSTITUTE(ROUND((CG56)-5.52,1),",",".")&amp;"' width='11.04' height='11.04' fill='#6699CC' stroke='#2A3439' stroke-width='1.3'/&gt;",IF(CH56="Resultado","&lt;path d='M"&amp;SUBSTITUTE(ROUND(CF56,1),",",".")&amp;" "&amp;SUBSTITUTE(ROUND((CG56)-6.9,1),",",".")&amp;"L"&amp;SUBSTITUTE(ROUND((CF56)+6.3,1),",",".")&amp;" "&amp;SUBSTITUTE(ROUND((CG56)+5.1,1),",",".")&amp;"L"&amp;SUBSTITUTE(ROUND((CF56)-6.3,1),",",".")&amp;" "&amp;SUBSTITUTE(ROUND((CG56)+5.1,1),",",".")&amp;"Z' fill='#FFFFFF' stroke='#2A3439' stroke-width='1.3'/&gt;","&lt;path d='M"&amp;SUBSTITUTE(ROUND(CF56,1),",",".")&amp;" "&amp;SUBSTITUTE(ROUND((CG56)-7.5,1),",",".")&amp;"L"&amp;SUBSTITUTE(ROUND((CF56)+7.5,1),",",".")&amp;" "&amp;SUBSTITUTE(ROUND(CG56,1),",",".")&amp;"L"&amp;SUBSTITUTE(ROUND(CF56,1),",",".")&amp;" "&amp;SUBSTITUTE(ROUND((CG56)+7.5,1),",",".")&amp;"L"&amp;SUBSTITUTE(ROUND((CF56)-7.5,1),",",".")&amp;" "&amp;SUBSTITUTE(ROUND(CG56,1),",",".")&amp;"Z' fill='#F5F5F5' stroke='#2A3439' stroke-width='1.3'/&gt;")))&amp;"&lt;text x='"&amp;SUBSTITUTE(ROUND(CF56+9,1),",",".")&amp;"' y='"&amp;SUBSTITUTE(ROUND(CG56-8,1),",",".")&amp;"'&gt;"&amp;CK56&amp;"&lt;/text&gt;","")</f>
        <v/>
      </c>
      <c r="CM56" s="58">
        <f>IF(CC56=1,IF(CH56="Motriz","&lt;circle cx='"&amp;SUBSTITUTE(ROUND(728,1),",",".")&amp;"' cy='"&amp;SUBSTITUTE(ROUND(347.2,1),",",".")&amp;"' r='4.3' fill='#2A3439' stroke='#2A3439' stroke-width='1.3'/&gt;",IF(CH56="Enlace","&lt;rect x='"&amp;SUBSTITUTE(ROUND((728)-3.96,1),",",".")&amp;"' y='"&amp;SUBSTITUTE(ROUND((347.2)-3.96,1),",",".")&amp;"' width='7.92' height='7.92' fill='#6699CC' stroke='#2A3439' stroke-width='1.3'/&gt;",IF(CH56="Resultado","&lt;path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CT56" s="58" t="n">
        <v>17</v>
      </c>
      <c r="CU56" s="58">
        <f>IF(AND($CU$4=1,CT56&lt;=nVariables),1,0)</f>
        <v/>
      </c>
      <c r="CV56" s="58">
        <f>IF(CU56=1,'M6'!$F26,"")</f>
        <v/>
      </c>
      <c r="CW56" s="58">
        <f>IF(CU56=1,'M6'!$E26,"")</f>
        <v/>
      </c>
      <c r="CX56" s="58">
        <f>IF(CU56=1,90+CV56*$CU$22,"")</f>
        <v/>
      </c>
      <c r="CY56" s="58">
        <f>IF(CU56=1,574-CW56*$CU$23,"")</f>
        <v/>
      </c>
      <c r="CZ56" s="58">
        <f>IF(CU56=1,'M6'!$I26,"")</f>
        <v/>
      </c>
      <c r="DA56" s="58">
        <f>IF(CU56=1,IF(CZ56="Motriz","#2A3439",IF(CZ56="Enlace","#6699CC",IF(CZ56="Resultado","#FFFFFF","#F5F5F5"))),"")</f>
        <v/>
      </c>
      <c r="DB56" s="58">
        <f>IF(CU56=1,IF(SUMPRODUCT((CV$39:CV55=CV56)*(CW$39:CW55=CW56))=0,1,0),0)</f>
        <v/>
      </c>
      <c r="DC56" s="58">
        <f>IF(DB56=1,17&amp;IF(AND(CV57=CV56,CW57=CW56),","&amp;18,"")&amp;IF(AND(CV58=CV56,CW58=CW56),","&amp;19,"")&amp;IF(AND(CV59=CV56,CW59=CW56),","&amp;20,"")&amp;IF(AND(CV60=CV56,CW60=CW56),","&amp;21,"")&amp;IF(AND(CV61=CV56,CW61=CW56),","&amp;22,"")&amp;IF(AND(CV62=CV56,CW62=CW56),","&amp;23,"")&amp;IF(AND(CV63=CV56,CW63=CW56),","&amp;24,"")&amp;IF(AND(CV64=CV56,CW64=CW56),","&amp;25,"")&amp;IF(AND(CV65=CV56,CW65=CW56),","&amp;26,"")&amp;IF(AND(CV66=CV56,CW66=CW56),","&amp;27,"")&amp;IF(AND(CV67=CV56,CW67=CW56),","&amp;28,"")&amp;IF(AND(CV68=CV56,CW68=CW56),","&amp;29,"")&amp;IF(AND(CV69=CV56,CW69=CW56),","&amp;30,"")&amp;IF(AND(CV70=CV56,CW70=CW56),","&amp;31,"")&amp;IF(AND(CV71=CV56,CW71=CW56),","&amp;32,"")&amp;IF(AND(CV72=CV56,CW72=CW56),","&amp;33,"")&amp;IF(AND(CV73=CV56,CW73=CW56),","&amp;34,"")&amp;IF(AND(CV74=CV56,CW74=CW56),","&amp;35,"")&amp;IF(AND(CV75=CV56,CW75=CW56),","&amp;36,"")&amp;IF(AND(CV76=CV56,CW76=CW56),","&amp;37,"")&amp;IF(AND(CV77=CV56,CW77=CW56),","&amp;38,"")&amp;IF(AND(CV78=CV56,CW78=CW56),","&amp;39,"")&amp;IF(AND(CV79=CV56,CW79=CW56),","&amp;40,""),"")</f>
        <v/>
      </c>
      <c r="DD56" s="58">
        <f>IF(DB56=1,IF(CZ56="Motriz","&lt;circle cx='"&amp;SUBSTITUTE(ROUND(CX56,1),",",".")&amp;"' cy='"&amp;SUBSTITUTE(ROUND(CY56,1),",",".")&amp;"' r='6' fill='#2A3439' stroke='#2A3439' stroke-width='1.3'/&gt;",IF(CZ56="Enlace","&lt;rect x='"&amp;SUBSTITUTE(ROUND((CX56)-5.52,1),",",".")&amp;"' y='"&amp;SUBSTITUTE(ROUND((CY56)-5.52,1),",",".")&amp;"' width='11.04' height='11.04' fill='#6699CC' stroke='#2A3439' stroke-width='1.3'/&gt;",IF(CZ56="Resultado","&lt;path d='M"&amp;SUBSTITUTE(ROUND(CX56,1),",",".")&amp;" "&amp;SUBSTITUTE(ROUND((CY56)-6.9,1),",",".")&amp;"L"&amp;SUBSTITUTE(ROUND((CX56)+6.3,1),",",".")&amp;" "&amp;SUBSTITUTE(ROUND((CY56)+5.1,1),",",".")&amp;"L"&amp;SUBSTITUTE(ROUND((CX56)-6.3,1),",",".")&amp;" "&amp;SUBSTITUTE(ROUND((CY56)+5.1,1),",",".")&amp;"Z' fill='#FFFFFF' stroke='#2A3439' stroke-width='1.3'/&gt;","&lt;path d='M"&amp;SUBSTITUTE(ROUND(CX56,1),",",".")&amp;" "&amp;SUBSTITUTE(ROUND((CY56)-7.5,1),",",".")&amp;"L"&amp;SUBSTITUTE(ROUND((CX56)+7.5,1),",",".")&amp;" "&amp;SUBSTITUTE(ROUND(CY56,1),",",".")&amp;"L"&amp;SUBSTITUTE(ROUND(CX56,1),",",".")&amp;" "&amp;SUBSTITUTE(ROUND((CY56)+7.5,1),",",".")&amp;"L"&amp;SUBSTITUTE(ROUND((CX56)-7.5,1),",",".")&amp;" "&amp;SUBSTITUTE(ROUND(CY56,1),",",".")&amp;"Z' fill='#F5F5F5' stroke='#2A3439' stroke-width='1.3'/&gt;")))&amp;"&lt;text x='"&amp;SUBSTITUTE(ROUND(CX56+9,1),",",".")&amp;"' y='"&amp;SUBSTITUTE(ROUND(CY56-8,1),",",".")&amp;"'&gt;"&amp;DC56&amp;"&lt;/text&gt;","")</f>
        <v/>
      </c>
      <c r="DE56" s="58">
        <f>IF(CU56=1,IF(CZ56="Motriz","&lt;circle cx='"&amp;SUBSTITUTE(ROUND(728,1),",",".")&amp;"' cy='"&amp;SUBSTITUTE(ROUND(347.2,1),",",".")&amp;"' r='4.3' fill='#2A3439' stroke='#2A3439' stroke-width='1.3'/&gt;",IF(CZ56="Enlace","&lt;rect x='"&amp;SUBSTITUTE(ROUND((728)-3.96,1),",",".")&amp;"' y='"&amp;SUBSTITUTE(ROUND((347.2)-3.96,1),",",".")&amp;"' width='7.92' height='7.92' fill='#6699CC' stroke='#2A3439' stroke-width='1.3'/&gt;",IF(CZ56="Resultado","&lt;path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DL56" s="58" t="n">
        <v>5</v>
      </c>
      <c r="DM56" s="58">
        <f>IF(AND($DM$4=1,DL56&lt;=nVariables),IF('M6'!$I14="Resultado","E",IF('M6'!$I14="Enlace","L",IF('M6'!$I14="Motriz","R",IF('M6'!$I14="Autónoma","A","")))),"")</f>
        <v/>
      </c>
      <c r="DN56" s="58">
        <f>IF(DM56&lt;&gt;"",COUNTIF($DM$52:DM56,DM56),"")</f>
        <v/>
      </c>
      <c r="DO56" s="58">
        <f>IF(DM56&lt;&gt;"",SUBSTITUTE(SUBSTITUTE(SUBSTITUTE(SUBSTITUTE(SUBSTITUTE(SUBSTITUTE(SUBSTITUTE(TRIM(CLEAN(IF(LEN(5&amp;" · "&amp;$D44)&gt;30,LEFT(5&amp;" · "&amp;$D44,29)&amp;"…",5&amp;" · "&amp;$D44))),"&amp;","&amp;amp;"),"&lt;","&amp;lt;"),"&gt;","&amp;gt;"),CHAR(34),"&amp;quot;"),CHAR(10)," "),CHAR(9)," "),CHAR(13)," "),"")</f>
        <v/>
      </c>
      <c r="DP56" s="58">
        <f>IF(DM56&lt;&gt;"",IF($E44&lt;&gt;"",$E44,IF(DM56="E","(efecto · indicador de resultado)",IF(DM56="L","(causa directa · riesgo)",IF(DM56="R","CAUSA RAÍZ · componente del proyecto","(fuera del alcance)")))),"")</f>
        <v/>
      </c>
      <c r="DQ56" s="58">
        <f>IF(DM56&lt;&gt;"",IF(LEN(DP56)&gt;74,LEFT(DP56,73)&amp;"…",DP56),"")</f>
        <v/>
      </c>
      <c r="DR56" s="58">
        <f>IF(DM56&lt;&gt;"",IF(LEN(DQ56)&lt;=37,LEN(DQ56)+1,IFERROR(FIND("~",SUBSTITUTE(LEFT(DQ56,38)," ","~",LEN(LEFT(DQ56,38))-LEN(SUBSTITUTE(LEFT(DQ56,38)," ","")))),38)),"")</f>
        <v/>
      </c>
      <c r="DS56" s="58">
        <f>IF(DM56&lt;&gt;"",SUBSTITUTE(SUBSTITUTE(SUBSTITUTE(SUBSTITUTE(SUBSTITUTE(SUBSTITUTE(SUBSTITUTE(TRIM(CLEAN(TRIM(LEFT(DQ56,DR56-1)))),"&amp;","&amp;amp;"),"&lt;","&amp;lt;"),"&gt;","&amp;gt;"),CHAR(34),"&amp;quot;"),CHAR(10)," "),CHAR(9)," "),CHAR(13)," "),"")</f>
        <v/>
      </c>
      <c r="DT56" s="58">
        <f>IF(DM56&lt;&gt;"",SUBSTITUTE(SUBSTITUTE(SUBSTITUTE(SUBSTITUTE(SUBSTITUTE(SUBSTITUTE(SUBSTITUTE(TRIM(CLEAN(IF(LEN(TRIM(MID(DQ56,DR56,80)))&gt;37,LEFT(TRIM(MID(DQ56,DR56,80)),36)&amp;"…",TRIM(MID(DQ56,DR56,80))))),"&amp;","&amp;amp;"),"&lt;","&amp;lt;"),"&gt;","&amp;gt;"),CHAR(34),"&amp;quot;"),CHAR(10)," "),CHAR(9)," "),CHAR(13)," "),"")</f>
        <v/>
      </c>
      <c r="DU56" s="58">
        <f>IF(DM56&lt;&gt;"",(1200-(MIN(5,IF(DM56="E",$DM$5,IF(DM56="L",$DM$8,IF(DM56="R",$DM$11,$DM$14)))-INT((DN56-1)/5)*5)*216+(MIN(5,IF(DM56="E",$DM$5,IF(DM56="L",$DM$8,IF(DM56="R",$DM$11,$DM$14)))-INT((DN56-1)/5)*5)-1)*14))/2+MOD(DN56-1,5)*(216+14),"")</f>
        <v/>
      </c>
      <c r="DV56" s="58">
        <f>IF(DM56&lt;&gt;"",IF(DM56="E",$DM$17,IF(DM56="L",$DM$21,IF(DM56="R",$DM$23,$DM$25)))+24+INT((DN56-1)/5)*(64+12),"")</f>
        <v/>
      </c>
      <c r="DW56" s="58">
        <f>IF(DM56&lt;&gt;"","&lt;rect x='"&amp;SUBSTITUTE(ROUND(DU56,1),",",".")&amp;"' y='"&amp;SUBSTITUTE(ROUND(DV56,1),",",".")&amp;"' width='216' height='64' rx='9' fill='"&amp;IF(DM56="E","#B9D9EB",IF(DM56="L","#9EB9D4",IF(DM56="R","#6699CC","#F5F5F5")))&amp;"' stroke='#2A3439' stroke-width='1'"&amp;IF(DM56="A"," stroke-dasharray='5 3'","")&amp;"/&gt;"&amp;"&lt;text x='"&amp;SUBSTITUTE(ROUND((DU56+108),1),",",".")&amp;"' y='"&amp;SUBSTITUTE(ROUND(DV56+20,1),",",".")&amp;"' font-size='12' font-weight='bold'&gt;"&amp;DO56&amp;"&lt;/text&gt;"&amp;"&lt;text x='"&amp;SUBSTITUTE(ROUND((DU56+108),1),",",".")&amp;"' y='"&amp;SUBSTITUTE(ROUND(DV56+38,1),",",".")&amp;"' font-size='10'&gt;"&amp;DS56&amp;"&lt;/text&gt;"&amp;"&lt;text x='"&amp;SUBSTITUTE(ROUND((DU56+108),1),",",".")&amp;"' y='"&amp;SUBSTITUTE(ROUND(DV56+53,1),",",".")&amp;"' font-size='10'&gt;"&amp;DT56&amp;"&lt;/text&gt;","")</f>
        <v/>
      </c>
    </row>
    <row r="57">
      <c r="A57" s="58" t="n">
        <v>18</v>
      </c>
      <c r="B57" s="58">
        <f>IF($A57&lt;=nVariables,SUBSTITUTE(SUBSTITUTE(SUBSTITUTE(SUBSTITUTE(SUBSTITUTE(SUBSTITUTE(SUBSTITUTE(TRIM(CLEAN(IF(LEN(TRIM(M!$B27))&gt;46,LEFT(TRIM(M!$B27),45)&amp;"…",TRIM(M!$B27)))),"&amp;","&amp;amp;"),"&lt;","&amp;lt;"),"&gt;","&amp;gt;"),CHAR(34),"&amp;quot;"),CHAR(10)," "),CHAR(9)," "),CHAR(13)," "),"")</f>
        <v/>
      </c>
      <c r="C57" s="58">
        <f>IF($A57&lt;=nVariables,$A57&amp;". "&amp;B57,"")</f>
        <v/>
      </c>
      <c r="D57" s="58">
        <f>IF($A57&lt;=nVariables,IF(TRIM(M!$C27)&lt;&gt;"",TRIM(M!$C27),IF(LEN(TRIM(M!$B27))&gt;24,LEFT(TRIM(M!$B27),23)&amp;"…",TRIM(M!$B27))),"")</f>
        <v/>
      </c>
      <c r="E57" s="58">
        <f>IF($A57&lt;=nVariables,TRIM('Árbol de Problemas'!$F36),"")</f>
        <v/>
      </c>
      <c r="H57" s="58" t="n">
        <v>18</v>
      </c>
      <c r="I57" s="58">
        <f>IF(AND($I$4=1,H57&lt;=nVariables),1,0)</f>
        <v/>
      </c>
      <c r="J57" s="58">
        <f>IF(I57=1,'M1'!$F27,"")</f>
        <v/>
      </c>
      <c r="K57" s="58">
        <f>IF(I57=1,'M1'!$E27,"")</f>
        <v/>
      </c>
      <c r="L57" s="58">
        <f>IF(I57=1,90+J57*$I$22,"")</f>
        <v/>
      </c>
      <c r="M57" s="58">
        <f>IF(I57=1,574-K57*$I$23,"")</f>
        <v/>
      </c>
      <c r="N57" s="58">
        <f>IF(I57=1,'M1'!$I27,"")</f>
        <v/>
      </c>
      <c r="O57" s="58">
        <f>IF(I57=1,IF(N57="Motriz","#2A3439",IF(N57="Enlace","#6699CC",IF(N57="Resultado","#FFFFFF","#F5F5F5"))),"")</f>
        <v/>
      </c>
      <c r="P57" s="58">
        <f>IF(I57=1,IF(SUMPRODUCT((J$39:J56=J57)*(K$39:K56=K57))=0,1,0),0)</f>
        <v/>
      </c>
      <c r="Q57" s="58">
        <f>IF(P57=1,18&amp;IF(AND(J58=J57,K58=K57),","&amp;19,"")&amp;IF(AND(J59=J57,K59=K57),","&amp;20,"")&amp;IF(AND(J60=J57,K60=K57),","&amp;21,"")&amp;IF(AND(J61=J57,K61=K57),","&amp;22,"")&amp;IF(AND(J62=J57,K62=K57),","&amp;23,"")&amp;IF(AND(J63=J57,K63=K57),","&amp;24,"")&amp;IF(AND(J64=J57,K64=K57),","&amp;25,"")&amp;IF(AND(J65=J57,K65=K57),","&amp;26,"")&amp;IF(AND(J66=J57,K66=K57),","&amp;27,"")&amp;IF(AND(J67=J57,K67=K57),","&amp;28,"")&amp;IF(AND(J68=J57,K68=K57),","&amp;29,"")&amp;IF(AND(J69=J57,K69=K57),","&amp;30,"")&amp;IF(AND(J70=J57,K70=K57),","&amp;31,"")&amp;IF(AND(J71=J57,K71=K57),","&amp;32,"")&amp;IF(AND(J72=J57,K72=K57),","&amp;33,"")&amp;IF(AND(J73=J57,K73=K57),","&amp;34,"")&amp;IF(AND(J74=J57,K74=K57),","&amp;35,"")&amp;IF(AND(J75=J57,K75=K57),","&amp;36,"")&amp;IF(AND(J76=J57,K76=K57),","&amp;37,"")&amp;IF(AND(J77=J57,K77=K57),","&amp;38,"")&amp;IF(AND(J78=J57,K78=K57),","&amp;39,"")&amp;IF(AND(J79=J57,K79=K57),","&amp;40,""),"")</f>
        <v/>
      </c>
      <c r="R57" s="58">
        <f>IF(P57=1,IF(N57="Motriz","&lt;circle cx='"&amp;SUBSTITUTE(ROUND(L57,1),",",".")&amp;"' cy='"&amp;SUBSTITUTE(ROUND(M57,1),",",".")&amp;"' r='6' fill='#2A3439' stroke='#2A3439' stroke-width='1.3'/&gt;",IF(N57="Enlace","&lt;rect x='"&amp;SUBSTITUTE(ROUND((L57)-5.52,1),",",".")&amp;"' y='"&amp;SUBSTITUTE(ROUND((M57)-5.52,1),",",".")&amp;"' width='11.04' height='11.04' fill='#6699CC' stroke='#2A3439' stroke-width='1.3'/&gt;",IF(N57="Resultado","&lt;path d='M"&amp;SUBSTITUTE(ROUND(L57,1),",",".")&amp;" "&amp;SUBSTITUTE(ROUND((M57)-6.9,1),",",".")&amp;"L"&amp;SUBSTITUTE(ROUND((L57)+6.3,1),",",".")&amp;" "&amp;SUBSTITUTE(ROUND((M57)+5.1,1),",",".")&amp;"L"&amp;SUBSTITUTE(ROUND((L57)-6.3,1),",",".")&amp;" "&amp;SUBSTITUTE(ROUND((M57)+5.1,1),",",".")&amp;"Z' fill='#FFFFFF' stroke='#2A3439' stroke-width='1.3'/&gt;","&lt;path d='M"&amp;SUBSTITUTE(ROUND(L57,1),",",".")&amp;" "&amp;SUBSTITUTE(ROUND((M57)-7.5,1),",",".")&amp;"L"&amp;SUBSTITUTE(ROUND((L57)+7.5,1),",",".")&amp;" "&amp;SUBSTITUTE(ROUND(M57,1),",",".")&amp;"L"&amp;SUBSTITUTE(ROUND(L57,1),",",".")&amp;" "&amp;SUBSTITUTE(ROUND((M57)+7.5,1),",",".")&amp;"L"&amp;SUBSTITUTE(ROUND((L57)-7.5,1),",",".")&amp;" "&amp;SUBSTITUTE(ROUND(M57,1),",",".")&amp;"Z' fill='#F5F5F5' stroke='#2A3439' stroke-width='1.3'/&gt;")))&amp;"&lt;text x='"&amp;SUBSTITUTE(ROUND(L57+9,1),",",".")&amp;"' y='"&amp;SUBSTITUTE(ROUND(M57-8,1),",",".")&amp;"'&gt;"&amp;Q57&amp;"&lt;/text&gt;","")</f>
        <v/>
      </c>
      <c r="S57" s="58">
        <f>IF(I57=1,IF(N57="Motriz","&lt;circle cx='"&amp;SUBSTITUTE(ROUND(728,1),",",".")&amp;"' cy='"&amp;SUBSTITUTE(ROUND(361.4,1),",",".")&amp;"' r='4.3' fill='#2A3439' stroke='#2A3439' stroke-width='1.3'/&gt;",IF(N57="Enlace","&lt;rect x='"&amp;SUBSTITUTE(ROUND((728)-3.96,1),",",".")&amp;"' y='"&amp;SUBSTITUTE(ROUND((361.4)-3.96,1),",",".")&amp;"' width='7.92' height='7.92' fill='#6699CC' stroke='#2A3439' stroke-width='1.3'/&gt;",IF(N57="Resultado","&lt;path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Z57" s="58" t="n">
        <v>18</v>
      </c>
      <c r="AA57" s="58">
        <f>IF(AND($AA$4=1,Z57&lt;=nVariables),1,0)</f>
        <v/>
      </c>
      <c r="AB57" s="58">
        <f>IF(AA57=1,'M2'!$F27,"")</f>
        <v/>
      </c>
      <c r="AC57" s="58">
        <f>IF(AA57=1,'M2'!$E27,"")</f>
        <v/>
      </c>
      <c r="AD57" s="58">
        <f>IF(AA57=1,90+AB57*$AA$22,"")</f>
        <v/>
      </c>
      <c r="AE57" s="58">
        <f>IF(AA57=1,574-AC57*$AA$23,"")</f>
        <v/>
      </c>
      <c r="AF57" s="58">
        <f>IF(AA57=1,'M2'!$I27,"")</f>
        <v/>
      </c>
      <c r="AG57" s="58">
        <f>IF(AA57=1,IF(AF57="Motriz","#2A3439",IF(AF57="Enlace","#6699CC",IF(AF57="Resultado","#FFFFFF","#F5F5F5"))),"")</f>
        <v/>
      </c>
      <c r="AH57" s="58">
        <f>IF(AA57=1,IF(SUMPRODUCT((AB$39:AB56=AB57)*(AC$39:AC56=AC57))=0,1,0),0)</f>
        <v/>
      </c>
      <c r="AI57" s="58">
        <f>IF(AH57=1,18&amp;IF(AND(AB58=AB57,AC58=AC57),","&amp;19,"")&amp;IF(AND(AB59=AB57,AC59=AC57),","&amp;20,"")&amp;IF(AND(AB60=AB57,AC60=AC57),","&amp;21,"")&amp;IF(AND(AB61=AB57,AC61=AC57),","&amp;22,"")&amp;IF(AND(AB62=AB57,AC62=AC57),","&amp;23,"")&amp;IF(AND(AB63=AB57,AC63=AC57),","&amp;24,"")&amp;IF(AND(AB64=AB57,AC64=AC57),","&amp;25,"")&amp;IF(AND(AB65=AB57,AC65=AC57),","&amp;26,"")&amp;IF(AND(AB66=AB57,AC66=AC57),","&amp;27,"")&amp;IF(AND(AB67=AB57,AC67=AC57),","&amp;28,"")&amp;IF(AND(AB68=AB57,AC68=AC57),","&amp;29,"")&amp;IF(AND(AB69=AB57,AC69=AC57),","&amp;30,"")&amp;IF(AND(AB70=AB57,AC70=AC57),","&amp;31,"")&amp;IF(AND(AB71=AB57,AC71=AC57),","&amp;32,"")&amp;IF(AND(AB72=AB57,AC72=AC57),","&amp;33,"")&amp;IF(AND(AB73=AB57,AC73=AC57),","&amp;34,"")&amp;IF(AND(AB74=AB57,AC74=AC57),","&amp;35,"")&amp;IF(AND(AB75=AB57,AC75=AC57),","&amp;36,"")&amp;IF(AND(AB76=AB57,AC76=AC57),","&amp;37,"")&amp;IF(AND(AB77=AB57,AC77=AC57),","&amp;38,"")&amp;IF(AND(AB78=AB57,AC78=AC57),","&amp;39,"")&amp;IF(AND(AB79=AB57,AC79=AC57),","&amp;40,""),"")</f>
        <v/>
      </c>
      <c r="AJ57" s="58">
        <f>IF(AH57=1,IF(AF57="Motriz","&lt;circle cx='"&amp;SUBSTITUTE(ROUND(AD57,1),",",".")&amp;"' cy='"&amp;SUBSTITUTE(ROUND(AE57,1),",",".")&amp;"' r='6' fill='#2A3439' stroke='#2A3439' stroke-width='1.3'/&gt;",IF(AF57="Enlace","&lt;rect x='"&amp;SUBSTITUTE(ROUND((AD57)-5.52,1),",",".")&amp;"' y='"&amp;SUBSTITUTE(ROUND((AE57)-5.52,1),",",".")&amp;"' width='11.04' height='11.04' fill='#6699CC' stroke='#2A3439' stroke-width='1.3'/&gt;",IF(AF57="Resultado","&lt;path d='M"&amp;SUBSTITUTE(ROUND(AD57,1),",",".")&amp;" "&amp;SUBSTITUTE(ROUND((AE57)-6.9,1),",",".")&amp;"L"&amp;SUBSTITUTE(ROUND((AD57)+6.3,1),",",".")&amp;" "&amp;SUBSTITUTE(ROUND((AE57)+5.1,1),",",".")&amp;"L"&amp;SUBSTITUTE(ROUND((AD57)-6.3,1),",",".")&amp;" "&amp;SUBSTITUTE(ROUND((AE57)+5.1,1),",",".")&amp;"Z' fill='#FFFFFF' stroke='#2A3439' stroke-width='1.3'/&gt;","&lt;path d='M"&amp;SUBSTITUTE(ROUND(AD57,1),",",".")&amp;" "&amp;SUBSTITUTE(ROUND((AE57)-7.5,1),",",".")&amp;"L"&amp;SUBSTITUTE(ROUND((AD57)+7.5,1),",",".")&amp;" "&amp;SUBSTITUTE(ROUND(AE57,1),",",".")&amp;"L"&amp;SUBSTITUTE(ROUND(AD57,1),",",".")&amp;" "&amp;SUBSTITUTE(ROUND((AE57)+7.5,1),",",".")&amp;"L"&amp;SUBSTITUTE(ROUND((AD57)-7.5,1),",",".")&amp;" "&amp;SUBSTITUTE(ROUND(AE57,1),",",".")&amp;"Z' fill='#F5F5F5' stroke='#2A3439' stroke-width='1.3'/&gt;")))&amp;"&lt;text x='"&amp;SUBSTITUTE(ROUND(AD57+9,1),",",".")&amp;"' y='"&amp;SUBSTITUTE(ROUND(AE57-8,1),",",".")&amp;"'&gt;"&amp;AI57&amp;"&lt;/text&gt;","")</f>
        <v/>
      </c>
      <c r="AK57" s="58">
        <f>IF(AA57=1,IF(AF57="Motriz","&lt;circle cx='"&amp;SUBSTITUTE(ROUND(728,1),",",".")&amp;"' cy='"&amp;SUBSTITUTE(ROUND(361.4,1),",",".")&amp;"' r='4.3' fill='#2A3439' stroke='#2A3439' stroke-width='1.3'/&gt;",IF(AF57="Enlace","&lt;rect x='"&amp;SUBSTITUTE(ROUND((728)-3.96,1),",",".")&amp;"' y='"&amp;SUBSTITUTE(ROUND((361.4)-3.96,1),",",".")&amp;"' width='7.92' height='7.92' fill='#6699CC' stroke='#2A3439' stroke-width='1.3'/&gt;",IF(AF57="Resultado","&lt;path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AR57" s="58" t="n">
        <v>18</v>
      </c>
      <c r="AS57" s="58">
        <f>IF(AND($AS$4=1,AR57&lt;=nVariables),1,0)</f>
        <v/>
      </c>
      <c r="AT57" s="58">
        <f>IF(AS57=1,'M3'!$F27,"")</f>
        <v/>
      </c>
      <c r="AU57" s="58">
        <f>IF(AS57=1,'M3'!$E27,"")</f>
        <v/>
      </c>
      <c r="AV57" s="58">
        <f>IF(AS57=1,90+AT57*$AS$22,"")</f>
        <v/>
      </c>
      <c r="AW57" s="58">
        <f>IF(AS57=1,574-AU57*$AS$23,"")</f>
        <v/>
      </c>
      <c r="AX57" s="58">
        <f>IF(AS57=1,'M3'!$I27,"")</f>
        <v/>
      </c>
      <c r="AY57" s="58">
        <f>IF(AS57=1,IF(AX57="Motriz","#2A3439",IF(AX57="Enlace","#6699CC",IF(AX57="Resultado","#FFFFFF","#F5F5F5"))),"")</f>
        <v/>
      </c>
      <c r="AZ57" s="58">
        <f>IF(AS57=1,IF(SUMPRODUCT((AT$39:AT56=AT57)*(AU$39:AU56=AU57))=0,1,0),0)</f>
        <v/>
      </c>
      <c r="BA57" s="58">
        <f>IF(AZ57=1,18&amp;IF(AND(AT58=AT57,AU58=AU57),","&amp;19,"")&amp;IF(AND(AT59=AT57,AU59=AU57),","&amp;20,"")&amp;IF(AND(AT60=AT57,AU60=AU57),","&amp;21,"")&amp;IF(AND(AT61=AT57,AU61=AU57),","&amp;22,"")&amp;IF(AND(AT62=AT57,AU62=AU57),","&amp;23,"")&amp;IF(AND(AT63=AT57,AU63=AU57),","&amp;24,"")&amp;IF(AND(AT64=AT57,AU64=AU57),","&amp;25,"")&amp;IF(AND(AT65=AT57,AU65=AU57),","&amp;26,"")&amp;IF(AND(AT66=AT57,AU66=AU57),","&amp;27,"")&amp;IF(AND(AT67=AT57,AU67=AU57),","&amp;28,"")&amp;IF(AND(AT68=AT57,AU68=AU57),","&amp;29,"")&amp;IF(AND(AT69=AT57,AU69=AU57),","&amp;30,"")&amp;IF(AND(AT70=AT57,AU70=AU57),","&amp;31,"")&amp;IF(AND(AT71=AT57,AU71=AU57),","&amp;32,"")&amp;IF(AND(AT72=AT57,AU72=AU57),","&amp;33,"")&amp;IF(AND(AT73=AT57,AU73=AU57),","&amp;34,"")&amp;IF(AND(AT74=AT57,AU74=AU57),","&amp;35,"")&amp;IF(AND(AT75=AT57,AU75=AU57),","&amp;36,"")&amp;IF(AND(AT76=AT57,AU76=AU57),","&amp;37,"")&amp;IF(AND(AT77=AT57,AU77=AU57),","&amp;38,"")&amp;IF(AND(AT78=AT57,AU78=AU57),","&amp;39,"")&amp;IF(AND(AT79=AT57,AU79=AU57),","&amp;40,""),"")</f>
        <v/>
      </c>
      <c r="BB57" s="58">
        <f>IF(AZ57=1,IF(AX57="Motriz","&lt;circle cx='"&amp;SUBSTITUTE(ROUND(AV57,1),",",".")&amp;"' cy='"&amp;SUBSTITUTE(ROUND(AW57,1),",",".")&amp;"' r='6' fill='#2A3439' stroke='#2A3439' stroke-width='1.3'/&gt;",IF(AX57="Enlace","&lt;rect x='"&amp;SUBSTITUTE(ROUND((AV57)-5.52,1),",",".")&amp;"' y='"&amp;SUBSTITUTE(ROUND((AW57)-5.52,1),",",".")&amp;"' width='11.04' height='11.04' fill='#6699CC' stroke='#2A3439' stroke-width='1.3'/&gt;",IF(AX57="Resultado","&lt;path d='M"&amp;SUBSTITUTE(ROUND(AV57,1),",",".")&amp;" "&amp;SUBSTITUTE(ROUND((AW57)-6.9,1),",",".")&amp;"L"&amp;SUBSTITUTE(ROUND((AV57)+6.3,1),",",".")&amp;" "&amp;SUBSTITUTE(ROUND((AW57)+5.1,1),",",".")&amp;"L"&amp;SUBSTITUTE(ROUND((AV57)-6.3,1),",",".")&amp;" "&amp;SUBSTITUTE(ROUND((AW57)+5.1,1),",",".")&amp;"Z' fill='#FFFFFF' stroke='#2A3439' stroke-width='1.3'/&gt;","&lt;path d='M"&amp;SUBSTITUTE(ROUND(AV57,1),",",".")&amp;" "&amp;SUBSTITUTE(ROUND((AW57)-7.5,1),",",".")&amp;"L"&amp;SUBSTITUTE(ROUND((AV57)+7.5,1),",",".")&amp;" "&amp;SUBSTITUTE(ROUND(AW57,1),",",".")&amp;"L"&amp;SUBSTITUTE(ROUND(AV57,1),",",".")&amp;" "&amp;SUBSTITUTE(ROUND((AW57)+7.5,1),",",".")&amp;"L"&amp;SUBSTITUTE(ROUND((AV57)-7.5,1),",",".")&amp;" "&amp;SUBSTITUTE(ROUND(AW57,1),",",".")&amp;"Z' fill='#F5F5F5' stroke='#2A3439' stroke-width='1.3'/&gt;")))&amp;"&lt;text x='"&amp;SUBSTITUTE(ROUND(AV57+9,1),",",".")&amp;"' y='"&amp;SUBSTITUTE(ROUND(AW57-8,1),",",".")&amp;"'&gt;"&amp;BA57&amp;"&lt;/text&gt;","")</f>
        <v/>
      </c>
      <c r="BC57" s="58">
        <f>IF(AS57=1,IF(AX57="Motriz","&lt;circle cx='"&amp;SUBSTITUTE(ROUND(728,1),",",".")&amp;"' cy='"&amp;SUBSTITUTE(ROUND(361.4,1),",",".")&amp;"' r='4.3' fill='#2A3439' stroke='#2A3439' stroke-width='1.3'/&gt;",IF(AX57="Enlace","&lt;rect x='"&amp;SUBSTITUTE(ROUND((728)-3.96,1),",",".")&amp;"' y='"&amp;SUBSTITUTE(ROUND((361.4)-3.96,1),",",".")&amp;"' width='7.92' height='7.92' fill='#6699CC' stroke='#2A3439' stroke-width='1.3'/&gt;",IF(AX57="Resultado","&lt;path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BJ57" s="58" t="n">
        <v>18</v>
      </c>
      <c r="BK57" s="58">
        <f>IF(AND($BK$4=1,BJ57&lt;=nVariables),1,0)</f>
        <v/>
      </c>
      <c r="BL57" s="58">
        <f>IF(BK57=1,'M4'!$F27,"")</f>
        <v/>
      </c>
      <c r="BM57" s="58">
        <f>IF(BK57=1,'M4'!$E27,"")</f>
        <v/>
      </c>
      <c r="BN57" s="58">
        <f>IF(BK57=1,90+BL57*$BK$22,"")</f>
        <v/>
      </c>
      <c r="BO57" s="58">
        <f>IF(BK57=1,574-BM57*$BK$23,"")</f>
        <v/>
      </c>
      <c r="BP57" s="58">
        <f>IF(BK57=1,'M4'!$I27,"")</f>
        <v/>
      </c>
      <c r="BQ57" s="58">
        <f>IF(BK57=1,IF(BP57="Motriz","#2A3439",IF(BP57="Enlace","#6699CC",IF(BP57="Resultado","#FFFFFF","#F5F5F5"))),"")</f>
        <v/>
      </c>
      <c r="BR57" s="58">
        <f>IF(BK57=1,IF(SUMPRODUCT((BL$39:BL56=BL57)*(BM$39:BM56=BM57))=0,1,0),0)</f>
        <v/>
      </c>
      <c r="BS57" s="58">
        <f>IF(BR57=1,18&amp;IF(AND(BL58=BL57,BM58=BM57),","&amp;19,"")&amp;IF(AND(BL59=BL57,BM59=BM57),","&amp;20,"")&amp;IF(AND(BL60=BL57,BM60=BM57),","&amp;21,"")&amp;IF(AND(BL61=BL57,BM61=BM57),","&amp;22,"")&amp;IF(AND(BL62=BL57,BM62=BM57),","&amp;23,"")&amp;IF(AND(BL63=BL57,BM63=BM57),","&amp;24,"")&amp;IF(AND(BL64=BL57,BM64=BM57),","&amp;25,"")&amp;IF(AND(BL65=BL57,BM65=BM57),","&amp;26,"")&amp;IF(AND(BL66=BL57,BM66=BM57),","&amp;27,"")&amp;IF(AND(BL67=BL57,BM67=BM57),","&amp;28,"")&amp;IF(AND(BL68=BL57,BM68=BM57),","&amp;29,"")&amp;IF(AND(BL69=BL57,BM69=BM57),","&amp;30,"")&amp;IF(AND(BL70=BL57,BM70=BM57),","&amp;31,"")&amp;IF(AND(BL71=BL57,BM71=BM57),","&amp;32,"")&amp;IF(AND(BL72=BL57,BM72=BM57),","&amp;33,"")&amp;IF(AND(BL73=BL57,BM73=BM57),","&amp;34,"")&amp;IF(AND(BL74=BL57,BM74=BM57),","&amp;35,"")&amp;IF(AND(BL75=BL57,BM75=BM57),","&amp;36,"")&amp;IF(AND(BL76=BL57,BM76=BM57),","&amp;37,"")&amp;IF(AND(BL77=BL57,BM77=BM57),","&amp;38,"")&amp;IF(AND(BL78=BL57,BM78=BM57),","&amp;39,"")&amp;IF(AND(BL79=BL57,BM79=BM57),","&amp;40,""),"")</f>
        <v/>
      </c>
      <c r="BT57" s="58">
        <f>IF(BR57=1,IF(BP57="Motriz","&lt;circle cx='"&amp;SUBSTITUTE(ROUND(BN57,1),",",".")&amp;"' cy='"&amp;SUBSTITUTE(ROUND(BO57,1),",",".")&amp;"' r='6' fill='#2A3439' stroke='#2A3439' stroke-width='1.3'/&gt;",IF(BP57="Enlace","&lt;rect x='"&amp;SUBSTITUTE(ROUND((BN57)-5.52,1),",",".")&amp;"' y='"&amp;SUBSTITUTE(ROUND((BO57)-5.52,1),",",".")&amp;"' width='11.04' height='11.04' fill='#6699CC' stroke='#2A3439' stroke-width='1.3'/&gt;",IF(BP57="Resultado","&lt;path d='M"&amp;SUBSTITUTE(ROUND(BN57,1),",",".")&amp;" "&amp;SUBSTITUTE(ROUND((BO57)-6.9,1),",",".")&amp;"L"&amp;SUBSTITUTE(ROUND((BN57)+6.3,1),",",".")&amp;" "&amp;SUBSTITUTE(ROUND((BO57)+5.1,1),",",".")&amp;"L"&amp;SUBSTITUTE(ROUND((BN57)-6.3,1),",",".")&amp;" "&amp;SUBSTITUTE(ROUND((BO57)+5.1,1),",",".")&amp;"Z' fill='#FFFFFF' stroke='#2A3439' stroke-width='1.3'/&gt;","&lt;path d='M"&amp;SUBSTITUTE(ROUND(BN57,1),",",".")&amp;" "&amp;SUBSTITUTE(ROUND((BO57)-7.5,1),",",".")&amp;"L"&amp;SUBSTITUTE(ROUND((BN57)+7.5,1),",",".")&amp;" "&amp;SUBSTITUTE(ROUND(BO57,1),",",".")&amp;"L"&amp;SUBSTITUTE(ROUND(BN57,1),",",".")&amp;" "&amp;SUBSTITUTE(ROUND((BO57)+7.5,1),",",".")&amp;"L"&amp;SUBSTITUTE(ROUND((BN57)-7.5,1),",",".")&amp;" "&amp;SUBSTITUTE(ROUND(BO57,1),",",".")&amp;"Z' fill='#F5F5F5' stroke='#2A3439' stroke-width='1.3'/&gt;")))&amp;"&lt;text x='"&amp;SUBSTITUTE(ROUND(BN57+9,1),",",".")&amp;"' y='"&amp;SUBSTITUTE(ROUND(BO57-8,1),",",".")&amp;"'&gt;"&amp;BS57&amp;"&lt;/text&gt;","")</f>
        <v/>
      </c>
      <c r="BU57" s="58">
        <f>IF(BK57=1,IF(BP57="Motriz","&lt;circle cx='"&amp;SUBSTITUTE(ROUND(728,1),",",".")&amp;"' cy='"&amp;SUBSTITUTE(ROUND(361.4,1),",",".")&amp;"' r='4.3' fill='#2A3439' stroke='#2A3439' stroke-width='1.3'/&gt;",IF(BP57="Enlace","&lt;rect x='"&amp;SUBSTITUTE(ROUND((728)-3.96,1),",",".")&amp;"' y='"&amp;SUBSTITUTE(ROUND((361.4)-3.96,1),",",".")&amp;"' width='7.92' height='7.92' fill='#6699CC' stroke='#2A3439' stroke-width='1.3'/&gt;",IF(BP57="Resultado","&lt;path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CB57" s="58" t="n">
        <v>18</v>
      </c>
      <c r="CC57" s="58">
        <f>IF(AND($CC$4=1,CB57&lt;=nVariables),1,0)</f>
        <v/>
      </c>
      <c r="CD57" s="58">
        <f>IF(CC57=1,'M5'!$F27,"")</f>
        <v/>
      </c>
      <c r="CE57" s="58">
        <f>IF(CC57=1,'M5'!$E27,"")</f>
        <v/>
      </c>
      <c r="CF57" s="58">
        <f>IF(CC57=1,90+CD57*$CC$22,"")</f>
        <v/>
      </c>
      <c r="CG57" s="58">
        <f>IF(CC57=1,574-CE57*$CC$23,"")</f>
        <v/>
      </c>
      <c r="CH57" s="58">
        <f>IF(CC57=1,'M5'!$I27,"")</f>
        <v/>
      </c>
      <c r="CI57" s="58">
        <f>IF(CC57=1,IF(CH57="Motriz","#2A3439",IF(CH57="Enlace","#6699CC",IF(CH57="Resultado","#FFFFFF","#F5F5F5"))),"")</f>
        <v/>
      </c>
      <c r="CJ57" s="58">
        <f>IF(CC57=1,IF(SUMPRODUCT((CD$39:CD56=CD57)*(CE$39:CE56=CE57))=0,1,0),0)</f>
        <v/>
      </c>
      <c r="CK57" s="58">
        <f>IF(CJ57=1,18&amp;IF(AND(CD58=CD57,CE58=CE57),","&amp;19,"")&amp;IF(AND(CD59=CD57,CE59=CE57),","&amp;20,"")&amp;IF(AND(CD60=CD57,CE60=CE57),","&amp;21,"")&amp;IF(AND(CD61=CD57,CE61=CE57),","&amp;22,"")&amp;IF(AND(CD62=CD57,CE62=CE57),","&amp;23,"")&amp;IF(AND(CD63=CD57,CE63=CE57),","&amp;24,"")&amp;IF(AND(CD64=CD57,CE64=CE57),","&amp;25,"")&amp;IF(AND(CD65=CD57,CE65=CE57),","&amp;26,"")&amp;IF(AND(CD66=CD57,CE66=CE57),","&amp;27,"")&amp;IF(AND(CD67=CD57,CE67=CE57),","&amp;28,"")&amp;IF(AND(CD68=CD57,CE68=CE57),","&amp;29,"")&amp;IF(AND(CD69=CD57,CE69=CE57),","&amp;30,"")&amp;IF(AND(CD70=CD57,CE70=CE57),","&amp;31,"")&amp;IF(AND(CD71=CD57,CE71=CE57),","&amp;32,"")&amp;IF(AND(CD72=CD57,CE72=CE57),","&amp;33,"")&amp;IF(AND(CD73=CD57,CE73=CE57),","&amp;34,"")&amp;IF(AND(CD74=CD57,CE74=CE57),","&amp;35,"")&amp;IF(AND(CD75=CD57,CE75=CE57),","&amp;36,"")&amp;IF(AND(CD76=CD57,CE76=CE57),","&amp;37,"")&amp;IF(AND(CD77=CD57,CE77=CE57),","&amp;38,"")&amp;IF(AND(CD78=CD57,CE78=CE57),","&amp;39,"")&amp;IF(AND(CD79=CD57,CE79=CE57),","&amp;40,""),"")</f>
        <v/>
      </c>
      <c r="CL57" s="58">
        <f>IF(CJ57=1,IF(CH57="Motriz","&lt;circle cx='"&amp;SUBSTITUTE(ROUND(CF57,1),",",".")&amp;"' cy='"&amp;SUBSTITUTE(ROUND(CG57,1),",",".")&amp;"' r='6' fill='#2A3439' stroke='#2A3439' stroke-width='1.3'/&gt;",IF(CH57="Enlace","&lt;rect x='"&amp;SUBSTITUTE(ROUND((CF57)-5.52,1),",",".")&amp;"' y='"&amp;SUBSTITUTE(ROUND((CG57)-5.52,1),",",".")&amp;"' width='11.04' height='11.04' fill='#6699CC' stroke='#2A3439' stroke-width='1.3'/&gt;",IF(CH57="Resultado","&lt;path d='M"&amp;SUBSTITUTE(ROUND(CF57,1),",",".")&amp;" "&amp;SUBSTITUTE(ROUND((CG57)-6.9,1),",",".")&amp;"L"&amp;SUBSTITUTE(ROUND((CF57)+6.3,1),",",".")&amp;" "&amp;SUBSTITUTE(ROUND((CG57)+5.1,1),",",".")&amp;"L"&amp;SUBSTITUTE(ROUND((CF57)-6.3,1),",",".")&amp;" "&amp;SUBSTITUTE(ROUND((CG57)+5.1,1),",",".")&amp;"Z' fill='#FFFFFF' stroke='#2A3439' stroke-width='1.3'/&gt;","&lt;path d='M"&amp;SUBSTITUTE(ROUND(CF57,1),",",".")&amp;" "&amp;SUBSTITUTE(ROUND((CG57)-7.5,1),",",".")&amp;"L"&amp;SUBSTITUTE(ROUND((CF57)+7.5,1),",",".")&amp;" "&amp;SUBSTITUTE(ROUND(CG57,1),",",".")&amp;"L"&amp;SUBSTITUTE(ROUND(CF57,1),",",".")&amp;" "&amp;SUBSTITUTE(ROUND((CG57)+7.5,1),",",".")&amp;"L"&amp;SUBSTITUTE(ROUND((CF57)-7.5,1),",",".")&amp;" "&amp;SUBSTITUTE(ROUND(CG57,1),",",".")&amp;"Z' fill='#F5F5F5' stroke='#2A3439' stroke-width='1.3'/&gt;")))&amp;"&lt;text x='"&amp;SUBSTITUTE(ROUND(CF57+9,1),",",".")&amp;"' y='"&amp;SUBSTITUTE(ROUND(CG57-8,1),",",".")&amp;"'&gt;"&amp;CK57&amp;"&lt;/text&gt;","")</f>
        <v/>
      </c>
      <c r="CM57" s="58">
        <f>IF(CC57=1,IF(CH57="Motriz","&lt;circle cx='"&amp;SUBSTITUTE(ROUND(728,1),",",".")&amp;"' cy='"&amp;SUBSTITUTE(ROUND(361.4,1),",",".")&amp;"' r='4.3' fill='#2A3439' stroke='#2A3439' stroke-width='1.3'/&gt;",IF(CH57="Enlace","&lt;rect x='"&amp;SUBSTITUTE(ROUND((728)-3.96,1),",",".")&amp;"' y='"&amp;SUBSTITUTE(ROUND((361.4)-3.96,1),",",".")&amp;"' width='7.92' height='7.92' fill='#6699CC' stroke='#2A3439' stroke-width='1.3'/&gt;",IF(CH57="Resultado","&lt;path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CT57" s="58" t="n">
        <v>18</v>
      </c>
      <c r="CU57" s="58">
        <f>IF(AND($CU$4=1,CT57&lt;=nVariables),1,0)</f>
        <v/>
      </c>
      <c r="CV57" s="58">
        <f>IF(CU57=1,'M6'!$F27,"")</f>
        <v/>
      </c>
      <c r="CW57" s="58">
        <f>IF(CU57=1,'M6'!$E27,"")</f>
        <v/>
      </c>
      <c r="CX57" s="58">
        <f>IF(CU57=1,90+CV57*$CU$22,"")</f>
        <v/>
      </c>
      <c r="CY57" s="58">
        <f>IF(CU57=1,574-CW57*$CU$23,"")</f>
        <v/>
      </c>
      <c r="CZ57" s="58">
        <f>IF(CU57=1,'M6'!$I27,"")</f>
        <v/>
      </c>
      <c r="DA57" s="58">
        <f>IF(CU57=1,IF(CZ57="Motriz","#2A3439",IF(CZ57="Enlace","#6699CC",IF(CZ57="Resultado","#FFFFFF","#F5F5F5"))),"")</f>
        <v/>
      </c>
      <c r="DB57" s="58">
        <f>IF(CU57=1,IF(SUMPRODUCT((CV$39:CV56=CV57)*(CW$39:CW56=CW57))=0,1,0),0)</f>
        <v/>
      </c>
      <c r="DC57" s="58">
        <f>IF(DB57=1,18&amp;IF(AND(CV58=CV57,CW58=CW57),","&amp;19,"")&amp;IF(AND(CV59=CV57,CW59=CW57),","&amp;20,"")&amp;IF(AND(CV60=CV57,CW60=CW57),","&amp;21,"")&amp;IF(AND(CV61=CV57,CW61=CW57),","&amp;22,"")&amp;IF(AND(CV62=CV57,CW62=CW57),","&amp;23,"")&amp;IF(AND(CV63=CV57,CW63=CW57),","&amp;24,"")&amp;IF(AND(CV64=CV57,CW64=CW57),","&amp;25,"")&amp;IF(AND(CV65=CV57,CW65=CW57),","&amp;26,"")&amp;IF(AND(CV66=CV57,CW66=CW57),","&amp;27,"")&amp;IF(AND(CV67=CV57,CW67=CW57),","&amp;28,"")&amp;IF(AND(CV68=CV57,CW68=CW57),","&amp;29,"")&amp;IF(AND(CV69=CV57,CW69=CW57),","&amp;30,"")&amp;IF(AND(CV70=CV57,CW70=CW57),","&amp;31,"")&amp;IF(AND(CV71=CV57,CW71=CW57),","&amp;32,"")&amp;IF(AND(CV72=CV57,CW72=CW57),","&amp;33,"")&amp;IF(AND(CV73=CV57,CW73=CW57),","&amp;34,"")&amp;IF(AND(CV74=CV57,CW74=CW57),","&amp;35,"")&amp;IF(AND(CV75=CV57,CW75=CW57),","&amp;36,"")&amp;IF(AND(CV76=CV57,CW76=CW57),","&amp;37,"")&amp;IF(AND(CV77=CV57,CW77=CW57),","&amp;38,"")&amp;IF(AND(CV78=CV57,CW78=CW57),","&amp;39,"")&amp;IF(AND(CV79=CV57,CW79=CW57),","&amp;40,""),"")</f>
        <v/>
      </c>
      <c r="DD57" s="58">
        <f>IF(DB57=1,IF(CZ57="Motriz","&lt;circle cx='"&amp;SUBSTITUTE(ROUND(CX57,1),",",".")&amp;"' cy='"&amp;SUBSTITUTE(ROUND(CY57,1),",",".")&amp;"' r='6' fill='#2A3439' stroke='#2A3439' stroke-width='1.3'/&gt;",IF(CZ57="Enlace","&lt;rect x='"&amp;SUBSTITUTE(ROUND((CX57)-5.52,1),",",".")&amp;"' y='"&amp;SUBSTITUTE(ROUND((CY57)-5.52,1),",",".")&amp;"' width='11.04' height='11.04' fill='#6699CC' stroke='#2A3439' stroke-width='1.3'/&gt;",IF(CZ57="Resultado","&lt;path d='M"&amp;SUBSTITUTE(ROUND(CX57,1),",",".")&amp;" "&amp;SUBSTITUTE(ROUND((CY57)-6.9,1),",",".")&amp;"L"&amp;SUBSTITUTE(ROUND((CX57)+6.3,1),",",".")&amp;" "&amp;SUBSTITUTE(ROUND((CY57)+5.1,1),",",".")&amp;"L"&amp;SUBSTITUTE(ROUND((CX57)-6.3,1),",",".")&amp;" "&amp;SUBSTITUTE(ROUND((CY57)+5.1,1),",",".")&amp;"Z' fill='#FFFFFF' stroke='#2A3439' stroke-width='1.3'/&gt;","&lt;path d='M"&amp;SUBSTITUTE(ROUND(CX57,1),",",".")&amp;" "&amp;SUBSTITUTE(ROUND((CY57)-7.5,1),",",".")&amp;"L"&amp;SUBSTITUTE(ROUND((CX57)+7.5,1),",",".")&amp;" "&amp;SUBSTITUTE(ROUND(CY57,1),",",".")&amp;"L"&amp;SUBSTITUTE(ROUND(CX57,1),",",".")&amp;" "&amp;SUBSTITUTE(ROUND((CY57)+7.5,1),",",".")&amp;"L"&amp;SUBSTITUTE(ROUND((CX57)-7.5,1),",",".")&amp;" "&amp;SUBSTITUTE(ROUND(CY57,1),",",".")&amp;"Z' fill='#F5F5F5' stroke='#2A3439' stroke-width='1.3'/&gt;")))&amp;"&lt;text x='"&amp;SUBSTITUTE(ROUND(CX57+9,1),",",".")&amp;"' y='"&amp;SUBSTITUTE(ROUND(CY57-8,1),",",".")&amp;"'&gt;"&amp;DC57&amp;"&lt;/text&gt;","")</f>
        <v/>
      </c>
      <c r="DE57" s="58">
        <f>IF(CU57=1,IF(CZ57="Motriz","&lt;circle cx='"&amp;SUBSTITUTE(ROUND(728,1),",",".")&amp;"' cy='"&amp;SUBSTITUTE(ROUND(361.4,1),",",".")&amp;"' r='4.3' fill='#2A3439' stroke='#2A3439' stroke-width='1.3'/&gt;",IF(CZ57="Enlace","&lt;rect x='"&amp;SUBSTITUTE(ROUND((728)-3.96,1),",",".")&amp;"' y='"&amp;SUBSTITUTE(ROUND((361.4)-3.96,1),",",".")&amp;"' width='7.92' height='7.92' fill='#6699CC' stroke='#2A3439' stroke-width='1.3'/&gt;",IF(CZ57="Resultado","&lt;path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DL57" s="58" t="n">
        <v>6</v>
      </c>
      <c r="DM57" s="58">
        <f>IF(AND($DM$4=1,DL57&lt;=nVariables),IF('M6'!$I15="Resultado","E",IF('M6'!$I15="Enlace","L",IF('M6'!$I15="Motriz","R",IF('M6'!$I15="Autónoma","A","")))),"")</f>
        <v/>
      </c>
      <c r="DN57" s="58">
        <f>IF(DM57&lt;&gt;"",COUNTIF($DM$52:DM57,DM57),"")</f>
        <v/>
      </c>
      <c r="DO57" s="58">
        <f>IF(DM57&lt;&gt;"",SUBSTITUTE(SUBSTITUTE(SUBSTITUTE(SUBSTITUTE(SUBSTITUTE(SUBSTITUTE(SUBSTITUTE(TRIM(CLEAN(IF(LEN(6&amp;" · "&amp;$D45)&gt;30,LEFT(6&amp;" · "&amp;$D45,29)&amp;"…",6&amp;" · "&amp;$D45))),"&amp;","&amp;amp;"),"&lt;","&amp;lt;"),"&gt;","&amp;gt;"),CHAR(34),"&amp;quot;"),CHAR(10)," "),CHAR(9)," "),CHAR(13)," "),"")</f>
        <v/>
      </c>
      <c r="DP57" s="58">
        <f>IF(DM57&lt;&gt;"",IF($E45&lt;&gt;"",$E45,IF(DM57="E","(efecto · indicador de resultado)",IF(DM57="L","(causa directa · riesgo)",IF(DM57="R","CAUSA RAÍZ · componente del proyecto","(fuera del alcance)")))),"")</f>
        <v/>
      </c>
      <c r="DQ57" s="58">
        <f>IF(DM57&lt;&gt;"",IF(LEN(DP57)&gt;74,LEFT(DP57,73)&amp;"…",DP57),"")</f>
        <v/>
      </c>
      <c r="DR57" s="58">
        <f>IF(DM57&lt;&gt;"",IF(LEN(DQ57)&lt;=37,LEN(DQ57)+1,IFERROR(FIND("~",SUBSTITUTE(LEFT(DQ57,38)," ","~",LEN(LEFT(DQ57,38))-LEN(SUBSTITUTE(LEFT(DQ57,38)," ","")))),38)),"")</f>
        <v/>
      </c>
      <c r="DS57" s="58">
        <f>IF(DM57&lt;&gt;"",SUBSTITUTE(SUBSTITUTE(SUBSTITUTE(SUBSTITUTE(SUBSTITUTE(SUBSTITUTE(SUBSTITUTE(TRIM(CLEAN(TRIM(LEFT(DQ57,DR57-1)))),"&amp;","&amp;amp;"),"&lt;","&amp;lt;"),"&gt;","&amp;gt;"),CHAR(34),"&amp;quot;"),CHAR(10)," "),CHAR(9)," "),CHAR(13)," "),"")</f>
        <v/>
      </c>
      <c r="DT57" s="58">
        <f>IF(DM57&lt;&gt;"",SUBSTITUTE(SUBSTITUTE(SUBSTITUTE(SUBSTITUTE(SUBSTITUTE(SUBSTITUTE(SUBSTITUTE(TRIM(CLEAN(IF(LEN(TRIM(MID(DQ57,DR57,80)))&gt;37,LEFT(TRIM(MID(DQ57,DR57,80)),36)&amp;"…",TRIM(MID(DQ57,DR57,80))))),"&amp;","&amp;amp;"),"&lt;","&amp;lt;"),"&gt;","&amp;gt;"),CHAR(34),"&amp;quot;"),CHAR(10)," "),CHAR(9)," "),CHAR(13)," "),"")</f>
        <v/>
      </c>
      <c r="DU57" s="58">
        <f>IF(DM57&lt;&gt;"",(1200-(MIN(5,IF(DM57="E",$DM$5,IF(DM57="L",$DM$8,IF(DM57="R",$DM$11,$DM$14)))-INT((DN57-1)/5)*5)*216+(MIN(5,IF(DM57="E",$DM$5,IF(DM57="L",$DM$8,IF(DM57="R",$DM$11,$DM$14)))-INT((DN57-1)/5)*5)-1)*14))/2+MOD(DN57-1,5)*(216+14),"")</f>
        <v/>
      </c>
      <c r="DV57" s="58">
        <f>IF(DM57&lt;&gt;"",IF(DM57="E",$DM$17,IF(DM57="L",$DM$21,IF(DM57="R",$DM$23,$DM$25)))+24+INT((DN57-1)/5)*(64+12),"")</f>
        <v/>
      </c>
      <c r="DW57" s="58">
        <f>IF(DM57&lt;&gt;"","&lt;rect x='"&amp;SUBSTITUTE(ROUND(DU57,1),",",".")&amp;"' y='"&amp;SUBSTITUTE(ROUND(DV57,1),",",".")&amp;"' width='216' height='64' rx='9' fill='"&amp;IF(DM57="E","#B9D9EB",IF(DM57="L","#9EB9D4",IF(DM57="R","#6699CC","#F5F5F5")))&amp;"' stroke='#2A3439' stroke-width='1'"&amp;IF(DM57="A"," stroke-dasharray='5 3'","")&amp;"/&gt;"&amp;"&lt;text x='"&amp;SUBSTITUTE(ROUND((DU57+108),1),",",".")&amp;"' y='"&amp;SUBSTITUTE(ROUND(DV57+20,1),",",".")&amp;"' font-size='12' font-weight='bold'&gt;"&amp;DO57&amp;"&lt;/text&gt;"&amp;"&lt;text x='"&amp;SUBSTITUTE(ROUND((DU57+108),1),",",".")&amp;"' y='"&amp;SUBSTITUTE(ROUND(DV57+38,1),",",".")&amp;"' font-size='10'&gt;"&amp;DS57&amp;"&lt;/text&gt;"&amp;"&lt;text x='"&amp;SUBSTITUTE(ROUND((DU57+108),1),",",".")&amp;"' y='"&amp;SUBSTITUTE(ROUND(DV57+53,1),",",".")&amp;"' font-size='10'&gt;"&amp;DT57&amp;"&lt;/text&gt;","")</f>
        <v/>
      </c>
    </row>
    <row r="58">
      <c r="A58" s="58" t="n">
        <v>19</v>
      </c>
      <c r="B58" s="58">
        <f>IF($A58&lt;=nVariables,SUBSTITUTE(SUBSTITUTE(SUBSTITUTE(SUBSTITUTE(SUBSTITUTE(SUBSTITUTE(SUBSTITUTE(TRIM(CLEAN(IF(LEN(TRIM(M!$B28))&gt;46,LEFT(TRIM(M!$B28),45)&amp;"…",TRIM(M!$B28)))),"&amp;","&amp;amp;"),"&lt;","&amp;lt;"),"&gt;","&amp;gt;"),CHAR(34),"&amp;quot;"),CHAR(10)," "),CHAR(9)," "),CHAR(13)," "),"")</f>
        <v/>
      </c>
      <c r="C58" s="58">
        <f>IF($A58&lt;=nVariables,$A58&amp;". "&amp;B58,"")</f>
        <v/>
      </c>
      <c r="D58" s="58">
        <f>IF($A58&lt;=nVariables,IF(TRIM(M!$C28)&lt;&gt;"",TRIM(M!$C28),IF(LEN(TRIM(M!$B28))&gt;24,LEFT(TRIM(M!$B28),23)&amp;"…",TRIM(M!$B28))),"")</f>
        <v/>
      </c>
      <c r="E58" s="58">
        <f>IF($A58&lt;=nVariables,TRIM('Árbol de Problemas'!$F37),"")</f>
        <v/>
      </c>
      <c r="H58" s="58" t="n">
        <v>19</v>
      </c>
      <c r="I58" s="58">
        <f>IF(AND($I$4=1,H58&lt;=nVariables),1,0)</f>
        <v/>
      </c>
      <c r="J58" s="58">
        <f>IF(I58=1,'M1'!$F28,"")</f>
        <v/>
      </c>
      <c r="K58" s="58">
        <f>IF(I58=1,'M1'!$E28,"")</f>
        <v/>
      </c>
      <c r="L58" s="58">
        <f>IF(I58=1,90+J58*$I$22,"")</f>
        <v/>
      </c>
      <c r="M58" s="58">
        <f>IF(I58=1,574-K58*$I$23,"")</f>
        <v/>
      </c>
      <c r="N58" s="58">
        <f>IF(I58=1,'M1'!$I28,"")</f>
        <v/>
      </c>
      <c r="O58" s="58">
        <f>IF(I58=1,IF(N58="Motriz","#2A3439",IF(N58="Enlace","#6699CC",IF(N58="Resultado","#FFFFFF","#F5F5F5"))),"")</f>
        <v/>
      </c>
      <c r="P58" s="58">
        <f>IF(I58=1,IF(SUMPRODUCT((J$39:J57=J58)*(K$39:K57=K58))=0,1,0),0)</f>
        <v/>
      </c>
      <c r="Q58" s="58">
        <f>IF(P58=1,19&amp;IF(AND(J59=J58,K59=K58),","&amp;20,"")&amp;IF(AND(J60=J58,K60=K58),","&amp;21,"")&amp;IF(AND(J61=J58,K61=K58),","&amp;22,"")&amp;IF(AND(J62=J58,K62=K58),","&amp;23,"")&amp;IF(AND(J63=J58,K63=K58),","&amp;24,"")&amp;IF(AND(J64=J58,K64=K58),","&amp;25,"")&amp;IF(AND(J65=J58,K65=K58),","&amp;26,"")&amp;IF(AND(J66=J58,K66=K58),","&amp;27,"")&amp;IF(AND(J67=J58,K67=K58),","&amp;28,"")&amp;IF(AND(J68=J58,K68=K58),","&amp;29,"")&amp;IF(AND(J69=J58,K69=K58),","&amp;30,"")&amp;IF(AND(J70=J58,K70=K58),","&amp;31,"")&amp;IF(AND(J71=J58,K71=K58),","&amp;32,"")&amp;IF(AND(J72=J58,K72=K58),","&amp;33,"")&amp;IF(AND(J73=J58,K73=K58),","&amp;34,"")&amp;IF(AND(J74=J58,K74=K58),","&amp;35,"")&amp;IF(AND(J75=J58,K75=K58),","&amp;36,"")&amp;IF(AND(J76=J58,K76=K58),","&amp;37,"")&amp;IF(AND(J77=J58,K77=K58),","&amp;38,"")&amp;IF(AND(J78=J58,K78=K58),","&amp;39,"")&amp;IF(AND(J79=J58,K79=K58),","&amp;40,""),"")</f>
        <v/>
      </c>
      <c r="R58" s="58">
        <f>IF(P58=1,IF(N58="Motriz","&lt;circle cx='"&amp;SUBSTITUTE(ROUND(L58,1),",",".")&amp;"' cy='"&amp;SUBSTITUTE(ROUND(M58,1),",",".")&amp;"' r='6' fill='#2A3439' stroke='#2A3439' stroke-width='1.3'/&gt;",IF(N58="Enlace","&lt;rect x='"&amp;SUBSTITUTE(ROUND((L58)-5.52,1),",",".")&amp;"' y='"&amp;SUBSTITUTE(ROUND((M58)-5.52,1),",",".")&amp;"' width='11.04' height='11.04' fill='#6699CC' stroke='#2A3439' stroke-width='1.3'/&gt;",IF(N58="Resultado","&lt;path d='M"&amp;SUBSTITUTE(ROUND(L58,1),",",".")&amp;" "&amp;SUBSTITUTE(ROUND((M58)-6.9,1),",",".")&amp;"L"&amp;SUBSTITUTE(ROUND((L58)+6.3,1),",",".")&amp;" "&amp;SUBSTITUTE(ROUND((M58)+5.1,1),",",".")&amp;"L"&amp;SUBSTITUTE(ROUND((L58)-6.3,1),",",".")&amp;" "&amp;SUBSTITUTE(ROUND((M58)+5.1,1),",",".")&amp;"Z' fill='#FFFFFF' stroke='#2A3439' stroke-width='1.3'/&gt;","&lt;path d='M"&amp;SUBSTITUTE(ROUND(L58,1),",",".")&amp;" "&amp;SUBSTITUTE(ROUND((M58)-7.5,1),",",".")&amp;"L"&amp;SUBSTITUTE(ROUND((L58)+7.5,1),",",".")&amp;" "&amp;SUBSTITUTE(ROUND(M58,1),",",".")&amp;"L"&amp;SUBSTITUTE(ROUND(L58,1),",",".")&amp;" "&amp;SUBSTITUTE(ROUND((M58)+7.5,1),",",".")&amp;"L"&amp;SUBSTITUTE(ROUND((L58)-7.5,1),",",".")&amp;" "&amp;SUBSTITUTE(ROUND(M58,1),",",".")&amp;"Z' fill='#F5F5F5' stroke='#2A3439' stroke-width='1.3'/&gt;")))&amp;"&lt;text x='"&amp;SUBSTITUTE(ROUND(L58+9,1),",",".")&amp;"' y='"&amp;SUBSTITUTE(ROUND(M58-8,1),",",".")&amp;"'&gt;"&amp;Q58&amp;"&lt;/text&gt;","")</f>
        <v/>
      </c>
      <c r="S58" s="58">
        <f>IF(I58=1,IF(N58="Motriz","&lt;circle cx='"&amp;SUBSTITUTE(ROUND(728,1),",",".")&amp;"' cy='"&amp;SUBSTITUTE(ROUND(375.6,1),",",".")&amp;"' r='4.3' fill='#2A3439' stroke='#2A3439' stroke-width='1.3'/&gt;",IF(N58="Enlace","&lt;rect x='"&amp;SUBSTITUTE(ROUND((728)-3.96,1),",",".")&amp;"' y='"&amp;SUBSTITUTE(ROUND((375.6)-3.96,1),",",".")&amp;"' width='7.92' height='7.92' fill='#6699CC' stroke='#2A3439' stroke-width='1.3'/&gt;",IF(N58="Resultado","&lt;path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Z58" s="58" t="n">
        <v>19</v>
      </c>
      <c r="AA58" s="58">
        <f>IF(AND($AA$4=1,Z58&lt;=nVariables),1,0)</f>
        <v/>
      </c>
      <c r="AB58" s="58">
        <f>IF(AA58=1,'M2'!$F28,"")</f>
        <v/>
      </c>
      <c r="AC58" s="58">
        <f>IF(AA58=1,'M2'!$E28,"")</f>
        <v/>
      </c>
      <c r="AD58" s="58">
        <f>IF(AA58=1,90+AB58*$AA$22,"")</f>
        <v/>
      </c>
      <c r="AE58" s="58">
        <f>IF(AA58=1,574-AC58*$AA$23,"")</f>
        <v/>
      </c>
      <c r="AF58" s="58">
        <f>IF(AA58=1,'M2'!$I28,"")</f>
        <v/>
      </c>
      <c r="AG58" s="58">
        <f>IF(AA58=1,IF(AF58="Motriz","#2A3439",IF(AF58="Enlace","#6699CC",IF(AF58="Resultado","#FFFFFF","#F5F5F5"))),"")</f>
        <v/>
      </c>
      <c r="AH58" s="58">
        <f>IF(AA58=1,IF(SUMPRODUCT((AB$39:AB57=AB58)*(AC$39:AC57=AC58))=0,1,0),0)</f>
        <v/>
      </c>
      <c r="AI58" s="58">
        <f>IF(AH58=1,19&amp;IF(AND(AB59=AB58,AC59=AC58),","&amp;20,"")&amp;IF(AND(AB60=AB58,AC60=AC58),","&amp;21,"")&amp;IF(AND(AB61=AB58,AC61=AC58),","&amp;22,"")&amp;IF(AND(AB62=AB58,AC62=AC58),","&amp;23,"")&amp;IF(AND(AB63=AB58,AC63=AC58),","&amp;24,"")&amp;IF(AND(AB64=AB58,AC64=AC58),","&amp;25,"")&amp;IF(AND(AB65=AB58,AC65=AC58),","&amp;26,"")&amp;IF(AND(AB66=AB58,AC66=AC58),","&amp;27,"")&amp;IF(AND(AB67=AB58,AC67=AC58),","&amp;28,"")&amp;IF(AND(AB68=AB58,AC68=AC58),","&amp;29,"")&amp;IF(AND(AB69=AB58,AC69=AC58),","&amp;30,"")&amp;IF(AND(AB70=AB58,AC70=AC58),","&amp;31,"")&amp;IF(AND(AB71=AB58,AC71=AC58),","&amp;32,"")&amp;IF(AND(AB72=AB58,AC72=AC58),","&amp;33,"")&amp;IF(AND(AB73=AB58,AC73=AC58),","&amp;34,"")&amp;IF(AND(AB74=AB58,AC74=AC58),","&amp;35,"")&amp;IF(AND(AB75=AB58,AC75=AC58),","&amp;36,"")&amp;IF(AND(AB76=AB58,AC76=AC58),","&amp;37,"")&amp;IF(AND(AB77=AB58,AC77=AC58),","&amp;38,"")&amp;IF(AND(AB78=AB58,AC78=AC58),","&amp;39,"")&amp;IF(AND(AB79=AB58,AC79=AC58),","&amp;40,""),"")</f>
        <v/>
      </c>
      <c r="AJ58" s="58">
        <f>IF(AH58=1,IF(AF58="Motriz","&lt;circle cx='"&amp;SUBSTITUTE(ROUND(AD58,1),",",".")&amp;"' cy='"&amp;SUBSTITUTE(ROUND(AE58,1),",",".")&amp;"' r='6' fill='#2A3439' stroke='#2A3439' stroke-width='1.3'/&gt;",IF(AF58="Enlace","&lt;rect x='"&amp;SUBSTITUTE(ROUND((AD58)-5.52,1),",",".")&amp;"' y='"&amp;SUBSTITUTE(ROUND((AE58)-5.52,1),",",".")&amp;"' width='11.04' height='11.04' fill='#6699CC' stroke='#2A3439' stroke-width='1.3'/&gt;",IF(AF58="Resultado","&lt;path d='M"&amp;SUBSTITUTE(ROUND(AD58,1),",",".")&amp;" "&amp;SUBSTITUTE(ROUND((AE58)-6.9,1),",",".")&amp;"L"&amp;SUBSTITUTE(ROUND((AD58)+6.3,1),",",".")&amp;" "&amp;SUBSTITUTE(ROUND((AE58)+5.1,1),",",".")&amp;"L"&amp;SUBSTITUTE(ROUND((AD58)-6.3,1),",",".")&amp;" "&amp;SUBSTITUTE(ROUND((AE58)+5.1,1),",",".")&amp;"Z' fill='#FFFFFF' stroke='#2A3439' stroke-width='1.3'/&gt;","&lt;path d='M"&amp;SUBSTITUTE(ROUND(AD58,1),",",".")&amp;" "&amp;SUBSTITUTE(ROUND((AE58)-7.5,1),",",".")&amp;"L"&amp;SUBSTITUTE(ROUND((AD58)+7.5,1),",",".")&amp;" "&amp;SUBSTITUTE(ROUND(AE58,1),",",".")&amp;"L"&amp;SUBSTITUTE(ROUND(AD58,1),",",".")&amp;" "&amp;SUBSTITUTE(ROUND((AE58)+7.5,1),",",".")&amp;"L"&amp;SUBSTITUTE(ROUND((AD58)-7.5,1),",",".")&amp;" "&amp;SUBSTITUTE(ROUND(AE58,1),",",".")&amp;"Z' fill='#F5F5F5' stroke='#2A3439' stroke-width='1.3'/&gt;")))&amp;"&lt;text x='"&amp;SUBSTITUTE(ROUND(AD58+9,1),",",".")&amp;"' y='"&amp;SUBSTITUTE(ROUND(AE58-8,1),",",".")&amp;"'&gt;"&amp;AI58&amp;"&lt;/text&gt;","")</f>
        <v/>
      </c>
      <c r="AK58" s="58">
        <f>IF(AA58=1,IF(AF58="Motriz","&lt;circle cx='"&amp;SUBSTITUTE(ROUND(728,1),",",".")&amp;"' cy='"&amp;SUBSTITUTE(ROUND(375.6,1),",",".")&amp;"' r='4.3' fill='#2A3439' stroke='#2A3439' stroke-width='1.3'/&gt;",IF(AF58="Enlace","&lt;rect x='"&amp;SUBSTITUTE(ROUND((728)-3.96,1),",",".")&amp;"' y='"&amp;SUBSTITUTE(ROUND((375.6)-3.96,1),",",".")&amp;"' width='7.92' height='7.92' fill='#6699CC' stroke='#2A3439' stroke-width='1.3'/&gt;",IF(AF58="Resultado","&lt;path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AR58" s="58" t="n">
        <v>19</v>
      </c>
      <c r="AS58" s="58">
        <f>IF(AND($AS$4=1,AR58&lt;=nVariables),1,0)</f>
        <v/>
      </c>
      <c r="AT58" s="58">
        <f>IF(AS58=1,'M3'!$F28,"")</f>
        <v/>
      </c>
      <c r="AU58" s="58">
        <f>IF(AS58=1,'M3'!$E28,"")</f>
        <v/>
      </c>
      <c r="AV58" s="58">
        <f>IF(AS58=1,90+AT58*$AS$22,"")</f>
        <v/>
      </c>
      <c r="AW58" s="58">
        <f>IF(AS58=1,574-AU58*$AS$23,"")</f>
        <v/>
      </c>
      <c r="AX58" s="58">
        <f>IF(AS58=1,'M3'!$I28,"")</f>
        <v/>
      </c>
      <c r="AY58" s="58">
        <f>IF(AS58=1,IF(AX58="Motriz","#2A3439",IF(AX58="Enlace","#6699CC",IF(AX58="Resultado","#FFFFFF","#F5F5F5"))),"")</f>
        <v/>
      </c>
      <c r="AZ58" s="58">
        <f>IF(AS58=1,IF(SUMPRODUCT((AT$39:AT57=AT58)*(AU$39:AU57=AU58))=0,1,0),0)</f>
        <v/>
      </c>
      <c r="BA58" s="58">
        <f>IF(AZ58=1,19&amp;IF(AND(AT59=AT58,AU59=AU58),","&amp;20,"")&amp;IF(AND(AT60=AT58,AU60=AU58),","&amp;21,"")&amp;IF(AND(AT61=AT58,AU61=AU58),","&amp;22,"")&amp;IF(AND(AT62=AT58,AU62=AU58),","&amp;23,"")&amp;IF(AND(AT63=AT58,AU63=AU58),","&amp;24,"")&amp;IF(AND(AT64=AT58,AU64=AU58),","&amp;25,"")&amp;IF(AND(AT65=AT58,AU65=AU58),","&amp;26,"")&amp;IF(AND(AT66=AT58,AU66=AU58),","&amp;27,"")&amp;IF(AND(AT67=AT58,AU67=AU58),","&amp;28,"")&amp;IF(AND(AT68=AT58,AU68=AU58),","&amp;29,"")&amp;IF(AND(AT69=AT58,AU69=AU58),","&amp;30,"")&amp;IF(AND(AT70=AT58,AU70=AU58),","&amp;31,"")&amp;IF(AND(AT71=AT58,AU71=AU58),","&amp;32,"")&amp;IF(AND(AT72=AT58,AU72=AU58),","&amp;33,"")&amp;IF(AND(AT73=AT58,AU73=AU58),","&amp;34,"")&amp;IF(AND(AT74=AT58,AU74=AU58),","&amp;35,"")&amp;IF(AND(AT75=AT58,AU75=AU58),","&amp;36,"")&amp;IF(AND(AT76=AT58,AU76=AU58),","&amp;37,"")&amp;IF(AND(AT77=AT58,AU77=AU58),","&amp;38,"")&amp;IF(AND(AT78=AT58,AU78=AU58),","&amp;39,"")&amp;IF(AND(AT79=AT58,AU79=AU58),","&amp;40,""),"")</f>
        <v/>
      </c>
      <c r="BB58" s="58">
        <f>IF(AZ58=1,IF(AX58="Motriz","&lt;circle cx='"&amp;SUBSTITUTE(ROUND(AV58,1),",",".")&amp;"' cy='"&amp;SUBSTITUTE(ROUND(AW58,1),",",".")&amp;"' r='6' fill='#2A3439' stroke='#2A3439' stroke-width='1.3'/&gt;",IF(AX58="Enlace","&lt;rect x='"&amp;SUBSTITUTE(ROUND((AV58)-5.52,1),",",".")&amp;"' y='"&amp;SUBSTITUTE(ROUND((AW58)-5.52,1),",",".")&amp;"' width='11.04' height='11.04' fill='#6699CC' stroke='#2A3439' stroke-width='1.3'/&gt;",IF(AX58="Resultado","&lt;path d='M"&amp;SUBSTITUTE(ROUND(AV58,1),",",".")&amp;" "&amp;SUBSTITUTE(ROUND((AW58)-6.9,1),",",".")&amp;"L"&amp;SUBSTITUTE(ROUND((AV58)+6.3,1),",",".")&amp;" "&amp;SUBSTITUTE(ROUND((AW58)+5.1,1),",",".")&amp;"L"&amp;SUBSTITUTE(ROUND((AV58)-6.3,1),",",".")&amp;" "&amp;SUBSTITUTE(ROUND((AW58)+5.1,1),",",".")&amp;"Z' fill='#FFFFFF' stroke='#2A3439' stroke-width='1.3'/&gt;","&lt;path d='M"&amp;SUBSTITUTE(ROUND(AV58,1),",",".")&amp;" "&amp;SUBSTITUTE(ROUND((AW58)-7.5,1),",",".")&amp;"L"&amp;SUBSTITUTE(ROUND((AV58)+7.5,1),",",".")&amp;" "&amp;SUBSTITUTE(ROUND(AW58,1),",",".")&amp;"L"&amp;SUBSTITUTE(ROUND(AV58,1),",",".")&amp;" "&amp;SUBSTITUTE(ROUND((AW58)+7.5,1),",",".")&amp;"L"&amp;SUBSTITUTE(ROUND((AV58)-7.5,1),",",".")&amp;" "&amp;SUBSTITUTE(ROUND(AW58,1),",",".")&amp;"Z' fill='#F5F5F5' stroke='#2A3439' stroke-width='1.3'/&gt;")))&amp;"&lt;text x='"&amp;SUBSTITUTE(ROUND(AV58+9,1),",",".")&amp;"' y='"&amp;SUBSTITUTE(ROUND(AW58-8,1),",",".")&amp;"'&gt;"&amp;BA58&amp;"&lt;/text&gt;","")</f>
        <v/>
      </c>
      <c r="BC58" s="58">
        <f>IF(AS58=1,IF(AX58="Motriz","&lt;circle cx='"&amp;SUBSTITUTE(ROUND(728,1),",",".")&amp;"' cy='"&amp;SUBSTITUTE(ROUND(375.6,1),",",".")&amp;"' r='4.3' fill='#2A3439' stroke='#2A3439' stroke-width='1.3'/&gt;",IF(AX58="Enlace","&lt;rect x='"&amp;SUBSTITUTE(ROUND((728)-3.96,1),",",".")&amp;"' y='"&amp;SUBSTITUTE(ROUND((375.6)-3.96,1),",",".")&amp;"' width='7.92' height='7.92' fill='#6699CC' stroke='#2A3439' stroke-width='1.3'/&gt;",IF(AX58="Resultado","&lt;path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BJ58" s="58" t="n">
        <v>19</v>
      </c>
      <c r="BK58" s="58">
        <f>IF(AND($BK$4=1,BJ58&lt;=nVariables),1,0)</f>
        <v/>
      </c>
      <c r="BL58" s="58">
        <f>IF(BK58=1,'M4'!$F28,"")</f>
        <v/>
      </c>
      <c r="BM58" s="58">
        <f>IF(BK58=1,'M4'!$E28,"")</f>
        <v/>
      </c>
      <c r="BN58" s="58">
        <f>IF(BK58=1,90+BL58*$BK$22,"")</f>
        <v/>
      </c>
      <c r="BO58" s="58">
        <f>IF(BK58=1,574-BM58*$BK$23,"")</f>
        <v/>
      </c>
      <c r="BP58" s="58">
        <f>IF(BK58=1,'M4'!$I28,"")</f>
        <v/>
      </c>
      <c r="BQ58" s="58">
        <f>IF(BK58=1,IF(BP58="Motriz","#2A3439",IF(BP58="Enlace","#6699CC",IF(BP58="Resultado","#FFFFFF","#F5F5F5"))),"")</f>
        <v/>
      </c>
      <c r="BR58" s="58">
        <f>IF(BK58=1,IF(SUMPRODUCT((BL$39:BL57=BL58)*(BM$39:BM57=BM58))=0,1,0),0)</f>
        <v/>
      </c>
      <c r="BS58" s="58">
        <f>IF(BR58=1,19&amp;IF(AND(BL59=BL58,BM59=BM58),","&amp;20,"")&amp;IF(AND(BL60=BL58,BM60=BM58),","&amp;21,"")&amp;IF(AND(BL61=BL58,BM61=BM58),","&amp;22,"")&amp;IF(AND(BL62=BL58,BM62=BM58),","&amp;23,"")&amp;IF(AND(BL63=BL58,BM63=BM58),","&amp;24,"")&amp;IF(AND(BL64=BL58,BM64=BM58),","&amp;25,"")&amp;IF(AND(BL65=BL58,BM65=BM58),","&amp;26,"")&amp;IF(AND(BL66=BL58,BM66=BM58),","&amp;27,"")&amp;IF(AND(BL67=BL58,BM67=BM58),","&amp;28,"")&amp;IF(AND(BL68=BL58,BM68=BM58),","&amp;29,"")&amp;IF(AND(BL69=BL58,BM69=BM58),","&amp;30,"")&amp;IF(AND(BL70=BL58,BM70=BM58),","&amp;31,"")&amp;IF(AND(BL71=BL58,BM71=BM58),","&amp;32,"")&amp;IF(AND(BL72=BL58,BM72=BM58),","&amp;33,"")&amp;IF(AND(BL73=BL58,BM73=BM58),","&amp;34,"")&amp;IF(AND(BL74=BL58,BM74=BM58),","&amp;35,"")&amp;IF(AND(BL75=BL58,BM75=BM58),","&amp;36,"")&amp;IF(AND(BL76=BL58,BM76=BM58),","&amp;37,"")&amp;IF(AND(BL77=BL58,BM77=BM58),","&amp;38,"")&amp;IF(AND(BL78=BL58,BM78=BM58),","&amp;39,"")&amp;IF(AND(BL79=BL58,BM79=BM58),","&amp;40,""),"")</f>
        <v/>
      </c>
      <c r="BT58" s="58">
        <f>IF(BR58=1,IF(BP58="Motriz","&lt;circle cx='"&amp;SUBSTITUTE(ROUND(BN58,1),",",".")&amp;"' cy='"&amp;SUBSTITUTE(ROUND(BO58,1),",",".")&amp;"' r='6' fill='#2A3439' stroke='#2A3439' stroke-width='1.3'/&gt;",IF(BP58="Enlace","&lt;rect x='"&amp;SUBSTITUTE(ROUND((BN58)-5.52,1),",",".")&amp;"' y='"&amp;SUBSTITUTE(ROUND((BO58)-5.52,1),",",".")&amp;"' width='11.04' height='11.04' fill='#6699CC' stroke='#2A3439' stroke-width='1.3'/&gt;",IF(BP58="Resultado","&lt;path d='M"&amp;SUBSTITUTE(ROUND(BN58,1),",",".")&amp;" "&amp;SUBSTITUTE(ROUND((BO58)-6.9,1),",",".")&amp;"L"&amp;SUBSTITUTE(ROUND((BN58)+6.3,1),",",".")&amp;" "&amp;SUBSTITUTE(ROUND((BO58)+5.1,1),",",".")&amp;"L"&amp;SUBSTITUTE(ROUND((BN58)-6.3,1),",",".")&amp;" "&amp;SUBSTITUTE(ROUND((BO58)+5.1,1),",",".")&amp;"Z' fill='#FFFFFF' stroke='#2A3439' stroke-width='1.3'/&gt;","&lt;path d='M"&amp;SUBSTITUTE(ROUND(BN58,1),",",".")&amp;" "&amp;SUBSTITUTE(ROUND((BO58)-7.5,1),",",".")&amp;"L"&amp;SUBSTITUTE(ROUND((BN58)+7.5,1),",",".")&amp;" "&amp;SUBSTITUTE(ROUND(BO58,1),",",".")&amp;"L"&amp;SUBSTITUTE(ROUND(BN58,1),",",".")&amp;" "&amp;SUBSTITUTE(ROUND((BO58)+7.5,1),",",".")&amp;"L"&amp;SUBSTITUTE(ROUND((BN58)-7.5,1),",",".")&amp;" "&amp;SUBSTITUTE(ROUND(BO58,1),",",".")&amp;"Z' fill='#F5F5F5' stroke='#2A3439' stroke-width='1.3'/&gt;")))&amp;"&lt;text x='"&amp;SUBSTITUTE(ROUND(BN58+9,1),",",".")&amp;"' y='"&amp;SUBSTITUTE(ROUND(BO58-8,1),",",".")&amp;"'&gt;"&amp;BS58&amp;"&lt;/text&gt;","")</f>
        <v/>
      </c>
      <c r="BU58" s="58">
        <f>IF(BK58=1,IF(BP58="Motriz","&lt;circle cx='"&amp;SUBSTITUTE(ROUND(728,1),",",".")&amp;"' cy='"&amp;SUBSTITUTE(ROUND(375.6,1),",",".")&amp;"' r='4.3' fill='#2A3439' stroke='#2A3439' stroke-width='1.3'/&gt;",IF(BP58="Enlace","&lt;rect x='"&amp;SUBSTITUTE(ROUND((728)-3.96,1),",",".")&amp;"' y='"&amp;SUBSTITUTE(ROUND((375.6)-3.96,1),",",".")&amp;"' width='7.92' height='7.92' fill='#6699CC' stroke='#2A3439' stroke-width='1.3'/&gt;",IF(BP58="Resultado","&lt;path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CB58" s="58" t="n">
        <v>19</v>
      </c>
      <c r="CC58" s="58">
        <f>IF(AND($CC$4=1,CB58&lt;=nVariables),1,0)</f>
        <v/>
      </c>
      <c r="CD58" s="58">
        <f>IF(CC58=1,'M5'!$F28,"")</f>
        <v/>
      </c>
      <c r="CE58" s="58">
        <f>IF(CC58=1,'M5'!$E28,"")</f>
        <v/>
      </c>
      <c r="CF58" s="58">
        <f>IF(CC58=1,90+CD58*$CC$22,"")</f>
        <v/>
      </c>
      <c r="CG58" s="58">
        <f>IF(CC58=1,574-CE58*$CC$23,"")</f>
        <v/>
      </c>
      <c r="CH58" s="58">
        <f>IF(CC58=1,'M5'!$I28,"")</f>
        <v/>
      </c>
      <c r="CI58" s="58">
        <f>IF(CC58=1,IF(CH58="Motriz","#2A3439",IF(CH58="Enlace","#6699CC",IF(CH58="Resultado","#FFFFFF","#F5F5F5"))),"")</f>
        <v/>
      </c>
      <c r="CJ58" s="58">
        <f>IF(CC58=1,IF(SUMPRODUCT((CD$39:CD57=CD58)*(CE$39:CE57=CE58))=0,1,0),0)</f>
        <v/>
      </c>
      <c r="CK58" s="58">
        <f>IF(CJ58=1,19&amp;IF(AND(CD59=CD58,CE59=CE58),","&amp;20,"")&amp;IF(AND(CD60=CD58,CE60=CE58),","&amp;21,"")&amp;IF(AND(CD61=CD58,CE61=CE58),","&amp;22,"")&amp;IF(AND(CD62=CD58,CE62=CE58),","&amp;23,"")&amp;IF(AND(CD63=CD58,CE63=CE58),","&amp;24,"")&amp;IF(AND(CD64=CD58,CE64=CE58),","&amp;25,"")&amp;IF(AND(CD65=CD58,CE65=CE58),","&amp;26,"")&amp;IF(AND(CD66=CD58,CE66=CE58),","&amp;27,"")&amp;IF(AND(CD67=CD58,CE67=CE58),","&amp;28,"")&amp;IF(AND(CD68=CD58,CE68=CE58),","&amp;29,"")&amp;IF(AND(CD69=CD58,CE69=CE58),","&amp;30,"")&amp;IF(AND(CD70=CD58,CE70=CE58),","&amp;31,"")&amp;IF(AND(CD71=CD58,CE71=CE58),","&amp;32,"")&amp;IF(AND(CD72=CD58,CE72=CE58),","&amp;33,"")&amp;IF(AND(CD73=CD58,CE73=CE58),","&amp;34,"")&amp;IF(AND(CD74=CD58,CE74=CE58),","&amp;35,"")&amp;IF(AND(CD75=CD58,CE75=CE58),","&amp;36,"")&amp;IF(AND(CD76=CD58,CE76=CE58),","&amp;37,"")&amp;IF(AND(CD77=CD58,CE77=CE58),","&amp;38,"")&amp;IF(AND(CD78=CD58,CE78=CE58),","&amp;39,"")&amp;IF(AND(CD79=CD58,CE79=CE58),","&amp;40,""),"")</f>
        <v/>
      </c>
      <c r="CL58" s="58">
        <f>IF(CJ58=1,IF(CH58="Motriz","&lt;circle cx='"&amp;SUBSTITUTE(ROUND(CF58,1),",",".")&amp;"' cy='"&amp;SUBSTITUTE(ROUND(CG58,1),",",".")&amp;"' r='6' fill='#2A3439' stroke='#2A3439' stroke-width='1.3'/&gt;",IF(CH58="Enlace","&lt;rect x='"&amp;SUBSTITUTE(ROUND((CF58)-5.52,1),",",".")&amp;"' y='"&amp;SUBSTITUTE(ROUND((CG58)-5.52,1),",",".")&amp;"' width='11.04' height='11.04' fill='#6699CC' stroke='#2A3439' stroke-width='1.3'/&gt;",IF(CH58="Resultado","&lt;path d='M"&amp;SUBSTITUTE(ROUND(CF58,1),",",".")&amp;" "&amp;SUBSTITUTE(ROUND((CG58)-6.9,1),",",".")&amp;"L"&amp;SUBSTITUTE(ROUND((CF58)+6.3,1),",",".")&amp;" "&amp;SUBSTITUTE(ROUND((CG58)+5.1,1),",",".")&amp;"L"&amp;SUBSTITUTE(ROUND((CF58)-6.3,1),",",".")&amp;" "&amp;SUBSTITUTE(ROUND((CG58)+5.1,1),",",".")&amp;"Z' fill='#FFFFFF' stroke='#2A3439' stroke-width='1.3'/&gt;","&lt;path d='M"&amp;SUBSTITUTE(ROUND(CF58,1),",",".")&amp;" "&amp;SUBSTITUTE(ROUND((CG58)-7.5,1),",",".")&amp;"L"&amp;SUBSTITUTE(ROUND((CF58)+7.5,1),",",".")&amp;" "&amp;SUBSTITUTE(ROUND(CG58,1),",",".")&amp;"L"&amp;SUBSTITUTE(ROUND(CF58,1),",",".")&amp;" "&amp;SUBSTITUTE(ROUND((CG58)+7.5,1),",",".")&amp;"L"&amp;SUBSTITUTE(ROUND((CF58)-7.5,1),",",".")&amp;" "&amp;SUBSTITUTE(ROUND(CG58,1),",",".")&amp;"Z' fill='#F5F5F5' stroke='#2A3439' stroke-width='1.3'/&gt;")))&amp;"&lt;text x='"&amp;SUBSTITUTE(ROUND(CF58+9,1),",",".")&amp;"' y='"&amp;SUBSTITUTE(ROUND(CG58-8,1),",",".")&amp;"'&gt;"&amp;CK58&amp;"&lt;/text&gt;","")</f>
        <v/>
      </c>
      <c r="CM58" s="58">
        <f>IF(CC58=1,IF(CH58="Motriz","&lt;circle cx='"&amp;SUBSTITUTE(ROUND(728,1),",",".")&amp;"' cy='"&amp;SUBSTITUTE(ROUND(375.6,1),",",".")&amp;"' r='4.3' fill='#2A3439' stroke='#2A3439' stroke-width='1.3'/&gt;",IF(CH58="Enlace","&lt;rect x='"&amp;SUBSTITUTE(ROUND((728)-3.96,1),",",".")&amp;"' y='"&amp;SUBSTITUTE(ROUND((375.6)-3.96,1),",",".")&amp;"' width='7.92' height='7.92' fill='#6699CC' stroke='#2A3439' stroke-width='1.3'/&gt;",IF(CH58="Resultado","&lt;path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CT58" s="58" t="n">
        <v>19</v>
      </c>
      <c r="CU58" s="58">
        <f>IF(AND($CU$4=1,CT58&lt;=nVariables),1,0)</f>
        <v/>
      </c>
      <c r="CV58" s="58">
        <f>IF(CU58=1,'M6'!$F28,"")</f>
        <v/>
      </c>
      <c r="CW58" s="58">
        <f>IF(CU58=1,'M6'!$E28,"")</f>
        <v/>
      </c>
      <c r="CX58" s="58">
        <f>IF(CU58=1,90+CV58*$CU$22,"")</f>
        <v/>
      </c>
      <c r="CY58" s="58">
        <f>IF(CU58=1,574-CW58*$CU$23,"")</f>
        <v/>
      </c>
      <c r="CZ58" s="58">
        <f>IF(CU58=1,'M6'!$I28,"")</f>
        <v/>
      </c>
      <c r="DA58" s="58">
        <f>IF(CU58=1,IF(CZ58="Motriz","#2A3439",IF(CZ58="Enlace","#6699CC",IF(CZ58="Resultado","#FFFFFF","#F5F5F5"))),"")</f>
        <v/>
      </c>
      <c r="DB58" s="58">
        <f>IF(CU58=1,IF(SUMPRODUCT((CV$39:CV57=CV58)*(CW$39:CW57=CW58))=0,1,0),0)</f>
        <v/>
      </c>
      <c r="DC58" s="58">
        <f>IF(DB58=1,19&amp;IF(AND(CV59=CV58,CW59=CW58),","&amp;20,"")&amp;IF(AND(CV60=CV58,CW60=CW58),","&amp;21,"")&amp;IF(AND(CV61=CV58,CW61=CW58),","&amp;22,"")&amp;IF(AND(CV62=CV58,CW62=CW58),","&amp;23,"")&amp;IF(AND(CV63=CV58,CW63=CW58),","&amp;24,"")&amp;IF(AND(CV64=CV58,CW64=CW58),","&amp;25,"")&amp;IF(AND(CV65=CV58,CW65=CW58),","&amp;26,"")&amp;IF(AND(CV66=CV58,CW66=CW58),","&amp;27,"")&amp;IF(AND(CV67=CV58,CW67=CW58),","&amp;28,"")&amp;IF(AND(CV68=CV58,CW68=CW58),","&amp;29,"")&amp;IF(AND(CV69=CV58,CW69=CW58),","&amp;30,"")&amp;IF(AND(CV70=CV58,CW70=CW58),","&amp;31,"")&amp;IF(AND(CV71=CV58,CW71=CW58),","&amp;32,"")&amp;IF(AND(CV72=CV58,CW72=CW58),","&amp;33,"")&amp;IF(AND(CV73=CV58,CW73=CW58),","&amp;34,"")&amp;IF(AND(CV74=CV58,CW74=CW58),","&amp;35,"")&amp;IF(AND(CV75=CV58,CW75=CW58),","&amp;36,"")&amp;IF(AND(CV76=CV58,CW76=CW58),","&amp;37,"")&amp;IF(AND(CV77=CV58,CW77=CW58),","&amp;38,"")&amp;IF(AND(CV78=CV58,CW78=CW58),","&amp;39,"")&amp;IF(AND(CV79=CV58,CW79=CW58),","&amp;40,""),"")</f>
        <v/>
      </c>
      <c r="DD58" s="58">
        <f>IF(DB58=1,IF(CZ58="Motriz","&lt;circle cx='"&amp;SUBSTITUTE(ROUND(CX58,1),",",".")&amp;"' cy='"&amp;SUBSTITUTE(ROUND(CY58,1),",",".")&amp;"' r='6' fill='#2A3439' stroke='#2A3439' stroke-width='1.3'/&gt;",IF(CZ58="Enlace","&lt;rect x='"&amp;SUBSTITUTE(ROUND((CX58)-5.52,1),",",".")&amp;"' y='"&amp;SUBSTITUTE(ROUND((CY58)-5.52,1),",",".")&amp;"' width='11.04' height='11.04' fill='#6699CC' stroke='#2A3439' stroke-width='1.3'/&gt;",IF(CZ58="Resultado","&lt;path d='M"&amp;SUBSTITUTE(ROUND(CX58,1),",",".")&amp;" "&amp;SUBSTITUTE(ROUND((CY58)-6.9,1),",",".")&amp;"L"&amp;SUBSTITUTE(ROUND((CX58)+6.3,1),",",".")&amp;" "&amp;SUBSTITUTE(ROUND((CY58)+5.1,1),",",".")&amp;"L"&amp;SUBSTITUTE(ROUND((CX58)-6.3,1),",",".")&amp;" "&amp;SUBSTITUTE(ROUND((CY58)+5.1,1),",",".")&amp;"Z' fill='#FFFFFF' stroke='#2A3439' stroke-width='1.3'/&gt;","&lt;path d='M"&amp;SUBSTITUTE(ROUND(CX58,1),",",".")&amp;" "&amp;SUBSTITUTE(ROUND((CY58)-7.5,1),",",".")&amp;"L"&amp;SUBSTITUTE(ROUND((CX58)+7.5,1),",",".")&amp;" "&amp;SUBSTITUTE(ROUND(CY58,1),",",".")&amp;"L"&amp;SUBSTITUTE(ROUND(CX58,1),",",".")&amp;" "&amp;SUBSTITUTE(ROUND((CY58)+7.5,1),",",".")&amp;"L"&amp;SUBSTITUTE(ROUND((CX58)-7.5,1),",",".")&amp;" "&amp;SUBSTITUTE(ROUND(CY58,1),",",".")&amp;"Z' fill='#F5F5F5' stroke='#2A3439' stroke-width='1.3'/&gt;")))&amp;"&lt;text x='"&amp;SUBSTITUTE(ROUND(CX58+9,1),",",".")&amp;"' y='"&amp;SUBSTITUTE(ROUND(CY58-8,1),",",".")&amp;"'&gt;"&amp;DC58&amp;"&lt;/text&gt;","")</f>
        <v/>
      </c>
      <c r="DE58" s="58">
        <f>IF(CU58=1,IF(CZ58="Motriz","&lt;circle cx='"&amp;SUBSTITUTE(ROUND(728,1),",",".")&amp;"' cy='"&amp;SUBSTITUTE(ROUND(375.6,1),",",".")&amp;"' r='4.3' fill='#2A3439' stroke='#2A3439' stroke-width='1.3'/&gt;",IF(CZ58="Enlace","&lt;rect x='"&amp;SUBSTITUTE(ROUND((728)-3.96,1),",",".")&amp;"' y='"&amp;SUBSTITUTE(ROUND((375.6)-3.96,1),",",".")&amp;"' width='7.92' height='7.92' fill='#6699CC' stroke='#2A3439' stroke-width='1.3'/&gt;",IF(CZ58="Resultado","&lt;path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DL58" s="58" t="n">
        <v>7</v>
      </c>
      <c r="DM58" s="58">
        <f>IF(AND($DM$4=1,DL58&lt;=nVariables),IF('M6'!$I16="Resultado","E",IF('M6'!$I16="Enlace","L",IF('M6'!$I16="Motriz","R",IF('M6'!$I16="Autónoma","A","")))),"")</f>
        <v/>
      </c>
      <c r="DN58" s="58">
        <f>IF(DM58&lt;&gt;"",COUNTIF($DM$52:DM58,DM58),"")</f>
        <v/>
      </c>
      <c r="DO58" s="58">
        <f>IF(DM58&lt;&gt;"",SUBSTITUTE(SUBSTITUTE(SUBSTITUTE(SUBSTITUTE(SUBSTITUTE(SUBSTITUTE(SUBSTITUTE(TRIM(CLEAN(IF(LEN(7&amp;" · "&amp;$D46)&gt;30,LEFT(7&amp;" · "&amp;$D46,29)&amp;"…",7&amp;" · "&amp;$D46))),"&amp;","&amp;amp;"),"&lt;","&amp;lt;"),"&gt;","&amp;gt;"),CHAR(34),"&amp;quot;"),CHAR(10)," "),CHAR(9)," "),CHAR(13)," "),"")</f>
        <v/>
      </c>
      <c r="DP58" s="58">
        <f>IF(DM58&lt;&gt;"",IF($E46&lt;&gt;"",$E46,IF(DM58="E","(efecto · indicador de resultado)",IF(DM58="L","(causa directa · riesgo)",IF(DM58="R","CAUSA RAÍZ · componente del proyecto","(fuera del alcance)")))),"")</f>
        <v/>
      </c>
      <c r="DQ58" s="58">
        <f>IF(DM58&lt;&gt;"",IF(LEN(DP58)&gt;74,LEFT(DP58,73)&amp;"…",DP58),"")</f>
        <v/>
      </c>
      <c r="DR58" s="58">
        <f>IF(DM58&lt;&gt;"",IF(LEN(DQ58)&lt;=37,LEN(DQ58)+1,IFERROR(FIND("~",SUBSTITUTE(LEFT(DQ58,38)," ","~",LEN(LEFT(DQ58,38))-LEN(SUBSTITUTE(LEFT(DQ58,38)," ","")))),38)),"")</f>
        <v/>
      </c>
      <c r="DS58" s="58">
        <f>IF(DM58&lt;&gt;"",SUBSTITUTE(SUBSTITUTE(SUBSTITUTE(SUBSTITUTE(SUBSTITUTE(SUBSTITUTE(SUBSTITUTE(TRIM(CLEAN(TRIM(LEFT(DQ58,DR58-1)))),"&amp;","&amp;amp;"),"&lt;","&amp;lt;"),"&gt;","&amp;gt;"),CHAR(34),"&amp;quot;"),CHAR(10)," "),CHAR(9)," "),CHAR(13)," "),"")</f>
        <v/>
      </c>
      <c r="DT58" s="58">
        <f>IF(DM58&lt;&gt;"",SUBSTITUTE(SUBSTITUTE(SUBSTITUTE(SUBSTITUTE(SUBSTITUTE(SUBSTITUTE(SUBSTITUTE(TRIM(CLEAN(IF(LEN(TRIM(MID(DQ58,DR58,80)))&gt;37,LEFT(TRIM(MID(DQ58,DR58,80)),36)&amp;"…",TRIM(MID(DQ58,DR58,80))))),"&amp;","&amp;amp;"),"&lt;","&amp;lt;"),"&gt;","&amp;gt;"),CHAR(34),"&amp;quot;"),CHAR(10)," "),CHAR(9)," "),CHAR(13)," "),"")</f>
        <v/>
      </c>
      <c r="DU58" s="58">
        <f>IF(DM58&lt;&gt;"",(1200-(MIN(5,IF(DM58="E",$DM$5,IF(DM58="L",$DM$8,IF(DM58="R",$DM$11,$DM$14)))-INT((DN58-1)/5)*5)*216+(MIN(5,IF(DM58="E",$DM$5,IF(DM58="L",$DM$8,IF(DM58="R",$DM$11,$DM$14)))-INT((DN58-1)/5)*5)-1)*14))/2+MOD(DN58-1,5)*(216+14),"")</f>
        <v/>
      </c>
      <c r="DV58" s="58">
        <f>IF(DM58&lt;&gt;"",IF(DM58="E",$DM$17,IF(DM58="L",$DM$21,IF(DM58="R",$DM$23,$DM$25)))+24+INT((DN58-1)/5)*(64+12),"")</f>
        <v/>
      </c>
      <c r="DW58" s="58">
        <f>IF(DM58&lt;&gt;"","&lt;rect x='"&amp;SUBSTITUTE(ROUND(DU58,1),",",".")&amp;"' y='"&amp;SUBSTITUTE(ROUND(DV58,1),",",".")&amp;"' width='216' height='64' rx='9' fill='"&amp;IF(DM58="E","#B9D9EB",IF(DM58="L","#9EB9D4",IF(DM58="R","#6699CC","#F5F5F5")))&amp;"' stroke='#2A3439' stroke-width='1'"&amp;IF(DM58="A"," stroke-dasharray='5 3'","")&amp;"/&gt;"&amp;"&lt;text x='"&amp;SUBSTITUTE(ROUND((DU58+108),1),",",".")&amp;"' y='"&amp;SUBSTITUTE(ROUND(DV58+20,1),",",".")&amp;"' font-size='12' font-weight='bold'&gt;"&amp;DO58&amp;"&lt;/text&gt;"&amp;"&lt;text x='"&amp;SUBSTITUTE(ROUND((DU58+108),1),",",".")&amp;"' y='"&amp;SUBSTITUTE(ROUND(DV58+38,1),",",".")&amp;"' font-size='10'&gt;"&amp;DS58&amp;"&lt;/text&gt;"&amp;"&lt;text x='"&amp;SUBSTITUTE(ROUND((DU58+108),1),",",".")&amp;"' y='"&amp;SUBSTITUTE(ROUND(DV58+53,1),",",".")&amp;"' font-size='10'&gt;"&amp;DT58&amp;"&lt;/text&gt;","")</f>
        <v/>
      </c>
    </row>
    <row r="59">
      <c r="A59" s="58" t="n">
        <v>20</v>
      </c>
      <c r="B59" s="58">
        <f>IF($A59&lt;=nVariables,SUBSTITUTE(SUBSTITUTE(SUBSTITUTE(SUBSTITUTE(SUBSTITUTE(SUBSTITUTE(SUBSTITUTE(TRIM(CLEAN(IF(LEN(TRIM(M!$B29))&gt;46,LEFT(TRIM(M!$B29),45)&amp;"…",TRIM(M!$B29)))),"&amp;","&amp;amp;"),"&lt;","&amp;lt;"),"&gt;","&amp;gt;"),CHAR(34),"&amp;quot;"),CHAR(10)," "),CHAR(9)," "),CHAR(13)," "),"")</f>
        <v/>
      </c>
      <c r="C59" s="58">
        <f>IF($A59&lt;=nVariables,$A59&amp;". "&amp;B59,"")</f>
        <v/>
      </c>
      <c r="D59" s="58">
        <f>IF($A59&lt;=nVariables,IF(TRIM(M!$C29)&lt;&gt;"",TRIM(M!$C29),IF(LEN(TRIM(M!$B29))&gt;24,LEFT(TRIM(M!$B29),23)&amp;"…",TRIM(M!$B29))),"")</f>
        <v/>
      </c>
      <c r="E59" s="58">
        <f>IF($A59&lt;=nVariables,TRIM('Árbol de Problemas'!$F38),"")</f>
        <v/>
      </c>
      <c r="H59" s="58" t="n">
        <v>20</v>
      </c>
      <c r="I59" s="58">
        <f>IF(AND($I$4=1,H59&lt;=nVariables),1,0)</f>
        <v/>
      </c>
      <c r="J59" s="58">
        <f>IF(I59=1,'M1'!$F29,"")</f>
        <v/>
      </c>
      <c r="K59" s="58">
        <f>IF(I59=1,'M1'!$E29,"")</f>
        <v/>
      </c>
      <c r="L59" s="58">
        <f>IF(I59=1,90+J59*$I$22,"")</f>
        <v/>
      </c>
      <c r="M59" s="58">
        <f>IF(I59=1,574-K59*$I$23,"")</f>
        <v/>
      </c>
      <c r="N59" s="58">
        <f>IF(I59=1,'M1'!$I29,"")</f>
        <v/>
      </c>
      <c r="O59" s="58">
        <f>IF(I59=1,IF(N59="Motriz","#2A3439",IF(N59="Enlace","#6699CC",IF(N59="Resultado","#FFFFFF","#F5F5F5"))),"")</f>
        <v/>
      </c>
      <c r="P59" s="58">
        <f>IF(I59=1,IF(SUMPRODUCT((J$39:J58=J59)*(K$39:K58=K59))=0,1,0),0)</f>
        <v/>
      </c>
      <c r="Q59" s="58">
        <f>IF(P59=1,20&amp;IF(AND(J60=J59,K60=K59),","&amp;21,"")&amp;IF(AND(J61=J59,K61=K59),","&amp;22,"")&amp;IF(AND(J62=J59,K62=K59),","&amp;23,"")&amp;IF(AND(J63=J59,K63=K59),","&amp;24,"")&amp;IF(AND(J64=J59,K64=K59),","&amp;25,"")&amp;IF(AND(J65=J59,K65=K59),","&amp;26,"")&amp;IF(AND(J66=J59,K66=K59),","&amp;27,"")&amp;IF(AND(J67=J59,K67=K59),","&amp;28,"")&amp;IF(AND(J68=J59,K68=K59),","&amp;29,"")&amp;IF(AND(J69=J59,K69=K59),","&amp;30,"")&amp;IF(AND(J70=J59,K70=K59),","&amp;31,"")&amp;IF(AND(J71=J59,K71=K59),","&amp;32,"")&amp;IF(AND(J72=J59,K72=K59),","&amp;33,"")&amp;IF(AND(J73=J59,K73=K59),","&amp;34,"")&amp;IF(AND(J74=J59,K74=K59),","&amp;35,"")&amp;IF(AND(J75=J59,K75=K59),","&amp;36,"")&amp;IF(AND(J76=J59,K76=K59),","&amp;37,"")&amp;IF(AND(J77=J59,K77=K59),","&amp;38,"")&amp;IF(AND(J78=J59,K78=K59),","&amp;39,"")&amp;IF(AND(J79=J59,K79=K59),","&amp;40,""),"")</f>
        <v/>
      </c>
      <c r="R59" s="58">
        <f>IF(P59=1,IF(N59="Motriz","&lt;circle cx='"&amp;SUBSTITUTE(ROUND(L59,1),",",".")&amp;"' cy='"&amp;SUBSTITUTE(ROUND(M59,1),",",".")&amp;"' r='6' fill='#2A3439' stroke='#2A3439' stroke-width='1.3'/&gt;",IF(N59="Enlace","&lt;rect x='"&amp;SUBSTITUTE(ROUND((L59)-5.52,1),",",".")&amp;"' y='"&amp;SUBSTITUTE(ROUND((M59)-5.52,1),",",".")&amp;"' width='11.04' height='11.04' fill='#6699CC' stroke='#2A3439' stroke-width='1.3'/&gt;",IF(N59="Resultado","&lt;path d='M"&amp;SUBSTITUTE(ROUND(L59,1),",",".")&amp;" "&amp;SUBSTITUTE(ROUND((M59)-6.9,1),",",".")&amp;"L"&amp;SUBSTITUTE(ROUND((L59)+6.3,1),",",".")&amp;" "&amp;SUBSTITUTE(ROUND((M59)+5.1,1),",",".")&amp;"L"&amp;SUBSTITUTE(ROUND((L59)-6.3,1),",",".")&amp;" "&amp;SUBSTITUTE(ROUND((M59)+5.1,1),",",".")&amp;"Z' fill='#FFFFFF' stroke='#2A3439' stroke-width='1.3'/&gt;","&lt;path d='M"&amp;SUBSTITUTE(ROUND(L59,1),",",".")&amp;" "&amp;SUBSTITUTE(ROUND((M59)-7.5,1),",",".")&amp;"L"&amp;SUBSTITUTE(ROUND((L59)+7.5,1),",",".")&amp;" "&amp;SUBSTITUTE(ROUND(M59,1),",",".")&amp;"L"&amp;SUBSTITUTE(ROUND(L59,1),",",".")&amp;" "&amp;SUBSTITUTE(ROUND((M59)+7.5,1),",",".")&amp;"L"&amp;SUBSTITUTE(ROUND((L59)-7.5,1),",",".")&amp;" "&amp;SUBSTITUTE(ROUND(M59,1),",",".")&amp;"Z' fill='#F5F5F5' stroke='#2A3439' stroke-width='1.3'/&gt;")))&amp;"&lt;text x='"&amp;SUBSTITUTE(ROUND(L59+9,1),",",".")&amp;"' y='"&amp;SUBSTITUTE(ROUND(M59-8,1),",",".")&amp;"'&gt;"&amp;Q59&amp;"&lt;/text&gt;","")</f>
        <v/>
      </c>
      <c r="S59" s="58">
        <f>IF(I59=1,IF(N59="Motriz","&lt;circle cx='"&amp;SUBSTITUTE(ROUND(728,1),",",".")&amp;"' cy='"&amp;SUBSTITUTE(ROUND(389.8,1),",",".")&amp;"' r='4.3' fill='#2A3439' stroke='#2A3439' stroke-width='1.3'/&gt;",IF(N59="Enlace","&lt;rect x='"&amp;SUBSTITUTE(ROUND((728)-3.96,1),",",".")&amp;"' y='"&amp;SUBSTITUTE(ROUND((389.8)-3.96,1),",",".")&amp;"' width='7.92' height='7.92' fill='#6699CC' stroke='#2A3439' stroke-width='1.3'/&gt;",IF(N59="Resultado","&lt;path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Z59" s="58" t="n">
        <v>20</v>
      </c>
      <c r="AA59" s="58">
        <f>IF(AND($AA$4=1,Z59&lt;=nVariables),1,0)</f>
        <v/>
      </c>
      <c r="AB59" s="58">
        <f>IF(AA59=1,'M2'!$F29,"")</f>
        <v/>
      </c>
      <c r="AC59" s="58">
        <f>IF(AA59=1,'M2'!$E29,"")</f>
        <v/>
      </c>
      <c r="AD59" s="58">
        <f>IF(AA59=1,90+AB59*$AA$22,"")</f>
        <v/>
      </c>
      <c r="AE59" s="58">
        <f>IF(AA59=1,574-AC59*$AA$23,"")</f>
        <v/>
      </c>
      <c r="AF59" s="58">
        <f>IF(AA59=1,'M2'!$I29,"")</f>
        <v/>
      </c>
      <c r="AG59" s="58">
        <f>IF(AA59=1,IF(AF59="Motriz","#2A3439",IF(AF59="Enlace","#6699CC",IF(AF59="Resultado","#FFFFFF","#F5F5F5"))),"")</f>
        <v/>
      </c>
      <c r="AH59" s="58">
        <f>IF(AA59=1,IF(SUMPRODUCT((AB$39:AB58=AB59)*(AC$39:AC58=AC59))=0,1,0),0)</f>
        <v/>
      </c>
      <c r="AI59" s="58">
        <f>IF(AH59=1,20&amp;IF(AND(AB60=AB59,AC60=AC59),","&amp;21,"")&amp;IF(AND(AB61=AB59,AC61=AC59),","&amp;22,"")&amp;IF(AND(AB62=AB59,AC62=AC59),","&amp;23,"")&amp;IF(AND(AB63=AB59,AC63=AC59),","&amp;24,"")&amp;IF(AND(AB64=AB59,AC64=AC59),","&amp;25,"")&amp;IF(AND(AB65=AB59,AC65=AC59),","&amp;26,"")&amp;IF(AND(AB66=AB59,AC66=AC59),","&amp;27,"")&amp;IF(AND(AB67=AB59,AC67=AC59),","&amp;28,"")&amp;IF(AND(AB68=AB59,AC68=AC59),","&amp;29,"")&amp;IF(AND(AB69=AB59,AC69=AC59),","&amp;30,"")&amp;IF(AND(AB70=AB59,AC70=AC59),","&amp;31,"")&amp;IF(AND(AB71=AB59,AC71=AC59),","&amp;32,"")&amp;IF(AND(AB72=AB59,AC72=AC59),","&amp;33,"")&amp;IF(AND(AB73=AB59,AC73=AC59),","&amp;34,"")&amp;IF(AND(AB74=AB59,AC74=AC59),","&amp;35,"")&amp;IF(AND(AB75=AB59,AC75=AC59),","&amp;36,"")&amp;IF(AND(AB76=AB59,AC76=AC59),","&amp;37,"")&amp;IF(AND(AB77=AB59,AC77=AC59),","&amp;38,"")&amp;IF(AND(AB78=AB59,AC78=AC59),","&amp;39,"")&amp;IF(AND(AB79=AB59,AC79=AC59),","&amp;40,""),"")</f>
        <v/>
      </c>
      <c r="AJ59" s="58">
        <f>IF(AH59=1,IF(AF59="Motriz","&lt;circle cx='"&amp;SUBSTITUTE(ROUND(AD59,1),",",".")&amp;"' cy='"&amp;SUBSTITUTE(ROUND(AE59,1),",",".")&amp;"' r='6' fill='#2A3439' stroke='#2A3439' stroke-width='1.3'/&gt;",IF(AF59="Enlace","&lt;rect x='"&amp;SUBSTITUTE(ROUND((AD59)-5.52,1),",",".")&amp;"' y='"&amp;SUBSTITUTE(ROUND((AE59)-5.52,1),",",".")&amp;"' width='11.04' height='11.04' fill='#6699CC' stroke='#2A3439' stroke-width='1.3'/&gt;",IF(AF59="Resultado","&lt;path d='M"&amp;SUBSTITUTE(ROUND(AD59,1),",",".")&amp;" "&amp;SUBSTITUTE(ROUND((AE59)-6.9,1),",",".")&amp;"L"&amp;SUBSTITUTE(ROUND((AD59)+6.3,1),",",".")&amp;" "&amp;SUBSTITUTE(ROUND((AE59)+5.1,1),",",".")&amp;"L"&amp;SUBSTITUTE(ROUND((AD59)-6.3,1),",",".")&amp;" "&amp;SUBSTITUTE(ROUND((AE59)+5.1,1),",",".")&amp;"Z' fill='#FFFFFF' stroke='#2A3439' stroke-width='1.3'/&gt;","&lt;path d='M"&amp;SUBSTITUTE(ROUND(AD59,1),",",".")&amp;" "&amp;SUBSTITUTE(ROUND((AE59)-7.5,1),",",".")&amp;"L"&amp;SUBSTITUTE(ROUND((AD59)+7.5,1),",",".")&amp;" "&amp;SUBSTITUTE(ROUND(AE59,1),",",".")&amp;"L"&amp;SUBSTITUTE(ROUND(AD59,1),",",".")&amp;" "&amp;SUBSTITUTE(ROUND((AE59)+7.5,1),",",".")&amp;"L"&amp;SUBSTITUTE(ROUND((AD59)-7.5,1),",",".")&amp;" "&amp;SUBSTITUTE(ROUND(AE59,1),",",".")&amp;"Z' fill='#F5F5F5' stroke='#2A3439' stroke-width='1.3'/&gt;")))&amp;"&lt;text x='"&amp;SUBSTITUTE(ROUND(AD59+9,1),",",".")&amp;"' y='"&amp;SUBSTITUTE(ROUND(AE59-8,1),",",".")&amp;"'&gt;"&amp;AI59&amp;"&lt;/text&gt;","")</f>
        <v/>
      </c>
      <c r="AK59" s="58">
        <f>IF(AA59=1,IF(AF59="Motriz","&lt;circle cx='"&amp;SUBSTITUTE(ROUND(728,1),",",".")&amp;"' cy='"&amp;SUBSTITUTE(ROUND(389.8,1),",",".")&amp;"' r='4.3' fill='#2A3439' stroke='#2A3439' stroke-width='1.3'/&gt;",IF(AF59="Enlace","&lt;rect x='"&amp;SUBSTITUTE(ROUND((728)-3.96,1),",",".")&amp;"' y='"&amp;SUBSTITUTE(ROUND((389.8)-3.96,1),",",".")&amp;"' width='7.92' height='7.92' fill='#6699CC' stroke='#2A3439' stroke-width='1.3'/&gt;",IF(AF59="Resultado","&lt;path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AR59" s="58" t="n">
        <v>20</v>
      </c>
      <c r="AS59" s="58">
        <f>IF(AND($AS$4=1,AR59&lt;=nVariables),1,0)</f>
        <v/>
      </c>
      <c r="AT59" s="58">
        <f>IF(AS59=1,'M3'!$F29,"")</f>
        <v/>
      </c>
      <c r="AU59" s="58">
        <f>IF(AS59=1,'M3'!$E29,"")</f>
        <v/>
      </c>
      <c r="AV59" s="58">
        <f>IF(AS59=1,90+AT59*$AS$22,"")</f>
        <v/>
      </c>
      <c r="AW59" s="58">
        <f>IF(AS59=1,574-AU59*$AS$23,"")</f>
        <v/>
      </c>
      <c r="AX59" s="58">
        <f>IF(AS59=1,'M3'!$I29,"")</f>
        <v/>
      </c>
      <c r="AY59" s="58">
        <f>IF(AS59=1,IF(AX59="Motriz","#2A3439",IF(AX59="Enlace","#6699CC",IF(AX59="Resultado","#FFFFFF","#F5F5F5"))),"")</f>
        <v/>
      </c>
      <c r="AZ59" s="58">
        <f>IF(AS59=1,IF(SUMPRODUCT((AT$39:AT58=AT59)*(AU$39:AU58=AU59))=0,1,0),0)</f>
        <v/>
      </c>
      <c r="BA59" s="58">
        <f>IF(AZ59=1,20&amp;IF(AND(AT60=AT59,AU60=AU59),","&amp;21,"")&amp;IF(AND(AT61=AT59,AU61=AU59),","&amp;22,"")&amp;IF(AND(AT62=AT59,AU62=AU59),","&amp;23,"")&amp;IF(AND(AT63=AT59,AU63=AU59),","&amp;24,"")&amp;IF(AND(AT64=AT59,AU64=AU59),","&amp;25,"")&amp;IF(AND(AT65=AT59,AU65=AU59),","&amp;26,"")&amp;IF(AND(AT66=AT59,AU66=AU59),","&amp;27,"")&amp;IF(AND(AT67=AT59,AU67=AU59),","&amp;28,"")&amp;IF(AND(AT68=AT59,AU68=AU59),","&amp;29,"")&amp;IF(AND(AT69=AT59,AU69=AU59),","&amp;30,"")&amp;IF(AND(AT70=AT59,AU70=AU59),","&amp;31,"")&amp;IF(AND(AT71=AT59,AU71=AU59),","&amp;32,"")&amp;IF(AND(AT72=AT59,AU72=AU59),","&amp;33,"")&amp;IF(AND(AT73=AT59,AU73=AU59),","&amp;34,"")&amp;IF(AND(AT74=AT59,AU74=AU59),","&amp;35,"")&amp;IF(AND(AT75=AT59,AU75=AU59),","&amp;36,"")&amp;IF(AND(AT76=AT59,AU76=AU59),","&amp;37,"")&amp;IF(AND(AT77=AT59,AU77=AU59),","&amp;38,"")&amp;IF(AND(AT78=AT59,AU78=AU59),","&amp;39,"")&amp;IF(AND(AT79=AT59,AU79=AU59),","&amp;40,""),"")</f>
        <v/>
      </c>
      <c r="BB59" s="58">
        <f>IF(AZ59=1,IF(AX59="Motriz","&lt;circle cx='"&amp;SUBSTITUTE(ROUND(AV59,1),",",".")&amp;"' cy='"&amp;SUBSTITUTE(ROUND(AW59,1),",",".")&amp;"' r='6' fill='#2A3439' stroke='#2A3439' stroke-width='1.3'/&gt;",IF(AX59="Enlace","&lt;rect x='"&amp;SUBSTITUTE(ROUND((AV59)-5.52,1),",",".")&amp;"' y='"&amp;SUBSTITUTE(ROUND((AW59)-5.52,1),",",".")&amp;"' width='11.04' height='11.04' fill='#6699CC' stroke='#2A3439' stroke-width='1.3'/&gt;",IF(AX59="Resultado","&lt;path d='M"&amp;SUBSTITUTE(ROUND(AV59,1),",",".")&amp;" "&amp;SUBSTITUTE(ROUND((AW59)-6.9,1),",",".")&amp;"L"&amp;SUBSTITUTE(ROUND((AV59)+6.3,1),",",".")&amp;" "&amp;SUBSTITUTE(ROUND((AW59)+5.1,1),",",".")&amp;"L"&amp;SUBSTITUTE(ROUND((AV59)-6.3,1),",",".")&amp;" "&amp;SUBSTITUTE(ROUND((AW59)+5.1,1),",",".")&amp;"Z' fill='#FFFFFF' stroke='#2A3439' stroke-width='1.3'/&gt;","&lt;path d='M"&amp;SUBSTITUTE(ROUND(AV59,1),",",".")&amp;" "&amp;SUBSTITUTE(ROUND((AW59)-7.5,1),",",".")&amp;"L"&amp;SUBSTITUTE(ROUND((AV59)+7.5,1),",",".")&amp;" "&amp;SUBSTITUTE(ROUND(AW59,1),",",".")&amp;"L"&amp;SUBSTITUTE(ROUND(AV59,1),",",".")&amp;" "&amp;SUBSTITUTE(ROUND((AW59)+7.5,1),",",".")&amp;"L"&amp;SUBSTITUTE(ROUND((AV59)-7.5,1),",",".")&amp;" "&amp;SUBSTITUTE(ROUND(AW59,1),",",".")&amp;"Z' fill='#F5F5F5' stroke='#2A3439' stroke-width='1.3'/&gt;")))&amp;"&lt;text x='"&amp;SUBSTITUTE(ROUND(AV59+9,1),",",".")&amp;"' y='"&amp;SUBSTITUTE(ROUND(AW59-8,1),",",".")&amp;"'&gt;"&amp;BA59&amp;"&lt;/text&gt;","")</f>
        <v/>
      </c>
      <c r="BC59" s="58">
        <f>IF(AS59=1,IF(AX59="Motriz","&lt;circle cx='"&amp;SUBSTITUTE(ROUND(728,1),",",".")&amp;"' cy='"&amp;SUBSTITUTE(ROUND(389.8,1),",",".")&amp;"' r='4.3' fill='#2A3439' stroke='#2A3439' stroke-width='1.3'/&gt;",IF(AX59="Enlace","&lt;rect x='"&amp;SUBSTITUTE(ROUND((728)-3.96,1),",",".")&amp;"' y='"&amp;SUBSTITUTE(ROUND((389.8)-3.96,1),",",".")&amp;"' width='7.92' height='7.92' fill='#6699CC' stroke='#2A3439' stroke-width='1.3'/&gt;",IF(AX59="Resultado","&lt;path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BJ59" s="58" t="n">
        <v>20</v>
      </c>
      <c r="BK59" s="58">
        <f>IF(AND($BK$4=1,BJ59&lt;=nVariables),1,0)</f>
        <v/>
      </c>
      <c r="BL59" s="58">
        <f>IF(BK59=1,'M4'!$F29,"")</f>
        <v/>
      </c>
      <c r="BM59" s="58">
        <f>IF(BK59=1,'M4'!$E29,"")</f>
        <v/>
      </c>
      <c r="BN59" s="58">
        <f>IF(BK59=1,90+BL59*$BK$22,"")</f>
        <v/>
      </c>
      <c r="BO59" s="58">
        <f>IF(BK59=1,574-BM59*$BK$23,"")</f>
        <v/>
      </c>
      <c r="BP59" s="58">
        <f>IF(BK59=1,'M4'!$I29,"")</f>
        <v/>
      </c>
      <c r="BQ59" s="58">
        <f>IF(BK59=1,IF(BP59="Motriz","#2A3439",IF(BP59="Enlace","#6699CC",IF(BP59="Resultado","#FFFFFF","#F5F5F5"))),"")</f>
        <v/>
      </c>
      <c r="BR59" s="58">
        <f>IF(BK59=1,IF(SUMPRODUCT((BL$39:BL58=BL59)*(BM$39:BM58=BM59))=0,1,0),0)</f>
        <v/>
      </c>
      <c r="BS59" s="58">
        <f>IF(BR59=1,20&amp;IF(AND(BL60=BL59,BM60=BM59),","&amp;21,"")&amp;IF(AND(BL61=BL59,BM61=BM59),","&amp;22,"")&amp;IF(AND(BL62=BL59,BM62=BM59),","&amp;23,"")&amp;IF(AND(BL63=BL59,BM63=BM59),","&amp;24,"")&amp;IF(AND(BL64=BL59,BM64=BM59),","&amp;25,"")&amp;IF(AND(BL65=BL59,BM65=BM59),","&amp;26,"")&amp;IF(AND(BL66=BL59,BM66=BM59),","&amp;27,"")&amp;IF(AND(BL67=BL59,BM67=BM59),","&amp;28,"")&amp;IF(AND(BL68=BL59,BM68=BM59),","&amp;29,"")&amp;IF(AND(BL69=BL59,BM69=BM59),","&amp;30,"")&amp;IF(AND(BL70=BL59,BM70=BM59),","&amp;31,"")&amp;IF(AND(BL71=BL59,BM71=BM59),","&amp;32,"")&amp;IF(AND(BL72=BL59,BM72=BM59),","&amp;33,"")&amp;IF(AND(BL73=BL59,BM73=BM59),","&amp;34,"")&amp;IF(AND(BL74=BL59,BM74=BM59),","&amp;35,"")&amp;IF(AND(BL75=BL59,BM75=BM59),","&amp;36,"")&amp;IF(AND(BL76=BL59,BM76=BM59),","&amp;37,"")&amp;IF(AND(BL77=BL59,BM77=BM59),","&amp;38,"")&amp;IF(AND(BL78=BL59,BM78=BM59),","&amp;39,"")&amp;IF(AND(BL79=BL59,BM79=BM59),","&amp;40,""),"")</f>
        <v/>
      </c>
      <c r="BT59" s="58">
        <f>IF(BR59=1,IF(BP59="Motriz","&lt;circle cx='"&amp;SUBSTITUTE(ROUND(BN59,1),",",".")&amp;"' cy='"&amp;SUBSTITUTE(ROUND(BO59,1),",",".")&amp;"' r='6' fill='#2A3439' stroke='#2A3439' stroke-width='1.3'/&gt;",IF(BP59="Enlace","&lt;rect x='"&amp;SUBSTITUTE(ROUND((BN59)-5.52,1),",",".")&amp;"' y='"&amp;SUBSTITUTE(ROUND((BO59)-5.52,1),",",".")&amp;"' width='11.04' height='11.04' fill='#6699CC' stroke='#2A3439' stroke-width='1.3'/&gt;",IF(BP59="Resultado","&lt;path d='M"&amp;SUBSTITUTE(ROUND(BN59,1),",",".")&amp;" "&amp;SUBSTITUTE(ROUND((BO59)-6.9,1),",",".")&amp;"L"&amp;SUBSTITUTE(ROUND((BN59)+6.3,1),",",".")&amp;" "&amp;SUBSTITUTE(ROUND((BO59)+5.1,1),",",".")&amp;"L"&amp;SUBSTITUTE(ROUND((BN59)-6.3,1),",",".")&amp;" "&amp;SUBSTITUTE(ROUND((BO59)+5.1,1),",",".")&amp;"Z' fill='#FFFFFF' stroke='#2A3439' stroke-width='1.3'/&gt;","&lt;path d='M"&amp;SUBSTITUTE(ROUND(BN59,1),",",".")&amp;" "&amp;SUBSTITUTE(ROUND((BO59)-7.5,1),",",".")&amp;"L"&amp;SUBSTITUTE(ROUND((BN59)+7.5,1),",",".")&amp;" "&amp;SUBSTITUTE(ROUND(BO59,1),",",".")&amp;"L"&amp;SUBSTITUTE(ROUND(BN59,1),",",".")&amp;" "&amp;SUBSTITUTE(ROUND((BO59)+7.5,1),",",".")&amp;"L"&amp;SUBSTITUTE(ROUND((BN59)-7.5,1),",",".")&amp;" "&amp;SUBSTITUTE(ROUND(BO59,1),",",".")&amp;"Z' fill='#F5F5F5' stroke='#2A3439' stroke-width='1.3'/&gt;")))&amp;"&lt;text x='"&amp;SUBSTITUTE(ROUND(BN59+9,1),",",".")&amp;"' y='"&amp;SUBSTITUTE(ROUND(BO59-8,1),",",".")&amp;"'&gt;"&amp;BS59&amp;"&lt;/text&gt;","")</f>
        <v/>
      </c>
      <c r="BU59" s="58">
        <f>IF(BK59=1,IF(BP59="Motriz","&lt;circle cx='"&amp;SUBSTITUTE(ROUND(728,1),",",".")&amp;"' cy='"&amp;SUBSTITUTE(ROUND(389.8,1),",",".")&amp;"' r='4.3' fill='#2A3439' stroke='#2A3439' stroke-width='1.3'/&gt;",IF(BP59="Enlace","&lt;rect x='"&amp;SUBSTITUTE(ROUND((728)-3.96,1),",",".")&amp;"' y='"&amp;SUBSTITUTE(ROUND((389.8)-3.96,1),",",".")&amp;"' width='7.92' height='7.92' fill='#6699CC' stroke='#2A3439' stroke-width='1.3'/&gt;",IF(BP59="Resultado","&lt;path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CB59" s="58" t="n">
        <v>20</v>
      </c>
      <c r="CC59" s="58">
        <f>IF(AND($CC$4=1,CB59&lt;=nVariables),1,0)</f>
        <v/>
      </c>
      <c r="CD59" s="58">
        <f>IF(CC59=1,'M5'!$F29,"")</f>
        <v/>
      </c>
      <c r="CE59" s="58">
        <f>IF(CC59=1,'M5'!$E29,"")</f>
        <v/>
      </c>
      <c r="CF59" s="58">
        <f>IF(CC59=1,90+CD59*$CC$22,"")</f>
        <v/>
      </c>
      <c r="CG59" s="58">
        <f>IF(CC59=1,574-CE59*$CC$23,"")</f>
        <v/>
      </c>
      <c r="CH59" s="58">
        <f>IF(CC59=1,'M5'!$I29,"")</f>
        <v/>
      </c>
      <c r="CI59" s="58">
        <f>IF(CC59=1,IF(CH59="Motriz","#2A3439",IF(CH59="Enlace","#6699CC",IF(CH59="Resultado","#FFFFFF","#F5F5F5"))),"")</f>
        <v/>
      </c>
      <c r="CJ59" s="58">
        <f>IF(CC59=1,IF(SUMPRODUCT((CD$39:CD58=CD59)*(CE$39:CE58=CE59))=0,1,0),0)</f>
        <v/>
      </c>
      <c r="CK59" s="58">
        <f>IF(CJ59=1,20&amp;IF(AND(CD60=CD59,CE60=CE59),","&amp;21,"")&amp;IF(AND(CD61=CD59,CE61=CE59),","&amp;22,"")&amp;IF(AND(CD62=CD59,CE62=CE59),","&amp;23,"")&amp;IF(AND(CD63=CD59,CE63=CE59),","&amp;24,"")&amp;IF(AND(CD64=CD59,CE64=CE59),","&amp;25,"")&amp;IF(AND(CD65=CD59,CE65=CE59),","&amp;26,"")&amp;IF(AND(CD66=CD59,CE66=CE59),","&amp;27,"")&amp;IF(AND(CD67=CD59,CE67=CE59),","&amp;28,"")&amp;IF(AND(CD68=CD59,CE68=CE59),","&amp;29,"")&amp;IF(AND(CD69=CD59,CE69=CE59),","&amp;30,"")&amp;IF(AND(CD70=CD59,CE70=CE59),","&amp;31,"")&amp;IF(AND(CD71=CD59,CE71=CE59),","&amp;32,"")&amp;IF(AND(CD72=CD59,CE72=CE59),","&amp;33,"")&amp;IF(AND(CD73=CD59,CE73=CE59),","&amp;34,"")&amp;IF(AND(CD74=CD59,CE74=CE59),","&amp;35,"")&amp;IF(AND(CD75=CD59,CE75=CE59),","&amp;36,"")&amp;IF(AND(CD76=CD59,CE76=CE59),","&amp;37,"")&amp;IF(AND(CD77=CD59,CE77=CE59),","&amp;38,"")&amp;IF(AND(CD78=CD59,CE78=CE59),","&amp;39,"")&amp;IF(AND(CD79=CD59,CE79=CE59),","&amp;40,""),"")</f>
        <v/>
      </c>
      <c r="CL59" s="58">
        <f>IF(CJ59=1,IF(CH59="Motriz","&lt;circle cx='"&amp;SUBSTITUTE(ROUND(CF59,1),",",".")&amp;"' cy='"&amp;SUBSTITUTE(ROUND(CG59,1),",",".")&amp;"' r='6' fill='#2A3439' stroke='#2A3439' stroke-width='1.3'/&gt;",IF(CH59="Enlace","&lt;rect x='"&amp;SUBSTITUTE(ROUND((CF59)-5.52,1),",",".")&amp;"' y='"&amp;SUBSTITUTE(ROUND((CG59)-5.52,1),",",".")&amp;"' width='11.04' height='11.04' fill='#6699CC' stroke='#2A3439' stroke-width='1.3'/&gt;",IF(CH59="Resultado","&lt;path d='M"&amp;SUBSTITUTE(ROUND(CF59,1),",",".")&amp;" "&amp;SUBSTITUTE(ROUND((CG59)-6.9,1),",",".")&amp;"L"&amp;SUBSTITUTE(ROUND((CF59)+6.3,1),",",".")&amp;" "&amp;SUBSTITUTE(ROUND((CG59)+5.1,1),",",".")&amp;"L"&amp;SUBSTITUTE(ROUND((CF59)-6.3,1),",",".")&amp;" "&amp;SUBSTITUTE(ROUND((CG59)+5.1,1),",",".")&amp;"Z' fill='#FFFFFF' stroke='#2A3439' stroke-width='1.3'/&gt;","&lt;path d='M"&amp;SUBSTITUTE(ROUND(CF59,1),",",".")&amp;" "&amp;SUBSTITUTE(ROUND((CG59)-7.5,1),",",".")&amp;"L"&amp;SUBSTITUTE(ROUND((CF59)+7.5,1),",",".")&amp;" "&amp;SUBSTITUTE(ROUND(CG59,1),",",".")&amp;"L"&amp;SUBSTITUTE(ROUND(CF59,1),",",".")&amp;" "&amp;SUBSTITUTE(ROUND((CG59)+7.5,1),",",".")&amp;"L"&amp;SUBSTITUTE(ROUND((CF59)-7.5,1),",",".")&amp;" "&amp;SUBSTITUTE(ROUND(CG59,1),",",".")&amp;"Z' fill='#F5F5F5' stroke='#2A3439' stroke-width='1.3'/&gt;")))&amp;"&lt;text x='"&amp;SUBSTITUTE(ROUND(CF59+9,1),",",".")&amp;"' y='"&amp;SUBSTITUTE(ROUND(CG59-8,1),",",".")&amp;"'&gt;"&amp;CK59&amp;"&lt;/text&gt;","")</f>
        <v/>
      </c>
      <c r="CM59" s="58">
        <f>IF(CC59=1,IF(CH59="Motriz","&lt;circle cx='"&amp;SUBSTITUTE(ROUND(728,1),",",".")&amp;"' cy='"&amp;SUBSTITUTE(ROUND(389.8,1),",",".")&amp;"' r='4.3' fill='#2A3439' stroke='#2A3439' stroke-width='1.3'/&gt;",IF(CH59="Enlace","&lt;rect x='"&amp;SUBSTITUTE(ROUND((728)-3.96,1),",",".")&amp;"' y='"&amp;SUBSTITUTE(ROUND((389.8)-3.96,1),",",".")&amp;"' width='7.92' height='7.92' fill='#6699CC' stroke='#2A3439' stroke-width='1.3'/&gt;",IF(CH59="Resultado","&lt;path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CT59" s="58" t="n">
        <v>20</v>
      </c>
      <c r="CU59" s="58">
        <f>IF(AND($CU$4=1,CT59&lt;=nVariables),1,0)</f>
        <v/>
      </c>
      <c r="CV59" s="58">
        <f>IF(CU59=1,'M6'!$F29,"")</f>
        <v/>
      </c>
      <c r="CW59" s="58">
        <f>IF(CU59=1,'M6'!$E29,"")</f>
        <v/>
      </c>
      <c r="CX59" s="58">
        <f>IF(CU59=1,90+CV59*$CU$22,"")</f>
        <v/>
      </c>
      <c r="CY59" s="58">
        <f>IF(CU59=1,574-CW59*$CU$23,"")</f>
        <v/>
      </c>
      <c r="CZ59" s="58">
        <f>IF(CU59=1,'M6'!$I29,"")</f>
        <v/>
      </c>
      <c r="DA59" s="58">
        <f>IF(CU59=1,IF(CZ59="Motriz","#2A3439",IF(CZ59="Enlace","#6699CC",IF(CZ59="Resultado","#FFFFFF","#F5F5F5"))),"")</f>
        <v/>
      </c>
      <c r="DB59" s="58">
        <f>IF(CU59=1,IF(SUMPRODUCT((CV$39:CV58=CV59)*(CW$39:CW58=CW59))=0,1,0),0)</f>
        <v/>
      </c>
      <c r="DC59" s="58">
        <f>IF(DB59=1,20&amp;IF(AND(CV60=CV59,CW60=CW59),","&amp;21,"")&amp;IF(AND(CV61=CV59,CW61=CW59),","&amp;22,"")&amp;IF(AND(CV62=CV59,CW62=CW59),","&amp;23,"")&amp;IF(AND(CV63=CV59,CW63=CW59),","&amp;24,"")&amp;IF(AND(CV64=CV59,CW64=CW59),","&amp;25,"")&amp;IF(AND(CV65=CV59,CW65=CW59),","&amp;26,"")&amp;IF(AND(CV66=CV59,CW66=CW59),","&amp;27,"")&amp;IF(AND(CV67=CV59,CW67=CW59),","&amp;28,"")&amp;IF(AND(CV68=CV59,CW68=CW59),","&amp;29,"")&amp;IF(AND(CV69=CV59,CW69=CW59),","&amp;30,"")&amp;IF(AND(CV70=CV59,CW70=CW59),","&amp;31,"")&amp;IF(AND(CV71=CV59,CW71=CW59),","&amp;32,"")&amp;IF(AND(CV72=CV59,CW72=CW59),","&amp;33,"")&amp;IF(AND(CV73=CV59,CW73=CW59),","&amp;34,"")&amp;IF(AND(CV74=CV59,CW74=CW59),","&amp;35,"")&amp;IF(AND(CV75=CV59,CW75=CW59),","&amp;36,"")&amp;IF(AND(CV76=CV59,CW76=CW59),","&amp;37,"")&amp;IF(AND(CV77=CV59,CW77=CW59),","&amp;38,"")&amp;IF(AND(CV78=CV59,CW78=CW59),","&amp;39,"")&amp;IF(AND(CV79=CV59,CW79=CW59),","&amp;40,""),"")</f>
        <v/>
      </c>
      <c r="DD59" s="58">
        <f>IF(DB59=1,IF(CZ59="Motriz","&lt;circle cx='"&amp;SUBSTITUTE(ROUND(CX59,1),",",".")&amp;"' cy='"&amp;SUBSTITUTE(ROUND(CY59,1),",",".")&amp;"' r='6' fill='#2A3439' stroke='#2A3439' stroke-width='1.3'/&gt;",IF(CZ59="Enlace","&lt;rect x='"&amp;SUBSTITUTE(ROUND((CX59)-5.52,1),",",".")&amp;"' y='"&amp;SUBSTITUTE(ROUND((CY59)-5.52,1),",",".")&amp;"' width='11.04' height='11.04' fill='#6699CC' stroke='#2A3439' stroke-width='1.3'/&gt;",IF(CZ59="Resultado","&lt;path d='M"&amp;SUBSTITUTE(ROUND(CX59,1),",",".")&amp;" "&amp;SUBSTITUTE(ROUND((CY59)-6.9,1),",",".")&amp;"L"&amp;SUBSTITUTE(ROUND((CX59)+6.3,1),",",".")&amp;" "&amp;SUBSTITUTE(ROUND((CY59)+5.1,1),",",".")&amp;"L"&amp;SUBSTITUTE(ROUND((CX59)-6.3,1),",",".")&amp;" "&amp;SUBSTITUTE(ROUND((CY59)+5.1,1),",",".")&amp;"Z' fill='#FFFFFF' stroke='#2A3439' stroke-width='1.3'/&gt;","&lt;path d='M"&amp;SUBSTITUTE(ROUND(CX59,1),",",".")&amp;" "&amp;SUBSTITUTE(ROUND((CY59)-7.5,1),",",".")&amp;"L"&amp;SUBSTITUTE(ROUND((CX59)+7.5,1),",",".")&amp;" "&amp;SUBSTITUTE(ROUND(CY59,1),",",".")&amp;"L"&amp;SUBSTITUTE(ROUND(CX59,1),",",".")&amp;" "&amp;SUBSTITUTE(ROUND((CY59)+7.5,1),",",".")&amp;"L"&amp;SUBSTITUTE(ROUND((CX59)-7.5,1),",",".")&amp;" "&amp;SUBSTITUTE(ROUND(CY59,1),",",".")&amp;"Z' fill='#F5F5F5' stroke='#2A3439' stroke-width='1.3'/&gt;")))&amp;"&lt;text x='"&amp;SUBSTITUTE(ROUND(CX59+9,1),",",".")&amp;"' y='"&amp;SUBSTITUTE(ROUND(CY59-8,1),",",".")&amp;"'&gt;"&amp;DC59&amp;"&lt;/text&gt;","")</f>
        <v/>
      </c>
      <c r="DE59" s="58">
        <f>IF(CU59=1,IF(CZ59="Motriz","&lt;circle cx='"&amp;SUBSTITUTE(ROUND(728,1),",",".")&amp;"' cy='"&amp;SUBSTITUTE(ROUND(389.8,1),",",".")&amp;"' r='4.3' fill='#2A3439' stroke='#2A3439' stroke-width='1.3'/&gt;",IF(CZ59="Enlace","&lt;rect x='"&amp;SUBSTITUTE(ROUND((728)-3.96,1),",",".")&amp;"' y='"&amp;SUBSTITUTE(ROUND((389.8)-3.96,1),",",".")&amp;"' width='7.92' height='7.92' fill='#6699CC' stroke='#2A3439' stroke-width='1.3'/&gt;",IF(CZ59="Resultado","&lt;path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DL59" s="58" t="n">
        <v>8</v>
      </c>
      <c r="DM59" s="58">
        <f>IF(AND($DM$4=1,DL59&lt;=nVariables),IF('M6'!$I17="Resultado","E",IF('M6'!$I17="Enlace","L",IF('M6'!$I17="Motriz","R",IF('M6'!$I17="Autónoma","A","")))),"")</f>
        <v/>
      </c>
      <c r="DN59" s="58">
        <f>IF(DM59&lt;&gt;"",COUNTIF($DM$52:DM59,DM59),"")</f>
        <v/>
      </c>
      <c r="DO59" s="58">
        <f>IF(DM59&lt;&gt;"",SUBSTITUTE(SUBSTITUTE(SUBSTITUTE(SUBSTITUTE(SUBSTITUTE(SUBSTITUTE(SUBSTITUTE(TRIM(CLEAN(IF(LEN(8&amp;" · "&amp;$D47)&gt;30,LEFT(8&amp;" · "&amp;$D47,29)&amp;"…",8&amp;" · "&amp;$D47))),"&amp;","&amp;amp;"),"&lt;","&amp;lt;"),"&gt;","&amp;gt;"),CHAR(34),"&amp;quot;"),CHAR(10)," "),CHAR(9)," "),CHAR(13)," "),"")</f>
        <v/>
      </c>
      <c r="DP59" s="58">
        <f>IF(DM59&lt;&gt;"",IF($E47&lt;&gt;"",$E47,IF(DM59="E","(efecto · indicador de resultado)",IF(DM59="L","(causa directa · riesgo)",IF(DM59="R","CAUSA RAÍZ · componente del proyecto","(fuera del alcance)")))),"")</f>
        <v/>
      </c>
      <c r="DQ59" s="58">
        <f>IF(DM59&lt;&gt;"",IF(LEN(DP59)&gt;74,LEFT(DP59,73)&amp;"…",DP59),"")</f>
        <v/>
      </c>
      <c r="DR59" s="58">
        <f>IF(DM59&lt;&gt;"",IF(LEN(DQ59)&lt;=37,LEN(DQ59)+1,IFERROR(FIND("~",SUBSTITUTE(LEFT(DQ59,38)," ","~",LEN(LEFT(DQ59,38))-LEN(SUBSTITUTE(LEFT(DQ59,38)," ","")))),38)),"")</f>
        <v/>
      </c>
      <c r="DS59" s="58">
        <f>IF(DM59&lt;&gt;"",SUBSTITUTE(SUBSTITUTE(SUBSTITUTE(SUBSTITUTE(SUBSTITUTE(SUBSTITUTE(SUBSTITUTE(TRIM(CLEAN(TRIM(LEFT(DQ59,DR59-1)))),"&amp;","&amp;amp;"),"&lt;","&amp;lt;"),"&gt;","&amp;gt;"),CHAR(34),"&amp;quot;"),CHAR(10)," "),CHAR(9)," "),CHAR(13)," "),"")</f>
        <v/>
      </c>
      <c r="DT59" s="58">
        <f>IF(DM59&lt;&gt;"",SUBSTITUTE(SUBSTITUTE(SUBSTITUTE(SUBSTITUTE(SUBSTITUTE(SUBSTITUTE(SUBSTITUTE(TRIM(CLEAN(IF(LEN(TRIM(MID(DQ59,DR59,80)))&gt;37,LEFT(TRIM(MID(DQ59,DR59,80)),36)&amp;"…",TRIM(MID(DQ59,DR59,80))))),"&amp;","&amp;amp;"),"&lt;","&amp;lt;"),"&gt;","&amp;gt;"),CHAR(34),"&amp;quot;"),CHAR(10)," "),CHAR(9)," "),CHAR(13)," "),"")</f>
        <v/>
      </c>
      <c r="DU59" s="58">
        <f>IF(DM59&lt;&gt;"",(1200-(MIN(5,IF(DM59="E",$DM$5,IF(DM59="L",$DM$8,IF(DM59="R",$DM$11,$DM$14)))-INT((DN59-1)/5)*5)*216+(MIN(5,IF(DM59="E",$DM$5,IF(DM59="L",$DM$8,IF(DM59="R",$DM$11,$DM$14)))-INT((DN59-1)/5)*5)-1)*14))/2+MOD(DN59-1,5)*(216+14),"")</f>
        <v/>
      </c>
      <c r="DV59" s="58">
        <f>IF(DM59&lt;&gt;"",IF(DM59="E",$DM$17,IF(DM59="L",$DM$21,IF(DM59="R",$DM$23,$DM$25)))+24+INT((DN59-1)/5)*(64+12),"")</f>
        <v/>
      </c>
      <c r="DW59" s="58">
        <f>IF(DM59&lt;&gt;"","&lt;rect x='"&amp;SUBSTITUTE(ROUND(DU59,1),",",".")&amp;"' y='"&amp;SUBSTITUTE(ROUND(DV59,1),",",".")&amp;"' width='216' height='64' rx='9' fill='"&amp;IF(DM59="E","#B9D9EB",IF(DM59="L","#9EB9D4",IF(DM59="R","#6699CC","#F5F5F5")))&amp;"' stroke='#2A3439' stroke-width='1'"&amp;IF(DM59="A"," stroke-dasharray='5 3'","")&amp;"/&gt;"&amp;"&lt;text x='"&amp;SUBSTITUTE(ROUND((DU59+108),1),",",".")&amp;"' y='"&amp;SUBSTITUTE(ROUND(DV59+20,1),",",".")&amp;"' font-size='12' font-weight='bold'&gt;"&amp;DO59&amp;"&lt;/text&gt;"&amp;"&lt;text x='"&amp;SUBSTITUTE(ROUND((DU59+108),1),",",".")&amp;"' y='"&amp;SUBSTITUTE(ROUND(DV59+38,1),",",".")&amp;"' font-size='10'&gt;"&amp;DS59&amp;"&lt;/text&gt;"&amp;"&lt;text x='"&amp;SUBSTITUTE(ROUND((DU59+108),1),",",".")&amp;"' y='"&amp;SUBSTITUTE(ROUND(DV59+53,1),",",".")&amp;"' font-size='10'&gt;"&amp;DT59&amp;"&lt;/text&gt;","")</f>
        <v/>
      </c>
    </row>
    <row r="60">
      <c r="A60" s="58" t="n">
        <v>21</v>
      </c>
      <c r="B60" s="58">
        <f>IF($A60&lt;=nVariables,SUBSTITUTE(SUBSTITUTE(SUBSTITUTE(SUBSTITUTE(SUBSTITUTE(SUBSTITUTE(SUBSTITUTE(TRIM(CLEAN(IF(LEN(TRIM(M!$B30))&gt;46,LEFT(TRIM(M!$B30),45)&amp;"…",TRIM(M!$B30)))),"&amp;","&amp;amp;"),"&lt;","&amp;lt;"),"&gt;","&amp;gt;"),CHAR(34),"&amp;quot;"),CHAR(10)," "),CHAR(9)," "),CHAR(13)," "),"")</f>
        <v/>
      </c>
      <c r="C60" s="58">
        <f>IF($A60&lt;=nVariables,$A60&amp;". "&amp;B60,"")</f>
        <v/>
      </c>
      <c r="D60" s="58">
        <f>IF($A60&lt;=nVariables,IF(TRIM(M!$C30)&lt;&gt;"",TRIM(M!$C30),IF(LEN(TRIM(M!$B30))&gt;24,LEFT(TRIM(M!$B30),23)&amp;"…",TRIM(M!$B30))),"")</f>
        <v/>
      </c>
      <c r="E60" s="58">
        <f>IF($A60&lt;=nVariables,TRIM('Árbol de Problemas'!$F39),"")</f>
        <v/>
      </c>
      <c r="H60" s="58" t="n">
        <v>21</v>
      </c>
      <c r="I60" s="58">
        <f>IF(AND($I$4=1,H60&lt;=nVariables),1,0)</f>
        <v/>
      </c>
      <c r="J60" s="58">
        <f>IF(I60=1,'M1'!$F30,"")</f>
        <v/>
      </c>
      <c r="K60" s="58">
        <f>IF(I60=1,'M1'!$E30,"")</f>
        <v/>
      </c>
      <c r="L60" s="58">
        <f>IF(I60=1,90+J60*$I$22,"")</f>
        <v/>
      </c>
      <c r="M60" s="58">
        <f>IF(I60=1,574-K60*$I$23,"")</f>
        <v/>
      </c>
      <c r="N60" s="58">
        <f>IF(I60=1,'M1'!$I30,"")</f>
        <v/>
      </c>
      <c r="O60" s="58">
        <f>IF(I60=1,IF(N60="Motriz","#2A3439",IF(N60="Enlace","#6699CC",IF(N60="Resultado","#FFFFFF","#F5F5F5"))),"")</f>
        <v/>
      </c>
      <c r="P60" s="58">
        <f>IF(I60=1,IF(SUMPRODUCT((J$39:J59=J60)*(K$39:K59=K60))=0,1,0),0)</f>
        <v/>
      </c>
      <c r="Q60" s="58">
        <f>IF(P60=1,21&amp;IF(AND(J61=J60,K61=K60),","&amp;22,"")&amp;IF(AND(J62=J60,K62=K60),","&amp;23,"")&amp;IF(AND(J63=J60,K63=K60),","&amp;24,"")&amp;IF(AND(J64=J60,K64=K60),","&amp;25,"")&amp;IF(AND(J65=J60,K65=K60),","&amp;26,"")&amp;IF(AND(J66=J60,K66=K60),","&amp;27,"")&amp;IF(AND(J67=J60,K67=K60),","&amp;28,"")&amp;IF(AND(J68=J60,K68=K60),","&amp;29,"")&amp;IF(AND(J69=J60,K69=K60),","&amp;30,"")&amp;IF(AND(J70=J60,K70=K60),","&amp;31,"")&amp;IF(AND(J71=J60,K71=K60),","&amp;32,"")&amp;IF(AND(J72=J60,K72=K60),","&amp;33,"")&amp;IF(AND(J73=J60,K73=K60),","&amp;34,"")&amp;IF(AND(J74=J60,K74=K60),","&amp;35,"")&amp;IF(AND(J75=J60,K75=K60),","&amp;36,"")&amp;IF(AND(J76=J60,K76=K60),","&amp;37,"")&amp;IF(AND(J77=J60,K77=K60),","&amp;38,"")&amp;IF(AND(J78=J60,K78=K60),","&amp;39,"")&amp;IF(AND(J79=J60,K79=K60),","&amp;40,""),"")</f>
        <v/>
      </c>
      <c r="R60" s="58">
        <f>IF(P60=1,IF(N60="Motriz","&lt;circle cx='"&amp;SUBSTITUTE(ROUND(L60,1),",",".")&amp;"' cy='"&amp;SUBSTITUTE(ROUND(M60,1),",",".")&amp;"' r='6' fill='#2A3439' stroke='#2A3439' stroke-width='1.3'/&gt;",IF(N60="Enlace","&lt;rect x='"&amp;SUBSTITUTE(ROUND((L60)-5.52,1),",",".")&amp;"' y='"&amp;SUBSTITUTE(ROUND((M60)-5.52,1),",",".")&amp;"' width='11.04' height='11.04' fill='#6699CC' stroke='#2A3439' stroke-width='1.3'/&gt;",IF(N60="Resultado","&lt;path d='M"&amp;SUBSTITUTE(ROUND(L60,1),",",".")&amp;" "&amp;SUBSTITUTE(ROUND((M60)-6.9,1),",",".")&amp;"L"&amp;SUBSTITUTE(ROUND((L60)+6.3,1),",",".")&amp;" "&amp;SUBSTITUTE(ROUND((M60)+5.1,1),",",".")&amp;"L"&amp;SUBSTITUTE(ROUND((L60)-6.3,1),",",".")&amp;" "&amp;SUBSTITUTE(ROUND((M60)+5.1,1),",",".")&amp;"Z' fill='#FFFFFF' stroke='#2A3439' stroke-width='1.3'/&gt;","&lt;path d='M"&amp;SUBSTITUTE(ROUND(L60,1),",",".")&amp;" "&amp;SUBSTITUTE(ROUND((M60)-7.5,1),",",".")&amp;"L"&amp;SUBSTITUTE(ROUND((L60)+7.5,1),",",".")&amp;" "&amp;SUBSTITUTE(ROUND(M60,1),",",".")&amp;"L"&amp;SUBSTITUTE(ROUND(L60,1),",",".")&amp;" "&amp;SUBSTITUTE(ROUND((M60)+7.5,1),",",".")&amp;"L"&amp;SUBSTITUTE(ROUND((L60)-7.5,1),",",".")&amp;" "&amp;SUBSTITUTE(ROUND(M60,1),",",".")&amp;"Z' fill='#F5F5F5' stroke='#2A3439' stroke-width='1.3'/&gt;")))&amp;"&lt;text x='"&amp;SUBSTITUTE(ROUND(L60+9,1),",",".")&amp;"' y='"&amp;SUBSTITUTE(ROUND(M60-8,1),",",".")&amp;"'&gt;"&amp;Q60&amp;"&lt;/text&gt;","")</f>
        <v/>
      </c>
      <c r="S60" s="58">
        <f>IF(I60=1,IF(N60="Motriz","&lt;circle cx='"&amp;SUBSTITUTE(ROUND(728,1),",",".")&amp;"' cy='"&amp;SUBSTITUTE(ROUND(404,1),",",".")&amp;"' r='4.3' fill='#2A3439' stroke='#2A3439' stroke-width='1.3'/&gt;",IF(N60="Enlace","&lt;rect x='"&amp;SUBSTITUTE(ROUND((728)-3.96,1),",",".")&amp;"' y='"&amp;SUBSTITUTE(ROUND((404)-3.96,1),",",".")&amp;"' width='7.92' height='7.92' fill='#6699CC' stroke='#2A3439' stroke-width='1.3'/&gt;",IF(N60="Resultado","&lt;path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Z60" s="58" t="n">
        <v>21</v>
      </c>
      <c r="AA60" s="58">
        <f>IF(AND($AA$4=1,Z60&lt;=nVariables),1,0)</f>
        <v/>
      </c>
      <c r="AB60" s="58">
        <f>IF(AA60=1,'M2'!$F30,"")</f>
        <v/>
      </c>
      <c r="AC60" s="58">
        <f>IF(AA60=1,'M2'!$E30,"")</f>
        <v/>
      </c>
      <c r="AD60" s="58">
        <f>IF(AA60=1,90+AB60*$AA$22,"")</f>
        <v/>
      </c>
      <c r="AE60" s="58">
        <f>IF(AA60=1,574-AC60*$AA$23,"")</f>
        <v/>
      </c>
      <c r="AF60" s="58">
        <f>IF(AA60=1,'M2'!$I30,"")</f>
        <v/>
      </c>
      <c r="AG60" s="58">
        <f>IF(AA60=1,IF(AF60="Motriz","#2A3439",IF(AF60="Enlace","#6699CC",IF(AF60="Resultado","#FFFFFF","#F5F5F5"))),"")</f>
        <v/>
      </c>
      <c r="AH60" s="58">
        <f>IF(AA60=1,IF(SUMPRODUCT((AB$39:AB59=AB60)*(AC$39:AC59=AC60))=0,1,0),0)</f>
        <v/>
      </c>
      <c r="AI60" s="58">
        <f>IF(AH60=1,21&amp;IF(AND(AB61=AB60,AC61=AC60),","&amp;22,"")&amp;IF(AND(AB62=AB60,AC62=AC60),","&amp;23,"")&amp;IF(AND(AB63=AB60,AC63=AC60),","&amp;24,"")&amp;IF(AND(AB64=AB60,AC64=AC60),","&amp;25,"")&amp;IF(AND(AB65=AB60,AC65=AC60),","&amp;26,"")&amp;IF(AND(AB66=AB60,AC66=AC60),","&amp;27,"")&amp;IF(AND(AB67=AB60,AC67=AC60),","&amp;28,"")&amp;IF(AND(AB68=AB60,AC68=AC60),","&amp;29,"")&amp;IF(AND(AB69=AB60,AC69=AC60),","&amp;30,"")&amp;IF(AND(AB70=AB60,AC70=AC60),","&amp;31,"")&amp;IF(AND(AB71=AB60,AC71=AC60),","&amp;32,"")&amp;IF(AND(AB72=AB60,AC72=AC60),","&amp;33,"")&amp;IF(AND(AB73=AB60,AC73=AC60),","&amp;34,"")&amp;IF(AND(AB74=AB60,AC74=AC60),","&amp;35,"")&amp;IF(AND(AB75=AB60,AC75=AC60),","&amp;36,"")&amp;IF(AND(AB76=AB60,AC76=AC60),","&amp;37,"")&amp;IF(AND(AB77=AB60,AC77=AC60),","&amp;38,"")&amp;IF(AND(AB78=AB60,AC78=AC60),","&amp;39,"")&amp;IF(AND(AB79=AB60,AC79=AC60),","&amp;40,""),"")</f>
        <v/>
      </c>
      <c r="AJ60" s="58">
        <f>IF(AH60=1,IF(AF60="Motriz","&lt;circle cx='"&amp;SUBSTITUTE(ROUND(AD60,1),",",".")&amp;"' cy='"&amp;SUBSTITUTE(ROUND(AE60,1),",",".")&amp;"' r='6' fill='#2A3439' stroke='#2A3439' stroke-width='1.3'/&gt;",IF(AF60="Enlace","&lt;rect x='"&amp;SUBSTITUTE(ROUND((AD60)-5.52,1),",",".")&amp;"' y='"&amp;SUBSTITUTE(ROUND((AE60)-5.52,1),",",".")&amp;"' width='11.04' height='11.04' fill='#6699CC' stroke='#2A3439' stroke-width='1.3'/&gt;",IF(AF60="Resultado","&lt;path d='M"&amp;SUBSTITUTE(ROUND(AD60,1),",",".")&amp;" "&amp;SUBSTITUTE(ROUND((AE60)-6.9,1),",",".")&amp;"L"&amp;SUBSTITUTE(ROUND((AD60)+6.3,1),",",".")&amp;" "&amp;SUBSTITUTE(ROUND((AE60)+5.1,1),",",".")&amp;"L"&amp;SUBSTITUTE(ROUND((AD60)-6.3,1),",",".")&amp;" "&amp;SUBSTITUTE(ROUND((AE60)+5.1,1),",",".")&amp;"Z' fill='#FFFFFF' stroke='#2A3439' stroke-width='1.3'/&gt;","&lt;path d='M"&amp;SUBSTITUTE(ROUND(AD60,1),",",".")&amp;" "&amp;SUBSTITUTE(ROUND((AE60)-7.5,1),",",".")&amp;"L"&amp;SUBSTITUTE(ROUND((AD60)+7.5,1),",",".")&amp;" "&amp;SUBSTITUTE(ROUND(AE60,1),",",".")&amp;"L"&amp;SUBSTITUTE(ROUND(AD60,1),",",".")&amp;" "&amp;SUBSTITUTE(ROUND((AE60)+7.5,1),",",".")&amp;"L"&amp;SUBSTITUTE(ROUND((AD60)-7.5,1),",",".")&amp;" "&amp;SUBSTITUTE(ROUND(AE60,1),",",".")&amp;"Z' fill='#F5F5F5' stroke='#2A3439' stroke-width='1.3'/&gt;")))&amp;"&lt;text x='"&amp;SUBSTITUTE(ROUND(AD60+9,1),",",".")&amp;"' y='"&amp;SUBSTITUTE(ROUND(AE60-8,1),",",".")&amp;"'&gt;"&amp;AI60&amp;"&lt;/text&gt;","")</f>
        <v/>
      </c>
      <c r="AK60" s="58">
        <f>IF(AA60=1,IF(AF60="Motriz","&lt;circle cx='"&amp;SUBSTITUTE(ROUND(728,1),",",".")&amp;"' cy='"&amp;SUBSTITUTE(ROUND(404,1),",",".")&amp;"' r='4.3' fill='#2A3439' stroke='#2A3439' stroke-width='1.3'/&gt;",IF(AF60="Enlace","&lt;rect x='"&amp;SUBSTITUTE(ROUND((728)-3.96,1),",",".")&amp;"' y='"&amp;SUBSTITUTE(ROUND((404)-3.96,1),",",".")&amp;"' width='7.92' height='7.92' fill='#6699CC' stroke='#2A3439' stroke-width='1.3'/&gt;",IF(AF60="Resultado","&lt;path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AR60" s="58" t="n">
        <v>21</v>
      </c>
      <c r="AS60" s="58">
        <f>IF(AND($AS$4=1,AR60&lt;=nVariables),1,0)</f>
        <v/>
      </c>
      <c r="AT60" s="58">
        <f>IF(AS60=1,'M3'!$F30,"")</f>
        <v/>
      </c>
      <c r="AU60" s="58">
        <f>IF(AS60=1,'M3'!$E30,"")</f>
        <v/>
      </c>
      <c r="AV60" s="58">
        <f>IF(AS60=1,90+AT60*$AS$22,"")</f>
        <v/>
      </c>
      <c r="AW60" s="58">
        <f>IF(AS60=1,574-AU60*$AS$23,"")</f>
        <v/>
      </c>
      <c r="AX60" s="58">
        <f>IF(AS60=1,'M3'!$I30,"")</f>
        <v/>
      </c>
      <c r="AY60" s="58">
        <f>IF(AS60=1,IF(AX60="Motriz","#2A3439",IF(AX60="Enlace","#6699CC",IF(AX60="Resultado","#FFFFFF","#F5F5F5"))),"")</f>
        <v/>
      </c>
      <c r="AZ60" s="58">
        <f>IF(AS60=1,IF(SUMPRODUCT((AT$39:AT59=AT60)*(AU$39:AU59=AU60))=0,1,0),0)</f>
        <v/>
      </c>
      <c r="BA60" s="58">
        <f>IF(AZ60=1,21&amp;IF(AND(AT61=AT60,AU61=AU60),","&amp;22,"")&amp;IF(AND(AT62=AT60,AU62=AU60),","&amp;23,"")&amp;IF(AND(AT63=AT60,AU63=AU60),","&amp;24,"")&amp;IF(AND(AT64=AT60,AU64=AU60),","&amp;25,"")&amp;IF(AND(AT65=AT60,AU65=AU60),","&amp;26,"")&amp;IF(AND(AT66=AT60,AU66=AU60),","&amp;27,"")&amp;IF(AND(AT67=AT60,AU67=AU60),","&amp;28,"")&amp;IF(AND(AT68=AT60,AU68=AU60),","&amp;29,"")&amp;IF(AND(AT69=AT60,AU69=AU60),","&amp;30,"")&amp;IF(AND(AT70=AT60,AU70=AU60),","&amp;31,"")&amp;IF(AND(AT71=AT60,AU71=AU60),","&amp;32,"")&amp;IF(AND(AT72=AT60,AU72=AU60),","&amp;33,"")&amp;IF(AND(AT73=AT60,AU73=AU60),","&amp;34,"")&amp;IF(AND(AT74=AT60,AU74=AU60),","&amp;35,"")&amp;IF(AND(AT75=AT60,AU75=AU60),","&amp;36,"")&amp;IF(AND(AT76=AT60,AU76=AU60),","&amp;37,"")&amp;IF(AND(AT77=AT60,AU77=AU60),","&amp;38,"")&amp;IF(AND(AT78=AT60,AU78=AU60),","&amp;39,"")&amp;IF(AND(AT79=AT60,AU79=AU60),","&amp;40,""),"")</f>
        <v/>
      </c>
      <c r="BB60" s="58">
        <f>IF(AZ60=1,IF(AX60="Motriz","&lt;circle cx='"&amp;SUBSTITUTE(ROUND(AV60,1),",",".")&amp;"' cy='"&amp;SUBSTITUTE(ROUND(AW60,1),",",".")&amp;"' r='6' fill='#2A3439' stroke='#2A3439' stroke-width='1.3'/&gt;",IF(AX60="Enlace","&lt;rect x='"&amp;SUBSTITUTE(ROUND((AV60)-5.52,1),",",".")&amp;"' y='"&amp;SUBSTITUTE(ROUND((AW60)-5.52,1),",",".")&amp;"' width='11.04' height='11.04' fill='#6699CC' stroke='#2A3439' stroke-width='1.3'/&gt;",IF(AX60="Resultado","&lt;path d='M"&amp;SUBSTITUTE(ROUND(AV60,1),",",".")&amp;" "&amp;SUBSTITUTE(ROUND((AW60)-6.9,1),",",".")&amp;"L"&amp;SUBSTITUTE(ROUND((AV60)+6.3,1),",",".")&amp;" "&amp;SUBSTITUTE(ROUND((AW60)+5.1,1),",",".")&amp;"L"&amp;SUBSTITUTE(ROUND((AV60)-6.3,1),",",".")&amp;" "&amp;SUBSTITUTE(ROUND((AW60)+5.1,1),",",".")&amp;"Z' fill='#FFFFFF' stroke='#2A3439' stroke-width='1.3'/&gt;","&lt;path d='M"&amp;SUBSTITUTE(ROUND(AV60,1),",",".")&amp;" "&amp;SUBSTITUTE(ROUND((AW60)-7.5,1),",",".")&amp;"L"&amp;SUBSTITUTE(ROUND((AV60)+7.5,1),",",".")&amp;" "&amp;SUBSTITUTE(ROUND(AW60,1),",",".")&amp;"L"&amp;SUBSTITUTE(ROUND(AV60,1),",",".")&amp;" "&amp;SUBSTITUTE(ROUND((AW60)+7.5,1),",",".")&amp;"L"&amp;SUBSTITUTE(ROUND((AV60)-7.5,1),",",".")&amp;" "&amp;SUBSTITUTE(ROUND(AW60,1),",",".")&amp;"Z' fill='#F5F5F5' stroke='#2A3439' stroke-width='1.3'/&gt;")))&amp;"&lt;text x='"&amp;SUBSTITUTE(ROUND(AV60+9,1),",",".")&amp;"' y='"&amp;SUBSTITUTE(ROUND(AW60-8,1),",",".")&amp;"'&gt;"&amp;BA60&amp;"&lt;/text&gt;","")</f>
        <v/>
      </c>
      <c r="BC60" s="58">
        <f>IF(AS60=1,IF(AX60="Motriz","&lt;circle cx='"&amp;SUBSTITUTE(ROUND(728,1),",",".")&amp;"' cy='"&amp;SUBSTITUTE(ROUND(404,1),",",".")&amp;"' r='4.3' fill='#2A3439' stroke='#2A3439' stroke-width='1.3'/&gt;",IF(AX60="Enlace","&lt;rect x='"&amp;SUBSTITUTE(ROUND((728)-3.96,1),",",".")&amp;"' y='"&amp;SUBSTITUTE(ROUND((404)-3.96,1),",",".")&amp;"' width='7.92' height='7.92' fill='#6699CC' stroke='#2A3439' stroke-width='1.3'/&gt;",IF(AX60="Resultado","&lt;path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BJ60" s="58" t="n">
        <v>21</v>
      </c>
      <c r="BK60" s="58">
        <f>IF(AND($BK$4=1,BJ60&lt;=nVariables),1,0)</f>
        <v/>
      </c>
      <c r="BL60" s="58">
        <f>IF(BK60=1,'M4'!$F30,"")</f>
        <v/>
      </c>
      <c r="BM60" s="58">
        <f>IF(BK60=1,'M4'!$E30,"")</f>
        <v/>
      </c>
      <c r="BN60" s="58">
        <f>IF(BK60=1,90+BL60*$BK$22,"")</f>
        <v/>
      </c>
      <c r="BO60" s="58">
        <f>IF(BK60=1,574-BM60*$BK$23,"")</f>
        <v/>
      </c>
      <c r="BP60" s="58">
        <f>IF(BK60=1,'M4'!$I30,"")</f>
        <v/>
      </c>
      <c r="BQ60" s="58">
        <f>IF(BK60=1,IF(BP60="Motriz","#2A3439",IF(BP60="Enlace","#6699CC",IF(BP60="Resultado","#FFFFFF","#F5F5F5"))),"")</f>
        <v/>
      </c>
      <c r="BR60" s="58">
        <f>IF(BK60=1,IF(SUMPRODUCT((BL$39:BL59=BL60)*(BM$39:BM59=BM60))=0,1,0),0)</f>
        <v/>
      </c>
      <c r="BS60" s="58">
        <f>IF(BR60=1,21&amp;IF(AND(BL61=BL60,BM61=BM60),","&amp;22,"")&amp;IF(AND(BL62=BL60,BM62=BM60),","&amp;23,"")&amp;IF(AND(BL63=BL60,BM63=BM60),","&amp;24,"")&amp;IF(AND(BL64=BL60,BM64=BM60),","&amp;25,"")&amp;IF(AND(BL65=BL60,BM65=BM60),","&amp;26,"")&amp;IF(AND(BL66=BL60,BM66=BM60),","&amp;27,"")&amp;IF(AND(BL67=BL60,BM67=BM60),","&amp;28,"")&amp;IF(AND(BL68=BL60,BM68=BM60),","&amp;29,"")&amp;IF(AND(BL69=BL60,BM69=BM60),","&amp;30,"")&amp;IF(AND(BL70=BL60,BM70=BM60),","&amp;31,"")&amp;IF(AND(BL71=BL60,BM71=BM60),","&amp;32,"")&amp;IF(AND(BL72=BL60,BM72=BM60),","&amp;33,"")&amp;IF(AND(BL73=BL60,BM73=BM60),","&amp;34,"")&amp;IF(AND(BL74=BL60,BM74=BM60),","&amp;35,"")&amp;IF(AND(BL75=BL60,BM75=BM60),","&amp;36,"")&amp;IF(AND(BL76=BL60,BM76=BM60),","&amp;37,"")&amp;IF(AND(BL77=BL60,BM77=BM60),","&amp;38,"")&amp;IF(AND(BL78=BL60,BM78=BM60),","&amp;39,"")&amp;IF(AND(BL79=BL60,BM79=BM60),","&amp;40,""),"")</f>
        <v/>
      </c>
      <c r="BT60" s="58">
        <f>IF(BR60=1,IF(BP60="Motriz","&lt;circle cx='"&amp;SUBSTITUTE(ROUND(BN60,1),",",".")&amp;"' cy='"&amp;SUBSTITUTE(ROUND(BO60,1),",",".")&amp;"' r='6' fill='#2A3439' stroke='#2A3439' stroke-width='1.3'/&gt;",IF(BP60="Enlace","&lt;rect x='"&amp;SUBSTITUTE(ROUND((BN60)-5.52,1),",",".")&amp;"' y='"&amp;SUBSTITUTE(ROUND((BO60)-5.52,1),",",".")&amp;"' width='11.04' height='11.04' fill='#6699CC' stroke='#2A3439' stroke-width='1.3'/&gt;",IF(BP60="Resultado","&lt;path d='M"&amp;SUBSTITUTE(ROUND(BN60,1),",",".")&amp;" "&amp;SUBSTITUTE(ROUND((BO60)-6.9,1),",",".")&amp;"L"&amp;SUBSTITUTE(ROUND((BN60)+6.3,1),",",".")&amp;" "&amp;SUBSTITUTE(ROUND((BO60)+5.1,1),",",".")&amp;"L"&amp;SUBSTITUTE(ROUND((BN60)-6.3,1),",",".")&amp;" "&amp;SUBSTITUTE(ROUND((BO60)+5.1,1),",",".")&amp;"Z' fill='#FFFFFF' stroke='#2A3439' stroke-width='1.3'/&gt;","&lt;path d='M"&amp;SUBSTITUTE(ROUND(BN60,1),",",".")&amp;" "&amp;SUBSTITUTE(ROUND((BO60)-7.5,1),",",".")&amp;"L"&amp;SUBSTITUTE(ROUND((BN60)+7.5,1),",",".")&amp;" "&amp;SUBSTITUTE(ROUND(BO60,1),",",".")&amp;"L"&amp;SUBSTITUTE(ROUND(BN60,1),",",".")&amp;" "&amp;SUBSTITUTE(ROUND((BO60)+7.5,1),",",".")&amp;"L"&amp;SUBSTITUTE(ROUND((BN60)-7.5,1),",",".")&amp;" "&amp;SUBSTITUTE(ROUND(BO60,1),",",".")&amp;"Z' fill='#F5F5F5' stroke='#2A3439' stroke-width='1.3'/&gt;")))&amp;"&lt;text x='"&amp;SUBSTITUTE(ROUND(BN60+9,1),",",".")&amp;"' y='"&amp;SUBSTITUTE(ROUND(BO60-8,1),",",".")&amp;"'&gt;"&amp;BS60&amp;"&lt;/text&gt;","")</f>
        <v/>
      </c>
      <c r="BU60" s="58">
        <f>IF(BK60=1,IF(BP60="Motriz","&lt;circle cx='"&amp;SUBSTITUTE(ROUND(728,1),",",".")&amp;"' cy='"&amp;SUBSTITUTE(ROUND(404,1),",",".")&amp;"' r='4.3' fill='#2A3439' stroke='#2A3439' stroke-width='1.3'/&gt;",IF(BP60="Enlace","&lt;rect x='"&amp;SUBSTITUTE(ROUND((728)-3.96,1),",",".")&amp;"' y='"&amp;SUBSTITUTE(ROUND((404)-3.96,1),",",".")&amp;"' width='7.92' height='7.92' fill='#6699CC' stroke='#2A3439' stroke-width='1.3'/&gt;",IF(BP60="Resultado","&lt;path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CB60" s="58" t="n">
        <v>21</v>
      </c>
      <c r="CC60" s="58">
        <f>IF(AND($CC$4=1,CB60&lt;=nVariables),1,0)</f>
        <v/>
      </c>
      <c r="CD60" s="58">
        <f>IF(CC60=1,'M5'!$F30,"")</f>
        <v/>
      </c>
      <c r="CE60" s="58">
        <f>IF(CC60=1,'M5'!$E30,"")</f>
        <v/>
      </c>
      <c r="CF60" s="58">
        <f>IF(CC60=1,90+CD60*$CC$22,"")</f>
        <v/>
      </c>
      <c r="CG60" s="58">
        <f>IF(CC60=1,574-CE60*$CC$23,"")</f>
        <v/>
      </c>
      <c r="CH60" s="58">
        <f>IF(CC60=1,'M5'!$I30,"")</f>
        <v/>
      </c>
      <c r="CI60" s="58">
        <f>IF(CC60=1,IF(CH60="Motriz","#2A3439",IF(CH60="Enlace","#6699CC",IF(CH60="Resultado","#FFFFFF","#F5F5F5"))),"")</f>
        <v/>
      </c>
      <c r="CJ60" s="58">
        <f>IF(CC60=1,IF(SUMPRODUCT((CD$39:CD59=CD60)*(CE$39:CE59=CE60))=0,1,0),0)</f>
        <v/>
      </c>
      <c r="CK60" s="58">
        <f>IF(CJ60=1,21&amp;IF(AND(CD61=CD60,CE61=CE60),","&amp;22,"")&amp;IF(AND(CD62=CD60,CE62=CE60),","&amp;23,"")&amp;IF(AND(CD63=CD60,CE63=CE60),","&amp;24,"")&amp;IF(AND(CD64=CD60,CE64=CE60),","&amp;25,"")&amp;IF(AND(CD65=CD60,CE65=CE60),","&amp;26,"")&amp;IF(AND(CD66=CD60,CE66=CE60),","&amp;27,"")&amp;IF(AND(CD67=CD60,CE67=CE60),","&amp;28,"")&amp;IF(AND(CD68=CD60,CE68=CE60),","&amp;29,"")&amp;IF(AND(CD69=CD60,CE69=CE60),","&amp;30,"")&amp;IF(AND(CD70=CD60,CE70=CE60),","&amp;31,"")&amp;IF(AND(CD71=CD60,CE71=CE60),","&amp;32,"")&amp;IF(AND(CD72=CD60,CE72=CE60),","&amp;33,"")&amp;IF(AND(CD73=CD60,CE73=CE60),","&amp;34,"")&amp;IF(AND(CD74=CD60,CE74=CE60),","&amp;35,"")&amp;IF(AND(CD75=CD60,CE75=CE60),","&amp;36,"")&amp;IF(AND(CD76=CD60,CE76=CE60),","&amp;37,"")&amp;IF(AND(CD77=CD60,CE77=CE60),","&amp;38,"")&amp;IF(AND(CD78=CD60,CE78=CE60),","&amp;39,"")&amp;IF(AND(CD79=CD60,CE79=CE60),","&amp;40,""),"")</f>
        <v/>
      </c>
      <c r="CL60" s="58">
        <f>IF(CJ60=1,IF(CH60="Motriz","&lt;circle cx='"&amp;SUBSTITUTE(ROUND(CF60,1),",",".")&amp;"' cy='"&amp;SUBSTITUTE(ROUND(CG60,1),",",".")&amp;"' r='6' fill='#2A3439' stroke='#2A3439' stroke-width='1.3'/&gt;",IF(CH60="Enlace","&lt;rect x='"&amp;SUBSTITUTE(ROUND((CF60)-5.52,1),",",".")&amp;"' y='"&amp;SUBSTITUTE(ROUND((CG60)-5.52,1),",",".")&amp;"' width='11.04' height='11.04' fill='#6699CC' stroke='#2A3439' stroke-width='1.3'/&gt;",IF(CH60="Resultado","&lt;path d='M"&amp;SUBSTITUTE(ROUND(CF60,1),",",".")&amp;" "&amp;SUBSTITUTE(ROUND((CG60)-6.9,1),",",".")&amp;"L"&amp;SUBSTITUTE(ROUND((CF60)+6.3,1),",",".")&amp;" "&amp;SUBSTITUTE(ROUND((CG60)+5.1,1),",",".")&amp;"L"&amp;SUBSTITUTE(ROUND((CF60)-6.3,1),",",".")&amp;" "&amp;SUBSTITUTE(ROUND((CG60)+5.1,1),",",".")&amp;"Z' fill='#FFFFFF' stroke='#2A3439' stroke-width='1.3'/&gt;","&lt;path d='M"&amp;SUBSTITUTE(ROUND(CF60,1),",",".")&amp;" "&amp;SUBSTITUTE(ROUND((CG60)-7.5,1),",",".")&amp;"L"&amp;SUBSTITUTE(ROUND((CF60)+7.5,1),",",".")&amp;" "&amp;SUBSTITUTE(ROUND(CG60,1),",",".")&amp;"L"&amp;SUBSTITUTE(ROUND(CF60,1),",",".")&amp;" "&amp;SUBSTITUTE(ROUND((CG60)+7.5,1),",",".")&amp;"L"&amp;SUBSTITUTE(ROUND((CF60)-7.5,1),",",".")&amp;" "&amp;SUBSTITUTE(ROUND(CG60,1),",",".")&amp;"Z' fill='#F5F5F5' stroke='#2A3439' stroke-width='1.3'/&gt;")))&amp;"&lt;text x='"&amp;SUBSTITUTE(ROUND(CF60+9,1),",",".")&amp;"' y='"&amp;SUBSTITUTE(ROUND(CG60-8,1),",",".")&amp;"'&gt;"&amp;CK60&amp;"&lt;/text&gt;","")</f>
        <v/>
      </c>
      <c r="CM60" s="58">
        <f>IF(CC60=1,IF(CH60="Motriz","&lt;circle cx='"&amp;SUBSTITUTE(ROUND(728,1),",",".")&amp;"' cy='"&amp;SUBSTITUTE(ROUND(404,1),",",".")&amp;"' r='4.3' fill='#2A3439' stroke='#2A3439' stroke-width='1.3'/&gt;",IF(CH60="Enlace","&lt;rect x='"&amp;SUBSTITUTE(ROUND((728)-3.96,1),",",".")&amp;"' y='"&amp;SUBSTITUTE(ROUND((404)-3.96,1),",",".")&amp;"' width='7.92' height='7.92' fill='#6699CC' stroke='#2A3439' stroke-width='1.3'/&gt;",IF(CH60="Resultado","&lt;path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CT60" s="58" t="n">
        <v>21</v>
      </c>
      <c r="CU60" s="58">
        <f>IF(AND($CU$4=1,CT60&lt;=nVariables),1,0)</f>
        <v/>
      </c>
      <c r="CV60" s="58">
        <f>IF(CU60=1,'M6'!$F30,"")</f>
        <v/>
      </c>
      <c r="CW60" s="58">
        <f>IF(CU60=1,'M6'!$E30,"")</f>
        <v/>
      </c>
      <c r="CX60" s="58">
        <f>IF(CU60=1,90+CV60*$CU$22,"")</f>
        <v/>
      </c>
      <c r="CY60" s="58">
        <f>IF(CU60=1,574-CW60*$CU$23,"")</f>
        <v/>
      </c>
      <c r="CZ60" s="58">
        <f>IF(CU60=1,'M6'!$I30,"")</f>
        <v/>
      </c>
      <c r="DA60" s="58">
        <f>IF(CU60=1,IF(CZ60="Motriz","#2A3439",IF(CZ60="Enlace","#6699CC",IF(CZ60="Resultado","#FFFFFF","#F5F5F5"))),"")</f>
        <v/>
      </c>
      <c r="DB60" s="58">
        <f>IF(CU60=1,IF(SUMPRODUCT((CV$39:CV59=CV60)*(CW$39:CW59=CW60))=0,1,0),0)</f>
        <v/>
      </c>
      <c r="DC60" s="58">
        <f>IF(DB60=1,21&amp;IF(AND(CV61=CV60,CW61=CW60),","&amp;22,"")&amp;IF(AND(CV62=CV60,CW62=CW60),","&amp;23,"")&amp;IF(AND(CV63=CV60,CW63=CW60),","&amp;24,"")&amp;IF(AND(CV64=CV60,CW64=CW60),","&amp;25,"")&amp;IF(AND(CV65=CV60,CW65=CW60),","&amp;26,"")&amp;IF(AND(CV66=CV60,CW66=CW60),","&amp;27,"")&amp;IF(AND(CV67=CV60,CW67=CW60),","&amp;28,"")&amp;IF(AND(CV68=CV60,CW68=CW60),","&amp;29,"")&amp;IF(AND(CV69=CV60,CW69=CW60),","&amp;30,"")&amp;IF(AND(CV70=CV60,CW70=CW60),","&amp;31,"")&amp;IF(AND(CV71=CV60,CW71=CW60),","&amp;32,"")&amp;IF(AND(CV72=CV60,CW72=CW60),","&amp;33,"")&amp;IF(AND(CV73=CV60,CW73=CW60),","&amp;34,"")&amp;IF(AND(CV74=CV60,CW74=CW60),","&amp;35,"")&amp;IF(AND(CV75=CV60,CW75=CW60),","&amp;36,"")&amp;IF(AND(CV76=CV60,CW76=CW60),","&amp;37,"")&amp;IF(AND(CV77=CV60,CW77=CW60),","&amp;38,"")&amp;IF(AND(CV78=CV60,CW78=CW60),","&amp;39,"")&amp;IF(AND(CV79=CV60,CW79=CW60),","&amp;40,""),"")</f>
        <v/>
      </c>
      <c r="DD60" s="58">
        <f>IF(DB60=1,IF(CZ60="Motriz","&lt;circle cx='"&amp;SUBSTITUTE(ROUND(CX60,1),",",".")&amp;"' cy='"&amp;SUBSTITUTE(ROUND(CY60,1),",",".")&amp;"' r='6' fill='#2A3439' stroke='#2A3439' stroke-width='1.3'/&gt;",IF(CZ60="Enlace","&lt;rect x='"&amp;SUBSTITUTE(ROUND((CX60)-5.52,1),",",".")&amp;"' y='"&amp;SUBSTITUTE(ROUND((CY60)-5.52,1),",",".")&amp;"' width='11.04' height='11.04' fill='#6699CC' stroke='#2A3439' stroke-width='1.3'/&gt;",IF(CZ60="Resultado","&lt;path d='M"&amp;SUBSTITUTE(ROUND(CX60,1),",",".")&amp;" "&amp;SUBSTITUTE(ROUND((CY60)-6.9,1),",",".")&amp;"L"&amp;SUBSTITUTE(ROUND((CX60)+6.3,1),",",".")&amp;" "&amp;SUBSTITUTE(ROUND((CY60)+5.1,1),",",".")&amp;"L"&amp;SUBSTITUTE(ROUND((CX60)-6.3,1),",",".")&amp;" "&amp;SUBSTITUTE(ROUND((CY60)+5.1,1),",",".")&amp;"Z' fill='#FFFFFF' stroke='#2A3439' stroke-width='1.3'/&gt;","&lt;path d='M"&amp;SUBSTITUTE(ROUND(CX60,1),",",".")&amp;" "&amp;SUBSTITUTE(ROUND((CY60)-7.5,1),",",".")&amp;"L"&amp;SUBSTITUTE(ROUND((CX60)+7.5,1),",",".")&amp;" "&amp;SUBSTITUTE(ROUND(CY60,1),",",".")&amp;"L"&amp;SUBSTITUTE(ROUND(CX60,1),",",".")&amp;" "&amp;SUBSTITUTE(ROUND((CY60)+7.5,1),",",".")&amp;"L"&amp;SUBSTITUTE(ROUND((CX60)-7.5,1),",",".")&amp;" "&amp;SUBSTITUTE(ROUND(CY60,1),",",".")&amp;"Z' fill='#F5F5F5' stroke='#2A3439' stroke-width='1.3'/&gt;")))&amp;"&lt;text x='"&amp;SUBSTITUTE(ROUND(CX60+9,1),",",".")&amp;"' y='"&amp;SUBSTITUTE(ROUND(CY60-8,1),",",".")&amp;"'&gt;"&amp;DC60&amp;"&lt;/text&gt;","")</f>
        <v/>
      </c>
      <c r="DE60" s="58">
        <f>IF(CU60=1,IF(CZ60="Motriz","&lt;circle cx='"&amp;SUBSTITUTE(ROUND(728,1),",",".")&amp;"' cy='"&amp;SUBSTITUTE(ROUND(404,1),",",".")&amp;"' r='4.3' fill='#2A3439' stroke='#2A3439' stroke-width='1.3'/&gt;",IF(CZ60="Enlace","&lt;rect x='"&amp;SUBSTITUTE(ROUND((728)-3.96,1),",",".")&amp;"' y='"&amp;SUBSTITUTE(ROUND((404)-3.96,1),",",".")&amp;"' width='7.92' height='7.92' fill='#6699CC' stroke='#2A3439' stroke-width='1.3'/&gt;",IF(CZ60="Resultado","&lt;path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DL60" s="58" t="n">
        <v>9</v>
      </c>
      <c r="DM60" s="58">
        <f>IF(AND($DM$4=1,DL60&lt;=nVariables),IF('M6'!$I18="Resultado","E",IF('M6'!$I18="Enlace","L",IF('M6'!$I18="Motriz","R",IF('M6'!$I18="Autónoma","A","")))),"")</f>
        <v/>
      </c>
      <c r="DN60" s="58">
        <f>IF(DM60&lt;&gt;"",COUNTIF($DM$52:DM60,DM60),"")</f>
        <v/>
      </c>
      <c r="DO60" s="58">
        <f>IF(DM60&lt;&gt;"",SUBSTITUTE(SUBSTITUTE(SUBSTITUTE(SUBSTITUTE(SUBSTITUTE(SUBSTITUTE(SUBSTITUTE(TRIM(CLEAN(IF(LEN(9&amp;" · "&amp;$D48)&gt;30,LEFT(9&amp;" · "&amp;$D48,29)&amp;"…",9&amp;" · "&amp;$D48))),"&amp;","&amp;amp;"),"&lt;","&amp;lt;"),"&gt;","&amp;gt;"),CHAR(34),"&amp;quot;"),CHAR(10)," "),CHAR(9)," "),CHAR(13)," "),"")</f>
        <v/>
      </c>
      <c r="DP60" s="58">
        <f>IF(DM60&lt;&gt;"",IF($E48&lt;&gt;"",$E48,IF(DM60="E","(efecto · indicador de resultado)",IF(DM60="L","(causa directa · riesgo)",IF(DM60="R","CAUSA RAÍZ · componente del proyecto","(fuera del alcance)")))),"")</f>
        <v/>
      </c>
      <c r="DQ60" s="58">
        <f>IF(DM60&lt;&gt;"",IF(LEN(DP60)&gt;74,LEFT(DP60,73)&amp;"…",DP60),"")</f>
        <v/>
      </c>
      <c r="DR60" s="58">
        <f>IF(DM60&lt;&gt;"",IF(LEN(DQ60)&lt;=37,LEN(DQ60)+1,IFERROR(FIND("~",SUBSTITUTE(LEFT(DQ60,38)," ","~",LEN(LEFT(DQ60,38))-LEN(SUBSTITUTE(LEFT(DQ60,38)," ","")))),38)),"")</f>
        <v/>
      </c>
      <c r="DS60" s="58">
        <f>IF(DM60&lt;&gt;"",SUBSTITUTE(SUBSTITUTE(SUBSTITUTE(SUBSTITUTE(SUBSTITUTE(SUBSTITUTE(SUBSTITUTE(TRIM(CLEAN(TRIM(LEFT(DQ60,DR60-1)))),"&amp;","&amp;amp;"),"&lt;","&amp;lt;"),"&gt;","&amp;gt;"),CHAR(34),"&amp;quot;"),CHAR(10)," "),CHAR(9)," "),CHAR(13)," "),"")</f>
        <v/>
      </c>
      <c r="DT60" s="58">
        <f>IF(DM60&lt;&gt;"",SUBSTITUTE(SUBSTITUTE(SUBSTITUTE(SUBSTITUTE(SUBSTITUTE(SUBSTITUTE(SUBSTITUTE(TRIM(CLEAN(IF(LEN(TRIM(MID(DQ60,DR60,80)))&gt;37,LEFT(TRIM(MID(DQ60,DR60,80)),36)&amp;"…",TRIM(MID(DQ60,DR60,80))))),"&amp;","&amp;amp;"),"&lt;","&amp;lt;"),"&gt;","&amp;gt;"),CHAR(34),"&amp;quot;"),CHAR(10)," "),CHAR(9)," "),CHAR(13)," "),"")</f>
        <v/>
      </c>
      <c r="DU60" s="58">
        <f>IF(DM60&lt;&gt;"",(1200-(MIN(5,IF(DM60="E",$DM$5,IF(DM60="L",$DM$8,IF(DM60="R",$DM$11,$DM$14)))-INT((DN60-1)/5)*5)*216+(MIN(5,IF(DM60="E",$DM$5,IF(DM60="L",$DM$8,IF(DM60="R",$DM$11,$DM$14)))-INT((DN60-1)/5)*5)-1)*14))/2+MOD(DN60-1,5)*(216+14),"")</f>
        <v/>
      </c>
      <c r="DV60" s="58">
        <f>IF(DM60&lt;&gt;"",IF(DM60="E",$DM$17,IF(DM60="L",$DM$21,IF(DM60="R",$DM$23,$DM$25)))+24+INT((DN60-1)/5)*(64+12),"")</f>
        <v/>
      </c>
      <c r="DW60" s="58">
        <f>IF(DM60&lt;&gt;"","&lt;rect x='"&amp;SUBSTITUTE(ROUND(DU60,1),",",".")&amp;"' y='"&amp;SUBSTITUTE(ROUND(DV60,1),",",".")&amp;"' width='216' height='64' rx='9' fill='"&amp;IF(DM60="E","#B9D9EB",IF(DM60="L","#9EB9D4",IF(DM60="R","#6699CC","#F5F5F5")))&amp;"' stroke='#2A3439' stroke-width='1'"&amp;IF(DM60="A"," stroke-dasharray='5 3'","")&amp;"/&gt;"&amp;"&lt;text x='"&amp;SUBSTITUTE(ROUND((DU60+108),1),",",".")&amp;"' y='"&amp;SUBSTITUTE(ROUND(DV60+20,1),",",".")&amp;"' font-size='12' font-weight='bold'&gt;"&amp;DO60&amp;"&lt;/text&gt;"&amp;"&lt;text x='"&amp;SUBSTITUTE(ROUND((DU60+108),1),",",".")&amp;"' y='"&amp;SUBSTITUTE(ROUND(DV60+38,1),",",".")&amp;"' font-size='10'&gt;"&amp;DS60&amp;"&lt;/text&gt;"&amp;"&lt;text x='"&amp;SUBSTITUTE(ROUND((DU60+108),1),",",".")&amp;"' y='"&amp;SUBSTITUTE(ROUND(DV60+53,1),",",".")&amp;"' font-size='10'&gt;"&amp;DT60&amp;"&lt;/text&gt;","")</f>
        <v/>
      </c>
    </row>
    <row r="61">
      <c r="A61" s="58" t="n">
        <v>22</v>
      </c>
      <c r="B61" s="58">
        <f>IF($A61&lt;=nVariables,SUBSTITUTE(SUBSTITUTE(SUBSTITUTE(SUBSTITUTE(SUBSTITUTE(SUBSTITUTE(SUBSTITUTE(TRIM(CLEAN(IF(LEN(TRIM(M!$B31))&gt;46,LEFT(TRIM(M!$B31),45)&amp;"…",TRIM(M!$B31)))),"&amp;","&amp;amp;"),"&lt;","&amp;lt;"),"&gt;","&amp;gt;"),CHAR(34),"&amp;quot;"),CHAR(10)," "),CHAR(9)," "),CHAR(13)," "),"")</f>
        <v/>
      </c>
      <c r="C61" s="58">
        <f>IF($A61&lt;=nVariables,$A61&amp;". "&amp;B61,"")</f>
        <v/>
      </c>
      <c r="D61" s="58">
        <f>IF($A61&lt;=nVariables,IF(TRIM(M!$C31)&lt;&gt;"",TRIM(M!$C31),IF(LEN(TRIM(M!$B31))&gt;24,LEFT(TRIM(M!$B31),23)&amp;"…",TRIM(M!$B31))),"")</f>
        <v/>
      </c>
      <c r="E61" s="58">
        <f>IF($A61&lt;=nVariables,TRIM('Árbol de Problemas'!$F40),"")</f>
        <v/>
      </c>
      <c r="H61" s="58" t="n">
        <v>22</v>
      </c>
      <c r="I61" s="58">
        <f>IF(AND($I$4=1,H61&lt;=nVariables),1,0)</f>
        <v/>
      </c>
      <c r="J61" s="58">
        <f>IF(I61=1,'M1'!$F31,"")</f>
        <v/>
      </c>
      <c r="K61" s="58">
        <f>IF(I61=1,'M1'!$E31,"")</f>
        <v/>
      </c>
      <c r="L61" s="58">
        <f>IF(I61=1,90+J61*$I$22,"")</f>
        <v/>
      </c>
      <c r="M61" s="58">
        <f>IF(I61=1,574-K61*$I$23,"")</f>
        <v/>
      </c>
      <c r="N61" s="58">
        <f>IF(I61=1,'M1'!$I31,"")</f>
        <v/>
      </c>
      <c r="O61" s="58">
        <f>IF(I61=1,IF(N61="Motriz","#2A3439",IF(N61="Enlace","#6699CC",IF(N61="Resultado","#FFFFFF","#F5F5F5"))),"")</f>
        <v/>
      </c>
      <c r="P61" s="58">
        <f>IF(I61=1,IF(SUMPRODUCT((J$39:J60=J61)*(K$39:K60=K61))=0,1,0),0)</f>
        <v/>
      </c>
      <c r="Q61" s="58">
        <f>IF(P61=1,22&amp;IF(AND(J62=J61,K62=K61),","&amp;23,"")&amp;IF(AND(J63=J61,K63=K61),","&amp;24,"")&amp;IF(AND(J64=J61,K64=K61),","&amp;25,"")&amp;IF(AND(J65=J61,K65=K61),","&amp;26,"")&amp;IF(AND(J66=J61,K66=K61),","&amp;27,"")&amp;IF(AND(J67=J61,K67=K61),","&amp;28,"")&amp;IF(AND(J68=J61,K68=K61),","&amp;29,"")&amp;IF(AND(J69=J61,K69=K61),","&amp;30,"")&amp;IF(AND(J70=J61,K70=K61),","&amp;31,"")&amp;IF(AND(J71=J61,K71=K61),","&amp;32,"")&amp;IF(AND(J72=J61,K72=K61),","&amp;33,"")&amp;IF(AND(J73=J61,K73=K61),","&amp;34,"")&amp;IF(AND(J74=J61,K74=K61),","&amp;35,"")&amp;IF(AND(J75=J61,K75=K61),","&amp;36,"")&amp;IF(AND(J76=J61,K76=K61),","&amp;37,"")&amp;IF(AND(J77=J61,K77=K61),","&amp;38,"")&amp;IF(AND(J78=J61,K78=K61),","&amp;39,"")&amp;IF(AND(J79=J61,K79=K61),","&amp;40,""),"")</f>
        <v/>
      </c>
      <c r="R61" s="58">
        <f>IF(P61=1,IF(N61="Motriz","&lt;circle cx='"&amp;SUBSTITUTE(ROUND(L61,1),",",".")&amp;"' cy='"&amp;SUBSTITUTE(ROUND(M61,1),",",".")&amp;"' r='6' fill='#2A3439' stroke='#2A3439' stroke-width='1.3'/&gt;",IF(N61="Enlace","&lt;rect x='"&amp;SUBSTITUTE(ROUND((L61)-5.52,1),",",".")&amp;"' y='"&amp;SUBSTITUTE(ROUND((M61)-5.52,1),",",".")&amp;"' width='11.04' height='11.04' fill='#6699CC' stroke='#2A3439' stroke-width='1.3'/&gt;",IF(N61="Resultado","&lt;path d='M"&amp;SUBSTITUTE(ROUND(L61,1),",",".")&amp;" "&amp;SUBSTITUTE(ROUND((M61)-6.9,1),",",".")&amp;"L"&amp;SUBSTITUTE(ROUND((L61)+6.3,1),",",".")&amp;" "&amp;SUBSTITUTE(ROUND((M61)+5.1,1),",",".")&amp;"L"&amp;SUBSTITUTE(ROUND((L61)-6.3,1),",",".")&amp;" "&amp;SUBSTITUTE(ROUND((M61)+5.1,1),",",".")&amp;"Z' fill='#FFFFFF' stroke='#2A3439' stroke-width='1.3'/&gt;","&lt;path d='M"&amp;SUBSTITUTE(ROUND(L61,1),",",".")&amp;" "&amp;SUBSTITUTE(ROUND((M61)-7.5,1),",",".")&amp;"L"&amp;SUBSTITUTE(ROUND((L61)+7.5,1),",",".")&amp;" "&amp;SUBSTITUTE(ROUND(M61,1),",",".")&amp;"L"&amp;SUBSTITUTE(ROUND(L61,1),",",".")&amp;" "&amp;SUBSTITUTE(ROUND((M61)+7.5,1),",",".")&amp;"L"&amp;SUBSTITUTE(ROUND((L61)-7.5,1),",",".")&amp;" "&amp;SUBSTITUTE(ROUND(M61,1),",",".")&amp;"Z' fill='#F5F5F5' stroke='#2A3439' stroke-width='1.3'/&gt;")))&amp;"&lt;text x='"&amp;SUBSTITUTE(ROUND(L61+9,1),",",".")&amp;"' y='"&amp;SUBSTITUTE(ROUND(M61-8,1),",",".")&amp;"'&gt;"&amp;Q61&amp;"&lt;/text&gt;","")</f>
        <v/>
      </c>
      <c r="S61" s="58">
        <f>IF(I61=1,IF(N61="Motriz","&lt;circle cx='"&amp;SUBSTITUTE(ROUND(728,1),",",".")&amp;"' cy='"&amp;SUBSTITUTE(ROUND(418.2,1),",",".")&amp;"' r='4.3' fill='#2A3439' stroke='#2A3439' stroke-width='1.3'/&gt;",IF(N61="Enlace","&lt;rect x='"&amp;SUBSTITUTE(ROUND((728)-3.96,1),",",".")&amp;"' y='"&amp;SUBSTITUTE(ROUND((418.2)-3.96,1),",",".")&amp;"' width='7.92' height='7.92' fill='#6699CC' stroke='#2A3439' stroke-width='1.3'/&gt;",IF(N61="Resultado","&lt;path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Z61" s="58" t="n">
        <v>22</v>
      </c>
      <c r="AA61" s="58">
        <f>IF(AND($AA$4=1,Z61&lt;=nVariables),1,0)</f>
        <v/>
      </c>
      <c r="AB61" s="58">
        <f>IF(AA61=1,'M2'!$F31,"")</f>
        <v/>
      </c>
      <c r="AC61" s="58">
        <f>IF(AA61=1,'M2'!$E31,"")</f>
        <v/>
      </c>
      <c r="AD61" s="58">
        <f>IF(AA61=1,90+AB61*$AA$22,"")</f>
        <v/>
      </c>
      <c r="AE61" s="58">
        <f>IF(AA61=1,574-AC61*$AA$23,"")</f>
        <v/>
      </c>
      <c r="AF61" s="58">
        <f>IF(AA61=1,'M2'!$I31,"")</f>
        <v/>
      </c>
      <c r="AG61" s="58">
        <f>IF(AA61=1,IF(AF61="Motriz","#2A3439",IF(AF61="Enlace","#6699CC",IF(AF61="Resultado","#FFFFFF","#F5F5F5"))),"")</f>
        <v/>
      </c>
      <c r="AH61" s="58">
        <f>IF(AA61=1,IF(SUMPRODUCT((AB$39:AB60=AB61)*(AC$39:AC60=AC61))=0,1,0),0)</f>
        <v/>
      </c>
      <c r="AI61" s="58">
        <f>IF(AH61=1,22&amp;IF(AND(AB62=AB61,AC62=AC61),","&amp;23,"")&amp;IF(AND(AB63=AB61,AC63=AC61),","&amp;24,"")&amp;IF(AND(AB64=AB61,AC64=AC61),","&amp;25,"")&amp;IF(AND(AB65=AB61,AC65=AC61),","&amp;26,"")&amp;IF(AND(AB66=AB61,AC66=AC61),","&amp;27,"")&amp;IF(AND(AB67=AB61,AC67=AC61),","&amp;28,"")&amp;IF(AND(AB68=AB61,AC68=AC61),","&amp;29,"")&amp;IF(AND(AB69=AB61,AC69=AC61),","&amp;30,"")&amp;IF(AND(AB70=AB61,AC70=AC61),","&amp;31,"")&amp;IF(AND(AB71=AB61,AC71=AC61),","&amp;32,"")&amp;IF(AND(AB72=AB61,AC72=AC61),","&amp;33,"")&amp;IF(AND(AB73=AB61,AC73=AC61),","&amp;34,"")&amp;IF(AND(AB74=AB61,AC74=AC61),","&amp;35,"")&amp;IF(AND(AB75=AB61,AC75=AC61),","&amp;36,"")&amp;IF(AND(AB76=AB61,AC76=AC61),","&amp;37,"")&amp;IF(AND(AB77=AB61,AC77=AC61),","&amp;38,"")&amp;IF(AND(AB78=AB61,AC78=AC61),","&amp;39,"")&amp;IF(AND(AB79=AB61,AC79=AC61),","&amp;40,""),"")</f>
        <v/>
      </c>
      <c r="AJ61" s="58">
        <f>IF(AH61=1,IF(AF61="Motriz","&lt;circle cx='"&amp;SUBSTITUTE(ROUND(AD61,1),",",".")&amp;"' cy='"&amp;SUBSTITUTE(ROUND(AE61,1),",",".")&amp;"' r='6' fill='#2A3439' stroke='#2A3439' stroke-width='1.3'/&gt;",IF(AF61="Enlace","&lt;rect x='"&amp;SUBSTITUTE(ROUND((AD61)-5.52,1),",",".")&amp;"' y='"&amp;SUBSTITUTE(ROUND((AE61)-5.52,1),",",".")&amp;"' width='11.04' height='11.04' fill='#6699CC' stroke='#2A3439' stroke-width='1.3'/&gt;",IF(AF61="Resultado","&lt;path d='M"&amp;SUBSTITUTE(ROUND(AD61,1),",",".")&amp;" "&amp;SUBSTITUTE(ROUND((AE61)-6.9,1),",",".")&amp;"L"&amp;SUBSTITUTE(ROUND((AD61)+6.3,1),",",".")&amp;" "&amp;SUBSTITUTE(ROUND((AE61)+5.1,1),",",".")&amp;"L"&amp;SUBSTITUTE(ROUND((AD61)-6.3,1),",",".")&amp;" "&amp;SUBSTITUTE(ROUND((AE61)+5.1,1),",",".")&amp;"Z' fill='#FFFFFF' stroke='#2A3439' stroke-width='1.3'/&gt;","&lt;path d='M"&amp;SUBSTITUTE(ROUND(AD61,1),",",".")&amp;" "&amp;SUBSTITUTE(ROUND((AE61)-7.5,1),",",".")&amp;"L"&amp;SUBSTITUTE(ROUND((AD61)+7.5,1),",",".")&amp;" "&amp;SUBSTITUTE(ROUND(AE61,1),",",".")&amp;"L"&amp;SUBSTITUTE(ROUND(AD61,1),",",".")&amp;" "&amp;SUBSTITUTE(ROUND((AE61)+7.5,1),",",".")&amp;"L"&amp;SUBSTITUTE(ROUND((AD61)-7.5,1),",",".")&amp;" "&amp;SUBSTITUTE(ROUND(AE61,1),",",".")&amp;"Z' fill='#F5F5F5' stroke='#2A3439' stroke-width='1.3'/&gt;")))&amp;"&lt;text x='"&amp;SUBSTITUTE(ROUND(AD61+9,1),",",".")&amp;"' y='"&amp;SUBSTITUTE(ROUND(AE61-8,1),",",".")&amp;"'&gt;"&amp;AI61&amp;"&lt;/text&gt;","")</f>
        <v/>
      </c>
      <c r="AK61" s="58">
        <f>IF(AA61=1,IF(AF61="Motriz","&lt;circle cx='"&amp;SUBSTITUTE(ROUND(728,1),",",".")&amp;"' cy='"&amp;SUBSTITUTE(ROUND(418.2,1),",",".")&amp;"' r='4.3' fill='#2A3439' stroke='#2A3439' stroke-width='1.3'/&gt;",IF(AF61="Enlace","&lt;rect x='"&amp;SUBSTITUTE(ROUND((728)-3.96,1),",",".")&amp;"' y='"&amp;SUBSTITUTE(ROUND((418.2)-3.96,1),",",".")&amp;"' width='7.92' height='7.92' fill='#6699CC' stroke='#2A3439' stroke-width='1.3'/&gt;",IF(AF61="Resultado","&lt;path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AR61" s="58" t="n">
        <v>22</v>
      </c>
      <c r="AS61" s="58">
        <f>IF(AND($AS$4=1,AR61&lt;=nVariables),1,0)</f>
        <v/>
      </c>
      <c r="AT61" s="58">
        <f>IF(AS61=1,'M3'!$F31,"")</f>
        <v/>
      </c>
      <c r="AU61" s="58">
        <f>IF(AS61=1,'M3'!$E31,"")</f>
        <v/>
      </c>
      <c r="AV61" s="58">
        <f>IF(AS61=1,90+AT61*$AS$22,"")</f>
        <v/>
      </c>
      <c r="AW61" s="58">
        <f>IF(AS61=1,574-AU61*$AS$23,"")</f>
        <v/>
      </c>
      <c r="AX61" s="58">
        <f>IF(AS61=1,'M3'!$I31,"")</f>
        <v/>
      </c>
      <c r="AY61" s="58">
        <f>IF(AS61=1,IF(AX61="Motriz","#2A3439",IF(AX61="Enlace","#6699CC",IF(AX61="Resultado","#FFFFFF","#F5F5F5"))),"")</f>
        <v/>
      </c>
      <c r="AZ61" s="58">
        <f>IF(AS61=1,IF(SUMPRODUCT((AT$39:AT60=AT61)*(AU$39:AU60=AU61))=0,1,0),0)</f>
        <v/>
      </c>
      <c r="BA61" s="58">
        <f>IF(AZ61=1,22&amp;IF(AND(AT62=AT61,AU62=AU61),","&amp;23,"")&amp;IF(AND(AT63=AT61,AU63=AU61),","&amp;24,"")&amp;IF(AND(AT64=AT61,AU64=AU61),","&amp;25,"")&amp;IF(AND(AT65=AT61,AU65=AU61),","&amp;26,"")&amp;IF(AND(AT66=AT61,AU66=AU61),","&amp;27,"")&amp;IF(AND(AT67=AT61,AU67=AU61),","&amp;28,"")&amp;IF(AND(AT68=AT61,AU68=AU61),","&amp;29,"")&amp;IF(AND(AT69=AT61,AU69=AU61),","&amp;30,"")&amp;IF(AND(AT70=AT61,AU70=AU61),","&amp;31,"")&amp;IF(AND(AT71=AT61,AU71=AU61),","&amp;32,"")&amp;IF(AND(AT72=AT61,AU72=AU61),","&amp;33,"")&amp;IF(AND(AT73=AT61,AU73=AU61),","&amp;34,"")&amp;IF(AND(AT74=AT61,AU74=AU61),","&amp;35,"")&amp;IF(AND(AT75=AT61,AU75=AU61),","&amp;36,"")&amp;IF(AND(AT76=AT61,AU76=AU61),","&amp;37,"")&amp;IF(AND(AT77=AT61,AU77=AU61),","&amp;38,"")&amp;IF(AND(AT78=AT61,AU78=AU61),","&amp;39,"")&amp;IF(AND(AT79=AT61,AU79=AU61),","&amp;40,""),"")</f>
        <v/>
      </c>
      <c r="BB61" s="58">
        <f>IF(AZ61=1,IF(AX61="Motriz","&lt;circle cx='"&amp;SUBSTITUTE(ROUND(AV61,1),",",".")&amp;"' cy='"&amp;SUBSTITUTE(ROUND(AW61,1),",",".")&amp;"' r='6' fill='#2A3439' stroke='#2A3439' stroke-width='1.3'/&gt;",IF(AX61="Enlace","&lt;rect x='"&amp;SUBSTITUTE(ROUND((AV61)-5.52,1),",",".")&amp;"' y='"&amp;SUBSTITUTE(ROUND((AW61)-5.52,1),",",".")&amp;"' width='11.04' height='11.04' fill='#6699CC' stroke='#2A3439' stroke-width='1.3'/&gt;",IF(AX61="Resultado","&lt;path d='M"&amp;SUBSTITUTE(ROUND(AV61,1),",",".")&amp;" "&amp;SUBSTITUTE(ROUND((AW61)-6.9,1),",",".")&amp;"L"&amp;SUBSTITUTE(ROUND((AV61)+6.3,1),",",".")&amp;" "&amp;SUBSTITUTE(ROUND((AW61)+5.1,1),",",".")&amp;"L"&amp;SUBSTITUTE(ROUND((AV61)-6.3,1),",",".")&amp;" "&amp;SUBSTITUTE(ROUND((AW61)+5.1,1),",",".")&amp;"Z' fill='#FFFFFF' stroke='#2A3439' stroke-width='1.3'/&gt;","&lt;path d='M"&amp;SUBSTITUTE(ROUND(AV61,1),",",".")&amp;" "&amp;SUBSTITUTE(ROUND((AW61)-7.5,1),",",".")&amp;"L"&amp;SUBSTITUTE(ROUND((AV61)+7.5,1),",",".")&amp;" "&amp;SUBSTITUTE(ROUND(AW61,1),",",".")&amp;"L"&amp;SUBSTITUTE(ROUND(AV61,1),",",".")&amp;" "&amp;SUBSTITUTE(ROUND((AW61)+7.5,1),",",".")&amp;"L"&amp;SUBSTITUTE(ROUND((AV61)-7.5,1),",",".")&amp;" "&amp;SUBSTITUTE(ROUND(AW61,1),",",".")&amp;"Z' fill='#F5F5F5' stroke='#2A3439' stroke-width='1.3'/&gt;")))&amp;"&lt;text x='"&amp;SUBSTITUTE(ROUND(AV61+9,1),",",".")&amp;"' y='"&amp;SUBSTITUTE(ROUND(AW61-8,1),",",".")&amp;"'&gt;"&amp;BA61&amp;"&lt;/text&gt;","")</f>
        <v/>
      </c>
      <c r="BC61" s="58">
        <f>IF(AS61=1,IF(AX61="Motriz","&lt;circle cx='"&amp;SUBSTITUTE(ROUND(728,1),",",".")&amp;"' cy='"&amp;SUBSTITUTE(ROUND(418.2,1),",",".")&amp;"' r='4.3' fill='#2A3439' stroke='#2A3439' stroke-width='1.3'/&gt;",IF(AX61="Enlace","&lt;rect x='"&amp;SUBSTITUTE(ROUND((728)-3.96,1),",",".")&amp;"' y='"&amp;SUBSTITUTE(ROUND((418.2)-3.96,1),",",".")&amp;"' width='7.92' height='7.92' fill='#6699CC' stroke='#2A3439' stroke-width='1.3'/&gt;",IF(AX61="Resultado","&lt;path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BJ61" s="58" t="n">
        <v>22</v>
      </c>
      <c r="BK61" s="58">
        <f>IF(AND($BK$4=1,BJ61&lt;=nVariables),1,0)</f>
        <v/>
      </c>
      <c r="BL61" s="58">
        <f>IF(BK61=1,'M4'!$F31,"")</f>
        <v/>
      </c>
      <c r="BM61" s="58">
        <f>IF(BK61=1,'M4'!$E31,"")</f>
        <v/>
      </c>
      <c r="BN61" s="58">
        <f>IF(BK61=1,90+BL61*$BK$22,"")</f>
        <v/>
      </c>
      <c r="BO61" s="58">
        <f>IF(BK61=1,574-BM61*$BK$23,"")</f>
        <v/>
      </c>
      <c r="BP61" s="58">
        <f>IF(BK61=1,'M4'!$I31,"")</f>
        <v/>
      </c>
      <c r="BQ61" s="58">
        <f>IF(BK61=1,IF(BP61="Motriz","#2A3439",IF(BP61="Enlace","#6699CC",IF(BP61="Resultado","#FFFFFF","#F5F5F5"))),"")</f>
        <v/>
      </c>
      <c r="BR61" s="58">
        <f>IF(BK61=1,IF(SUMPRODUCT((BL$39:BL60=BL61)*(BM$39:BM60=BM61))=0,1,0),0)</f>
        <v/>
      </c>
      <c r="BS61" s="58">
        <f>IF(BR61=1,22&amp;IF(AND(BL62=BL61,BM62=BM61),","&amp;23,"")&amp;IF(AND(BL63=BL61,BM63=BM61),","&amp;24,"")&amp;IF(AND(BL64=BL61,BM64=BM61),","&amp;25,"")&amp;IF(AND(BL65=BL61,BM65=BM61),","&amp;26,"")&amp;IF(AND(BL66=BL61,BM66=BM61),","&amp;27,"")&amp;IF(AND(BL67=BL61,BM67=BM61),","&amp;28,"")&amp;IF(AND(BL68=BL61,BM68=BM61),","&amp;29,"")&amp;IF(AND(BL69=BL61,BM69=BM61),","&amp;30,"")&amp;IF(AND(BL70=BL61,BM70=BM61),","&amp;31,"")&amp;IF(AND(BL71=BL61,BM71=BM61),","&amp;32,"")&amp;IF(AND(BL72=BL61,BM72=BM61),","&amp;33,"")&amp;IF(AND(BL73=BL61,BM73=BM61),","&amp;34,"")&amp;IF(AND(BL74=BL61,BM74=BM61),","&amp;35,"")&amp;IF(AND(BL75=BL61,BM75=BM61),","&amp;36,"")&amp;IF(AND(BL76=BL61,BM76=BM61),","&amp;37,"")&amp;IF(AND(BL77=BL61,BM77=BM61),","&amp;38,"")&amp;IF(AND(BL78=BL61,BM78=BM61),","&amp;39,"")&amp;IF(AND(BL79=BL61,BM79=BM61),","&amp;40,""),"")</f>
        <v/>
      </c>
      <c r="BT61" s="58">
        <f>IF(BR61=1,IF(BP61="Motriz","&lt;circle cx='"&amp;SUBSTITUTE(ROUND(BN61,1),",",".")&amp;"' cy='"&amp;SUBSTITUTE(ROUND(BO61,1),",",".")&amp;"' r='6' fill='#2A3439' stroke='#2A3439' stroke-width='1.3'/&gt;",IF(BP61="Enlace","&lt;rect x='"&amp;SUBSTITUTE(ROUND((BN61)-5.52,1),",",".")&amp;"' y='"&amp;SUBSTITUTE(ROUND((BO61)-5.52,1),",",".")&amp;"' width='11.04' height='11.04' fill='#6699CC' stroke='#2A3439' stroke-width='1.3'/&gt;",IF(BP61="Resultado","&lt;path d='M"&amp;SUBSTITUTE(ROUND(BN61,1),",",".")&amp;" "&amp;SUBSTITUTE(ROUND((BO61)-6.9,1),",",".")&amp;"L"&amp;SUBSTITUTE(ROUND((BN61)+6.3,1),",",".")&amp;" "&amp;SUBSTITUTE(ROUND((BO61)+5.1,1),",",".")&amp;"L"&amp;SUBSTITUTE(ROUND((BN61)-6.3,1),",",".")&amp;" "&amp;SUBSTITUTE(ROUND((BO61)+5.1,1),",",".")&amp;"Z' fill='#FFFFFF' stroke='#2A3439' stroke-width='1.3'/&gt;","&lt;path d='M"&amp;SUBSTITUTE(ROUND(BN61,1),",",".")&amp;" "&amp;SUBSTITUTE(ROUND((BO61)-7.5,1),",",".")&amp;"L"&amp;SUBSTITUTE(ROUND((BN61)+7.5,1),",",".")&amp;" "&amp;SUBSTITUTE(ROUND(BO61,1),",",".")&amp;"L"&amp;SUBSTITUTE(ROUND(BN61,1),",",".")&amp;" "&amp;SUBSTITUTE(ROUND((BO61)+7.5,1),",",".")&amp;"L"&amp;SUBSTITUTE(ROUND((BN61)-7.5,1),",",".")&amp;" "&amp;SUBSTITUTE(ROUND(BO61,1),",",".")&amp;"Z' fill='#F5F5F5' stroke='#2A3439' stroke-width='1.3'/&gt;")))&amp;"&lt;text x='"&amp;SUBSTITUTE(ROUND(BN61+9,1),",",".")&amp;"' y='"&amp;SUBSTITUTE(ROUND(BO61-8,1),",",".")&amp;"'&gt;"&amp;BS61&amp;"&lt;/text&gt;","")</f>
        <v/>
      </c>
      <c r="BU61" s="58">
        <f>IF(BK61=1,IF(BP61="Motriz","&lt;circle cx='"&amp;SUBSTITUTE(ROUND(728,1),",",".")&amp;"' cy='"&amp;SUBSTITUTE(ROUND(418.2,1),",",".")&amp;"' r='4.3' fill='#2A3439' stroke='#2A3439' stroke-width='1.3'/&gt;",IF(BP61="Enlace","&lt;rect x='"&amp;SUBSTITUTE(ROUND((728)-3.96,1),",",".")&amp;"' y='"&amp;SUBSTITUTE(ROUND((418.2)-3.96,1),",",".")&amp;"' width='7.92' height='7.92' fill='#6699CC' stroke='#2A3439' stroke-width='1.3'/&gt;",IF(BP61="Resultado","&lt;path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CB61" s="58" t="n">
        <v>22</v>
      </c>
      <c r="CC61" s="58">
        <f>IF(AND($CC$4=1,CB61&lt;=nVariables),1,0)</f>
        <v/>
      </c>
      <c r="CD61" s="58">
        <f>IF(CC61=1,'M5'!$F31,"")</f>
        <v/>
      </c>
      <c r="CE61" s="58">
        <f>IF(CC61=1,'M5'!$E31,"")</f>
        <v/>
      </c>
      <c r="CF61" s="58">
        <f>IF(CC61=1,90+CD61*$CC$22,"")</f>
        <v/>
      </c>
      <c r="CG61" s="58">
        <f>IF(CC61=1,574-CE61*$CC$23,"")</f>
        <v/>
      </c>
      <c r="CH61" s="58">
        <f>IF(CC61=1,'M5'!$I31,"")</f>
        <v/>
      </c>
      <c r="CI61" s="58">
        <f>IF(CC61=1,IF(CH61="Motriz","#2A3439",IF(CH61="Enlace","#6699CC",IF(CH61="Resultado","#FFFFFF","#F5F5F5"))),"")</f>
        <v/>
      </c>
      <c r="CJ61" s="58">
        <f>IF(CC61=1,IF(SUMPRODUCT((CD$39:CD60=CD61)*(CE$39:CE60=CE61))=0,1,0),0)</f>
        <v/>
      </c>
      <c r="CK61" s="58">
        <f>IF(CJ61=1,22&amp;IF(AND(CD62=CD61,CE62=CE61),","&amp;23,"")&amp;IF(AND(CD63=CD61,CE63=CE61),","&amp;24,"")&amp;IF(AND(CD64=CD61,CE64=CE61),","&amp;25,"")&amp;IF(AND(CD65=CD61,CE65=CE61),","&amp;26,"")&amp;IF(AND(CD66=CD61,CE66=CE61),","&amp;27,"")&amp;IF(AND(CD67=CD61,CE67=CE61),","&amp;28,"")&amp;IF(AND(CD68=CD61,CE68=CE61),","&amp;29,"")&amp;IF(AND(CD69=CD61,CE69=CE61),","&amp;30,"")&amp;IF(AND(CD70=CD61,CE70=CE61),","&amp;31,"")&amp;IF(AND(CD71=CD61,CE71=CE61),","&amp;32,"")&amp;IF(AND(CD72=CD61,CE72=CE61),","&amp;33,"")&amp;IF(AND(CD73=CD61,CE73=CE61),","&amp;34,"")&amp;IF(AND(CD74=CD61,CE74=CE61),","&amp;35,"")&amp;IF(AND(CD75=CD61,CE75=CE61),","&amp;36,"")&amp;IF(AND(CD76=CD61,CE76=CE61),","&amp;37,"")&amp;IF(AND(CD77=CD61,CE77=CE61),","&amp;38,"")&amp;IF(AND(CD78=CD61,CE78=CE61),","&amp;39,"")&amp;IF(AND(CD79=CD61,CE79=CE61),","&amp;40,""),"")</f>
        <v/>
      </c>
      <c r="CL61" s="58">
        <f>IF(CJ61=1,IF(CH61="Motriz","&lt;circle cx='"&amp;SUBSTITUTE(ROUND(CF61,1),",",".")&amp;"' cy='"&amp;SUBSTITUTE(ROUND(CG61,1),",",".")&amp;"' r='6' fill='#2A3439' stroke='#2A3439' stroke-width='1.3'/&gt;",IF(CH61="Enlace","&lt;rect x='"&amp;SUBSTITUTE(ROUND((CF61)-5.52,1),",",".")&amp;"' y='"&amp;SUBSTITUTE(ROUND((CG61)-5.52,1),",",".")&amp;"' width='11.04' height='11.04' fill='#6699CC' stroke='#2A3439' stroke-width='1.3'/&gt;",IF(CH61="Resultado","&lt;path d='M"&amp;SUBSTITUTE(ROUND(CF61,1),",",".")&amp;" "&amp;SUBSTITUTE(ROUND((CG61)-6.9,1),",",".")&amp;"L"&amp;SUBSTITUTE(ROUND((CF61)+6.3,1),",",".")&amp;" "&amp;SUBSTITUTE(ROUND((CG61)+5.1,1),",",".")&amp;"L"&amp;SUBSTITUTE(ROUND((CF61)-6.3,1),",",".")&amp;" "&amp;SUBSTITUTE(ROUND((CG61)+5.1,1),",",".")&amp;"Z' fill='#FFFFFF' stroke='#2A3439' stroke-width='1.3'/&gt;","&lt;path d='M"&amp;SUBSTITUTE(ROUND(CF61,1),",",".")&amp;" "&amp;SUBSTITUTE(ROUND((CG61)-7.5,1),",",".")&amp;"L"&amp;SUBSTITUTE(ROUND((CF61)+7.5,1),",",".")&amp;" "&amp;SUBSTITUTE(ROUND(CG61,1),",",".")&amp;"L"&amp;SUBSTITUTE(ROUND(CF61,1),",",".")&amp;" "&amp;SUBSTITUTE(ROUND((CG61)+7.5,1),",",".")&amp;"L"&amp;SUBSTITUTE(ROUND((CF61)-7.5,1),",",".")&amp;" "&amp;SUBSTITUTE(ROUND(CG61,1),",",".")&amp;"Z' fill='#F5F5F5' stroke='#2A3439' stroke-width='1.3'/&gt;")))&amp;"&lt;text x='"&amp;SUBSTITUTE(ROUND(CF61+9,1),",",".")&amp;"' y='"&amp;SUBSTITUTE(ROUND(CG61-8,1),",",".")&amp;"'&gt;"&amp;CK61&amp;"&lt;/text&gt;","")</f>
        <v/>
      </c>
      <c r="CM61" s="58">
        <f>IF(CC61=1,IF(CH61="Motriz","&lt;circle cx='"&amp;SUBSTITUTE(ROUND(728,1),",",".")&amp;"' cy='"&amp;SUBSTITUTE(ROUND(418.2,1),",",".")&amp;"' r='4.3' fill='#2A3439' stroke='#2A3439' stroke-width='1.3'/&gt;",IF(CH61="Enlace","&lt;rect x='"&amp;SUBSTITUTE(ROUND((728)-3.96,1),",",".")&amp;"' y='"&amp;SUBSTITUTE(ROUND((418.2)-3.96,1),",",".")&amp;"' width='7.92' height='7.92' fill='#6699CC' stroke='#2A3439' stroke-width='1.3'/&gt;",IF(CH61="Resultado","&lt;path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CT61" s="58" t="n">
        <v>22</v>
      </c>
      <c r="CU61" s="58">
        <f>IF(AND($CU$4=1,CT61&lt;=nVariables),1,0)</f>
        <v/>
      </c>
      <c r="CV61" s="58">
        <f>IF(CU61=1,'M6'!$F31,"")</f>
        <v/>
      </c>
      <c r="CW61" s="58">
        <f>IF(CU61=1,'M6'!$E31,"")</f>
        <v/>
      </c>
      <c r="CX61" s="58">
        <f>IF(CU61=1,90+CV61*$CU$22,"")</f>
        <v/>
      </c>
      <c r="CY61" s="58">
        <f>IF(CU61=1,574-CW61*$CU$23,"")</f>
        <v/>
      </c>
      <c r="CZ61" s="58">
        <f>IF(CU61=1,'M6'!$I31,"")</f>
        <v/>
      </c>
      <c r="DA61" s="58">
        <f>IF(CU61=1,IF(CZ61="Motriz","#2A3439",IF(CZ61="Enlace","#6699CC",IF(CZ61="Resultado","#FFFFFF","#F5F5F5"))),"")</f>
        <v/>
      </c>
      <c r="DB61" s="58">
        <f>IF(CU61=1,IF(SUMPRODUCT((CV$39:CV60=CV61)*(CW$39:CW60=CW61))=0,1,0),0)</f>
        <v/>
      </c>
      <c r="DC61" s="58">
        <f>IF(DB61=1,22&amp;IF(AND(CV62=CV61,CW62=CW61),","&amp;23,"")&amp;IF(AND(CV63=CV61,CW63=CW61),","&amp;24,"")&amp;IF(AND(CV64=CV61,CW64=CW61),","&amp;25,"")&amp;IF(AND(CV65=CV61,CW65=CW61),","&amp;26,"")&amp;IF(AND(CV66=CV61,CW66=CW61),","&amp;27,"")&amp;IF(AND(CV67=CV61,CW67=CW61),","&amp;28,"")&amp;IF(AND(CV68=CV61,CW68=CW61),","&amp;29,"")&amp;IF(AND(CV69=CV61,CW69=CW61),","&amp;30,"")&amp;IF(AND(CV70=CV61,CW70=CW61),","&amp;31,"")&amp;IF(AND(CV71=CV61,CW71=CW61),","&amp;32,"")&amp;IF(AND(CV72=CV61,CW72=CW61),","&amp;33,"")&amp;IF(AND(CV73=CV61,CW73=CW61),","&amp;34,"")&amp;IF(AND(CV74=CV61,CW74=CW61),","&amp;35,"")&amp;IF(AND(CV75=CV61,CW75=CW61),","&amp;36,"")&amp;IF(AND(CV76=CV61,CW76=CW61),","&amp;37,"")&amp;IF(AND(CV77=CV61,CW77=CW61),","&amp;38,"")&amp;IF(AND(CV78=CV61,CW78=CW61),","&amp;39,"")&amp;IF(AND(CV79=CV61,CW79=CW61),","&amp;40,""),"")</f>
        <v/>
      </c>
      <c r="DD61" s="58">
        <f>IF(DB61=1,IF(CZ61="Motriz","&lt;circle cx='"&amp;SUBSTITUTE(ROUND(CX61,1),",",".")&amp;"' cy='"&amp;SUBSTITUTE(ROUND(CY61,1),",",".")&amp;"' r='6' fill='#2A3439' stroke='#2A3439' stroke-width='1.3'/&gt;",IF(CZ61="Enlace","&lt;rect x='"&amp;SUBSTITUTE(ROUND((CX61)-5.52,1),",",".")&amp;"' y='"&amp;SUBSTITUTE(ROUND((CY61)-5.52,1),",",".")&amp;"' width='11.04' height='11.04' fill='#6699CC' stroke='#2A3439' stroke-width='1.3'/&gt;",IF(CZ61="Resultado","&lt;path d='M"&amp;SUBSTITUTE(ROUND(CX61,1),",",".")&amp;" "&amp;SUBSTITUTE(ROUND((CY61)-6.9,1),",",".")&amp;"L"&amp;SUBSTITUTE(ROUND((CX61)+6.3,1),",",".")&amp;" "&amp;SUBSTITUTE(ROUND((CY61)+5.1,1),",",".")&amp;"L"&amp;SUBSTITUTE(ROUND((CX61)-6.3,1),",",".")&amp;" "&amp;SUBSTITUTE(ROUND((CY61)+5.1,1),",",".")&amp;"Z' fill='#FFFFFF' stroke='#2A3439' stroke-width='1.3'/&gt;","&lt;path d='M"&amp;SUBSTITUTE(ROUND(CX61,1),",",".")&amp;" "&amp;SUBSTITUTE(ROUND((CY61)-7.5,1),",",".")&amp;"L"&amp;SUBSTITUTE(ROUND((CX61)+7.5,1),",",".")&amp;" "&amp;SUBSTITUTE(ROUND(CY61,1),",",".")&amp;"L"&amp;SUBSTITUTE(ROUND(CX61,1),",",".")&amp;" "&amp;SUBSTITUTE(ROUND((CY61)+7.5,1),",",".")&amp;"L"&amp;SUBSTITUTE(ROUND((CX61)-7.5,1),",",".")&amp;" "&amp;SUBSTITUTE(ROUND(CY61,1),",",".")&amp;"Z' fill='#F5F5F5' stroke='#2A3439' stroke-width='1.3'/&gt;")))&amp;"&lt;text x='"&amp;SUBSTITUTE(ROUND(CX61+9,1),",",".")&amp;"' y='"&amp;SUBSTITUTE(ROUND(CY61-8,1),",",".")&amp;"'&gt;"&amp;DC61&amp;"&lt;/text&gt;","")</f>
        <v/>
      </c>
      <c r="DE61" s="58">
        <f>IF(CU61=1,IF(CZ61="Motriz","&lt;circle cx='"&amp;SUBSTITUTE(ROUND(728,1),",",".")&amp;"' cy='"&amp;SUBSTITUTE(ROUND(418.2,1),",",".")&amp;"' r='4.3' fill='#2A3439' stroke='#2A3439' stroke-width='1.3'/&gt;",IF(CZ61="Enlace","&lt;rect x='"&amp;SUBSTITUTE(ROUND((728)-3.96,1),",",".")&amp;"' y='"&amp;SUBSTITUTE(ROUND((418.2)-3.96,1),",",".")&amp;"' width='7.92' height='7.92' fill='#6699CC' stroke='#2A3439' stroke-width='1.3'/&gt;",IF(CZ61="Resultado","&lt;path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DL61" s="58" t="n">
        <v>10</v>
      </c>
      <c r="DM61" s="58">
        <f>IF(AND($DM$4=1,DL61&lt;=nVariables),IF('M6'!$I19="Resultado","E",IF('M6'!$I19="Enlace","L",IF('M6'!$I19="Motriz","R",IF('M6'!$I19="Autónoma","A","")))),"")</f>
        <v/>
      </c>
      <c r="DN61" s="58">
        <f>IF(DM61&lt;&gt;"",COUNTIF($DM$52:DM61,DM61),"")</f>
        <v/>
      </c>
      <c r="DO61" s="58">
        <f>IF(DM61&lt;&gt;"",SUBSTITUTE(SUBSTITUTE(SUBSTITUTE(SUBSTITUTE(SUBSTITUTE(SUBSTITUTE(SUBSTITUTE(TRIM(CLEAN(IF(LEN(10&amp;" · "&amp;$D49)&gt;30,LEFT(10&amp;" · "&amp;$D49,29)&amp;"…",10&amp;" · "&amp;$D49))),"&amp;","&amp;amp;"),"&lt;","&amp;lt;"),"&gt;","&amp;gt;"),CHAR(34),"&amp;quot;"),CHAR(10)," "),CHAR(9)," "),CHAR(13)," "),"")</f>
        <v/>
      </c>
      <c r="DP61" s="58">
        <f>IF(DM61&lt;&gt;"",IF($E49&lt;&gt;"",$E49,IF(DM61="E","(efecto · indicador de resultado)",IF(DM61="L","(causa directa · riesgo)",IF(DM61="R","CAUSA RAÍZ · componente del proyecto","(fuera del alcance)")))),"")</f>
        <v/>
      </c>
      <c r="DQ61" s="58">
        <f>IF(DM61&lt;&gt;"",IF(LEN(DP61)&gt;74,LEFT(DP61,73)&amp;"…",DP61),"")</f>
        <v/>
      </c>
      <c r="DR61" s="58">
        <f>IF(DM61&lt;&gt;"",IF(LEN(DQ61)&lt;=37,LEN(DQ61)+1,IFERROR(FIND("~",SUBSTITUTE(LEFT(DQ61,38)," ","~",LEN(LEFT(DQ61,38))-LEN(SUBSTITUTE(LEFT(DQ61,38)," ","")))),38)),"")</f>
        <v/>
      </c>
      <c r="DS61" s="58">
        <f>IF(DM61&lt;&gt;"",SUBSTITUTE(SUBSTITUTE(SUBSTITUTE(SUBSTITUTE(SUBSTITUTE(SUBSTITUTE(SUBSTITUTE(TRIM(CLEAN(TRIM(LEFT(DQ61,DR61-1)))),"&amp;","&amp;amp;"),"&lt;","&amp;lt;"),"&gt;","&amp;gt;"),CHAR(34),"&amp;quot;"),CHAR(10)," "),CHAR(9)," "),CHAR(13)," "),"")</f>
        <v/>
      </c>
      <c r="DT61" s="58">
        <f>IF(DM61&lt;&gt;"",SUBSTITUTE(SUBSTITUTE(SUBSTITUTE(SUBSTITUTE(SUBSTITUTE(SUBSTITUTE(SUBSTITUTE(TRIM(CLEAN(IF(LEN(TRIM(MID(DQ61,DR61,80)))&gt;37,LEFT(TRIM(MID(DQ61,DR61,80)),36)&amp;"…",TRIM(MID(DQ61,DR61,80))))),"&amp;","&amp;amp;"),"&lt;","&amp;lt;"),"&gt;","&amp;gt;"),CHAR(34),"&amp;quot;"),CHAR(10)," "),CHAR(9)," "),CHAR(13)," "),"")</f>
        <v/>
      </c>
      <c r="DU61" s="58">
        <f>IF(DM61&lt;&gt;"",(1200-(MIN(5,IF(DM61="E",$DM$5,IF(DM61="L",$DM$8,IF(DM61="R",$DM$11,$DM$14)))-INT((DN61-1)/5)*5)*216+(MIN(5,IF(DM61="E",$DM$5,IF(DM61="L",$DM$8,IF(DM61="R",$DM$11,$DM$14)))-INT((DN61-1)/5)*5)-1)*14))/2+MOD(DN61-1,5)*(216+14),"")</f>
        <v/>
      </c>
      <c r="DV61" s="58">
        <f>IF(DM61&lt;&gt;"",IF(DM61="E",$DM$17,IF(DM61="L",$DM$21,IF(DM61="R",$DM$23,$DM$25)))+24+INT((DN61-1)/5)*(64+12),"")</f>
        <v/>
      </c>
      <c r="DW61" s="58">
        <f>IF(DM61&lt;&gt;"","&lt;rect x='"&amp;SUBSTITUTE(ROUND(DU61,1),",",".")&amp;"' y='"&amp;SUBSTITUTE(ROUND(DV61,1),",",".")&amp;"' width='216' height='64' rx='9' fill='"&amp;IF(DM61="E","#B9D9EB",IF(DM61="L","#9EB9D4",IF(DM61="R","#6699CC","#F5F5F5")))&amp;"' stroke='#2A3439' stroke-width='1'"&amp;IF(DM61="A"," stroke-dasharray='5 3'","")&amp;"/&gt;"&amp;"&lt;text x='"&amp;SUBSTITUTE(ROUND((DU61+108),1),",",".")&amp;"' y='"&amp;SUBSTITUTE(ROUND(DV61+20,1),",",".")&amp;"' font-size='12' font-weight='bold'&gt;"&amp;DO61&amp;"&lt;/text&gt;"&amp;"&lt;text x='"&amp;SUBSTITUTE(ROUND((DU61+108),1),",",".")&amp;"' y='"&amp;SUBSTITUTE(ROUND(DV61+38,1),",",".")&amp;"' font-size='10'&gt;"&amp;DS61&amp;"&lt;/text&gt;"&amp;"&lt;text x='"&amp;SUBSTITUTE(ROUND((DU61+108),1),",",".")&amp;"' y='"&amp;SUBSTITUTE(ROUND(DV61+53,1),",",".")&amp;"' font-size='10'&gt;"&amp;DT61&amp;"&lt;/text&gt;","")</f>
        <v/>
      </c>
    </row>
    <row r="62">
      <c r="A62" s="58" t="n">
        <v>23</v>
      </c>
      <c r="B62" s="58">
        <f>IF($A62&lt;=nVariables,SUBSTITUTE(SUBSTITUTE(SUBSTITUTE(SUBSTITUTE(SUBSTITUTE(SUBSTITUTE(SUBSTITUTE(TRIM(CLEAN(IF(LEN(TRIM(M!$B32))&gt;46,LEFT(TRIM(M!$B32),45)&amp;"…",TRIM(M!$B32)))),"&amp;","&amp;amp;"),"&lt;","&amp;lt;"),"&gt;","&amp;gt;"),CHAR(34),"&amp;quot;"),CHAR(10)," "),CHAR(9)," "),CHAR(13)," "),"")</f>
        <v/>
      </c>
      <c r="C62" s="58">
        <f>IF($A62&lt;=nVariables,$A62&amp;". "&amp;B62,"")</f>
        <v/>
      </c>
      <c r="D62" s="58">
        <f>IF($A62&lt;=nVariables,IF(TRIM(M!$C32)&lt;&gt;"",TRIM(M!$C32),IF(LEN(TRIM(M!$B32))&gt;24,LEFT(TRIM(M!$B32),23)&amp;"…",TRIM(M!$B32))),"")</f>
        <v/>
      </c>
      <c r="E62" s="58">
        <f>IF($A62&lt;=nVariables,TRIM('Árbol de Problemas'!$F41),"")</f>
        <v/>
      </c>
      <c r="H62" s="58" t="n">
        <v>23</v>
      </c>
      <c r="I62" s="58">
        <f>IF(AND($I$4=1,H62&lt;=nVariables),1,0)</f>
        <v/>
      </c>
      <c r="J62" s="58">
        <f>IF(I62=1,'M1'!$F32,"")</f>
        <v/>
      </c>
      <c r="K62" s="58">
        <f>IF(I62=1,'M1'!$E32,"")</f>
        <v/>
      </c>
      <c r="L62" s="58">
        <f>IF(I62=1,90+J62*$I$22,"")</f>
        <v/>
      </c>
      <c r="M62" s="58">
        <f>IF(I62=1,574-K62*$I$23,"")</f>
        <v/>
      </c>
      <c r="N62" s="58">
        <f>IF(I62=1,'M1'!$I32,"")</f>
        <v/>
      </c>
      <c r="O62" s="58">
        <f>IF(I62=1,IF(N62="Motriz","#2A3439",IF(N62="Enlace","#6699CC",IF(N62="Resultado","#FFFFFF","#F5F5F5"))),"")</f>
        <v/>
      </c>
      <c r="P62" s="58">
        <f>IF(I62=1,IF(SUMPRODUCT((J$39:J61=J62)*(K$39:K61=K62))=0,1,0),0)</f>
        <v/>
      </c>
      <c r="Q62" s="58">
        <f>IF(P62=1,23&amp;IF(AND(J63=J62,K63=K62),","&amp;24,"")&amp;IF(AND(J64=J62,K64=K62),","&amp;25,"")&amp;IF(AND(J65=J62,K65=K62),","&amp;26,"")&amp;IF(AND(J66=J62,K66=K62),","&amp;27,"")&amp;IF(AND(J67=J62,K67=K62),","&amp;28,"")&amp;IF(AND(J68=J62,K68=K62),","&amp;29,"")&amp;IF(AND(J69=J62,K69=K62),","&amp;30,"")&amp;IF(AND(J70=J62,K70=K62),","&amp;31,"")&amp;IF(AND(J71=J62,K71=K62),","&amp;32,"")&amp;IF(AND(J72=J62,K72=K62),","&amp;33,"")&amp;IF(AND(J73=J62,K73=K62),","&amp;34,"")&amp;IF(AND(J74=J62,K74=K62),","&amp;35,"")&amp;IF(AND(J75=J62,K75=K62),","&amp;36,"")&amp;IF(AND(J76=J62,K76=K62),","&amp;37,"")&amp;IF(AND(J77=J62,K77=K62),","&amp;38,"")&amp;IF(AND(J78=J62,K78=K62),","&amp;39,"")&amp;IF(AND(J79=J62,K79=K62),","&amp;40,""),"")</f>
        <v/>
      </c>
      <c r="R62" s="58">
        <f>IF(P62=1,IF(N62="Motriz","&lt;circle cx='"&amp;SUBSTITUTE(ROUND(L62,1),",",".")&amp;"' cy='"&amp;SUBSTITUTE(ROUND(M62,1),",",".")&amp;"' r='6' fill='#2A3439' stroke='#2A3439' stroke-width='1.3'/&gt;",IF(N62="Enlace","&lt;rect x='"&amp;SUBSTITUTE(ROUND((L62)-5.52,1),",",".")&amp;"' y='"&amp;SUBSTITUTE(ROUND((M62)-5.52,1),",",".")&amp;"' width='11.04' height='11.04' fill='#6699CC' stroke='#2A3439' stroke-width='1.3'/&gt;",IF(N62="Resultado","&lt;path d='M"&amp;SUBSTITUTE(ROUND(L62,1),",",".")&amp;" "&amp;SUBSTITUTE(ROUND((M62)-6.9,1),",",".")&amp;"L"&amp;SUBSTITUTE(ROUND((L62)+6.3,1),",",".")&amp;" "&amp;SUBSTITUTE(ROUND((M62)+5.1,1),",",".")&amp;"L"&amp;SUBSTITUTE(ROUND((L62)-6.3,1),",",".")&amp;" "&amp;SUBSTITUTE(ROUND((M62)+5.1,1),",",".")&amp;"Z' fill='#FFFFFF' stroke='#2A3439' stroke-width='1.3'/&gt;","&lt;path d='M"&amp;SUBSTITUTE(ROUND(L62,1),",",".")&amp;" "&amp;SUBSTITUTE(ROUND((M62)-7.5,1),",",".")&amp;"L"&amp;SUBSTITUTE(ROUND((L62)+7.5,1),",",".")&amp;" "&amp;SUBSTITUTE(ROUND(M62,1),",",".")&amp;"L"&amp;SUBSTITUTE(ROUND(L62,1),",",".")&amp;" "&amp;SUBSTITUTE(ROUND((M62)+7.5,1),",",".")&amp;"L"&amp;SUBSTITUTE(ROUND((L62)-7.5,1),",",".")&amp;" "&amp;SUBSTITUTE(ROUND(M62,1),",",".")&amp;"Z' fill='#F5F5F5' stroke='#2A3439' stroke-width='1.3'/&gt;")))&amp;"&lt;text x='"&amp;SUBSTITUTE(ROUND(L62+9,1),",",".")&amp;"' y='"&amp;SUBSTITUTE(ROUND(M62-8,1),",",".")&amp;"'&gt;"&amp;Q62&amp;"&lt;/text&gt;","")</f>
        <v/>
      </c>
      <c r="S62" s="58">
        <f>IF(I62=1,IF(N62="Motriz","&lt;circle cx='"&amp;SUBSTITUTE(ROUND(728,1),",",".")&amp;"' cy='"&amp;SUBSTITUTE(ROUND(432.4,1),",",".")&amp;"' r='4.3' fill='#2A3439' stroke='#2A3439' stroke-width='1.3'/&gt;",IF(N62="Enlace","&lt;rect x='"&amp;SUBSTITUTE(ROUND((728)-3.96,1),",",".")&amp;"' y='"&amp;SUBSTITUTE(ROUND((432.4)-3.96,1),",",".")&amp;"' width='7.92' height='7.92' fill='#6699CC' stroke='#2A3439' stroke-width='1.3'/&gt;",IF(N62="Resultado","&lt;path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Z62" s="58" t="n">
        <v>23</v>
      </c>
      <c r="AA62" s="58">
        <f>IF(AND($AA$4=1,Z62&lt;=nVariables),1,0)</f>
        <v/>
      </c>
      <c r="AB62" s="58">
        <f>IF(AA62=1,'M2'!$F32,"")</f>
        <v/>
      </c>
      <c r="AC62" s="58">
        <f>IF(AA62=1,'M2'!$E32,"")</f>
        <v/>
      </c>
      <c r="AD62" s="58">
        <f>IF(AA62=1,90+AB62*$AA$22,"")</f>
        <v/>
      </c>
      <c r="AE62" s="58">
        <f>IF(AA62=1,574-AC62*$AA$23,"")</f>
        <v/>
      </c>
      <c r="AF62" s="58">
        <f>IF(AA62=1,'M2'!$I32,"")</f>
        <v/>
      </c>
      <c r="AG62" s="58">
        <f>IF(AA62=1,IF(AF62="Motriz","#2A3439",IF(AF62="Enlace","#6699CC",IF(AF62="Resultado","#FFFFFF","#F5F5F5"))),"")</f>
        <v/>
      </c>
      <c r="AH62" s="58">
        <f>IF(AA62=1,IF(SUMPRODUCT((AB$39:AB61=AB62)*(AC$39:AC61=AC62))=0,1,0),0)</f>
        <v/>
      </c>
      <c r="AI62" s="58">
        <f>IF(AH62=1,23&amp;IF(AND(AB63=AB62,AC63=AC62),","&amp;24,"")&amp;IF(AND(AB64=AB62,AC64=AC62),","&amp;25,"")&amp;IF(AND(AB65=AB62,AC65=AC62),","&amp;26,"")&amp;IF(AND(AB66=AB62,AC66=AC62),","&amp;27,"")&amp;IF(AND(AB67=AB62,AC67=AC62),","&amp;28,"")&amp;IF(AND(AB68=AB62,AC68=AC62),","&amp;29,"")&amp;IF(AND(AB69=AB62,AC69=AC62),","&amp;30,"")&amp;IF(AND(AB70=AB62,AC70=AC62),","&amp;31,"")&amp;IF(AND(AB71=AB62,AC71=AC62),","&amp;32,"")&amp;IF(AND(AB72=AB62,AC72=AC62),","&amp;33,"")&amp;IF(AND(AB73=AB62,AC73=AC62),","&amp;34,"")&amp;IF(AND(AB74=AB62,AC74=AC62),","&amp;35,"")&amp;IF(AND(AB75=AB62,AC75=AC62),","&amp;36,"")&amp;IF(AND(AB76=AB62,AC76=AC62),","&amp;37,"")&amp;IF(AND(AB77=AB62,AC77=AC62),","&amp;38,"")&amp;IF(AND(AB78=AB62,AC78=AC62),","&amp;39,"")&amp;IF(AND(AB79=AB62,AC79=AC62),","&amp;40,""),"")</f>
        <v/>
      </c>
      <c r="AJ62" s="58">
        <f>IF(AH62=1,IF(AF62="Motriz","&lt;circle cx='"&amp;SUBSTITUTE(ROUND(AD62,1),",",".")&amp;"' cy='"&amp;SUBSTITUTE(ROUND(AE62,1),",",".")&amp;"' r='6' fill='#2A3439' stroke='#2A3439' stroke-width='1.3'/&gt;",IF(AF62="Enlace","&lt;rect x='"&amp;SUBSTITUTE(ROUND((AD62)-5.52,1),",",".")&amp;"' y='"&amp;SUBSTITUTE(ROUND((AE62)-5.52,1),",",".")&amp;"' width='11.04' height='11.04' fill='#6699CC' stroke='#2A3439' stroke-width='1.3'/&gt;",IF(AF62="Resultado","&lt;path d='M"&amp;SUBSTITUTE(ROUND(AD62,1),",",".")&amp;" "&amp;SUBSTITUTE(ROUND((AE62)-6.9,1),",",".")&amp;"L"&amp;SUBSTITUTE(ROUND((AD62)+6.3,1),",",".")&amp;" "&amp;SUBSTITUTE(ROUND((AE62)+5.1,1),",",".")&amp;"L"&amp;SUBSTITUTE(ROUND((AD62)-6.3,1),",",".")&amp;" "&amp;SUBSTITUTE(ROUND((AE62)+5.1,1),",",".")&amp;"Z' fill='#FFFFFF' stroke='#2A3439' stroke-width='1.3'/&gt;","&lt;path d='M"&amp;SUBSTITUTE(ROUND(AD62,1),",",".")&amp;" "&amp;SUBSTITUTE(ROUND((AE62)-7.5,1),",",".")&amp;"L"&amp;SUBSTITUTE(ROUND((AD62)+7.5,1),",",".")&amp;" "&amp;SUBSTITUTE(ROUND(AE62,1),",",".")&amp;"L"&amp;SUBSTITUTE(ROUND(AD62,1),",",".")&amp;" "&amp;SUBSTITUTE(ROUND((AE62)+7.5,1),",",".")&amp;"L"&amp;SUBSTITUTE(ROUND((AD62)-7.5,1),",",".")&amp;" "&amp;SUBSTITUTE(ROUND(AE62,1),",",".")&amp;"Z' fill='#F5F5F5' stroke='#2A3439' stroke-width='1.3'/&gt;")))&amp;"&lt;text x='"&amp;SUBSTITUTE(ROUND(AD62+9,1),",",".")&amp;"' y='"&amp;SUBSTITUTE(ROUND(AE62-8,1),",",".")&amp;"'&gt;"&amp;AI62&amp;"&lt;/text&gt;","")</f>
        <v/>
      </c>
      <c r="AK62" s="58">
        <f>IF(AA62=1,IF(AF62="Motriz","&lt;circle cx='"&amp;SUBSTITUTE(ROUND(728,1),",",".")&amp;"' cy='"&amp;SUBSTITUTE(ROUND(432.4,1),",",".")&amp;"' r='4.3' fill='#2A3439' stroke='#2A3439' stroke-width='1.3'/&gt;",IF(AF62="Enlace","&lt;rect x='"&amp;SUBSTITUTE(ROUND((728)-3.96,1),",",".")&amp;"' y='"&amp;SUBSTITUTE(ROUND((432.4)-3.96,1),",",".")&amp;"' width='7.92' height='7.92' fill='#6699CC' stroke='#2A3439' stroke-width='1.3'/&gt;",IF(AF62="Resultado","&lt;path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AR62" s="58" t="n">
        <v>23</v>
      </c>
      <c r="AS62" s="58">
        <f>IF(AND($AS$4=1,AR62&lt;=nVariables),1,0)</f>
        <v/>
      </c>
      <c r="AT62" s="58">
        <f>IF(AS62=1,'M3'!$F32,"")</f>
        <v/>
      </c>
      <c r="AU62" s="58">
        <f>IF(AS62=1,'M3'!$E32,"")</f>
        <v/>
      </c>
      <c r="AV62" s="58">
        <f>IF(AS62=1,90+AT62*$AS$22,"")</f>
        <v/>
      </c>
      <c r="AW62" s="58">
        <f>IF(AS62=1,574-AU62*$AS$23,"")</f>
        <v/>
      </c>
      <c r="AX62" s="58">
        <f>IF(AS62=1,'M3'!$I32,"")</f>
        <v/>
      </c>
      <c r="AY62" s="58">
        <f>IF(AS62=1,IF(AX62="Motriz","#2A3439",IF(AX62="Enlace","#6699CC",IF(AX62="Resultado","#FFFFFF","#F5F5F5"))),"")</f>
        <v/>
      </c>
      <c r="AZ62" s="58">
        <f>IF(AS62=1,IF(SUMPRODUCT((AT$39:AT61=AT62)*(AU$39:AU61=AU62))=0,1,0),0)</f>
        <v/>
      </c>
      <c r="BA62" s="58">
        <f>IF(AZ62=1,23&amp;IF(AND(AT63=AT62,AU63=AU62),","&amp;24,"")&amp;IF(AND(AT64=AT62,AU64=AU62),","&amp;25,"")&amp;IF(AND(AT65=AT62,AU65=AU62),","&amp;26,"")&amp;IF(AND(AT66=AT62,AU66=AU62),","&amp;27,"")&amp;IF(AND(AT67=AT62,AU67=AU62),","&amp;28,"")&amp;IF(AND(AT68=AT62,AU68=AU62),","&amp;29,"")&amp;IF(AND(AT69=AT62,AU69=AU62),","&amp;30,"")&amp;IF(AND(AT70=AT62,AU70=AU62),","&amp;31,"")&amp;IF(AND(AT71=AT62,AU71=AU62),","&amp;32,"")&amp;IF(AND(AT72=AT62,AU72=AU62),","&amp;33,"")&amp;IF(AND(AT73=AT62,AU73=AU62),","&amp;34,"")&amp;IF(AND(AT74=AT62,AU74=AU62),","&amp;35,"")&amp;IF(AND(AT75=AT62,AU75=AU62),","&amp;36,"")&amp;IF(AND(AT76=AT62,AU76=AU62),","&amp;37,"")&amp;IF(AND(AT77=AT62,AU77=AU62),","&amp;38,"")&amp;IF(AND(AT78=AT62,AU78=AU62),","&amp;39,"")&amp;IF(AND(AT79=AT62,AU79=AU62),","&amp;40,""),"")</f>
        <v/>
      </c>
      <c r="BB62" s="58">
        <f>IF(AZ62=1,IF(AX62="Motriz","&lt;circle cx='"&amp;SUBSTITUTE(ROUND(AV62,1),",",".")&amp;"' cy='"&amp;SUBSTITUTE(ROUND(AW62,1),",",".")&amp;"' r='6' fill='#2A3439' stroke='#2A3439' stroke-width='1.3'/&gt;",IF(AX62="Enlace","&lt;rect x='"&amp;SUBSTITUTE(ROUND((AV62)-5.52,1),",",".")&amp;"' y='"&amp;SUBSTITUTE(ROUND((AW62)-5.52,1),",",".")&amp;"' width='11.04' height='11.04' fill='#6699CC' stroke='#2A3439' stroke-width='1.3'/&gt;",IF(AX62="Resultado","&lt;path d='M"&amp;SUBSTITUTE(ROUND(AV62,1),",",".")&amp;" "&amp;SUBSTITUTE(ROUND((AW62)-6.9,1),",",".")&amp;"L"&amp;SUBSTITUTE(ROUND((AV62)+6.3,1),",",".")&amp;" "&amp;SUBSTITUTE(ROUND((AW62)+5.1,1),",",".")&amp;"L"&amp;SUBSTITUTE(ROUND((AV62)-6.3,1),",",".")&amp;" "&amp;SUBSTITUTE(ROUND((AW62)+5.1,1),",",".")&amp;"Z' fill='#FFFFFF' stroke='#2A3439' stroke-width='1.3'/&gt;","&lt;path d='M"&amp;SUBSTITUTE(ROUND(AV62,1),",",".")&amp;" "&amp;SUBSTITUTE(ROUND((AW62)-7.5,1),",",".")&amp;"L"&amp;SUBSTITUTE(ROUND((AV62)+7.5,1),",",".")&amp;" "&amp;SUBSTITUTE(ROUND(AW62,1),",",".")&amp;"L"&amp;SUBSTITUTE(ROUND(AV62,1),",",".")&amp;" "&amp;SUBSTITUTE(ROUND((AW62)+7.5,1),",",".")&amp;"L"&amp;SUBSTITUTE(ROUND((AV62)-7.5,1),",",".")&amp;" "&amp;SUBSTITUTE(ROUND(AW62,1),",",".")&amp;"Z' fill='#F5F5F5' stroke='#2A3439' stroke-width='1.3'/&gt;")))&amp;"&lt;text x='"&amp;SUBSTITUTE(ROUND(AV62+9,1),",",".")&amp;"' y='"&amp;SUBSTITUTE(ROUND(AW62-8,1),",",".")&amp;"'&gt;"&amp;BA62&amp;"&lt;/text&gt;","")</f>
        <v/>
      </c>
      <c r="BC62" s="58">
        <f>IF(AS62=1,IF(AX62="Motriz","&lt;circle cx='"&amp;SUBSTITUTE(ROUND(728,1),",",".")&amp;"' cy='"&amp;SUBSTITUTE(ROUND(432.4,1),",",".")&amp;"' r='4.3' fill='#2A3439' stroke='#2A3439' stroke-width='1.3'/&gt;",IF(AX62="Enlace","&lt;rect x='"&amp;SUBSTITUTE(ROUND((728)-3.96,1),",",".")&amp;"' y='"&amp;SUBSTITUTE(ROUND((432.4)-3.96,1),",",".")&amp;"' width='7.92' height='7.92' fill='#6699CC' stroke='#2A3439' stroke-width='1.3'/&gt;",IF(AX62="Resultado","&lt;path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BJ62" s="58" t="n">
        <v>23</v>
      </c>
      <c r="BK62" s="58">
        <f>IF(AND($BK$4=1,BJ62&lt;=nVariables),1,0)</f>
        <v/>
      </c>
      <c r="BL62" s="58">
        <f>IF(BK62=1,'M4'!$F32,"")</f>
        <v/>
      </c>
      <c r="BM62" s="58">
        <f>IF(BK62=1,'M4'!$E32,"")</f>
        <v/>
      </c>
      <c r="BN62" s="58">
        <f>IF(BK62=1,90+BL62*$BK$22,"")</f>
        <v/>
      </c>
      <c r="BO62" s="58">
        <f>IF(BK62=1,574-BM62*$BK$23,"")</f>
        <v/>
      </c>
      <c r="BP62" s="58">
        <f>IF(BK62=1,'M4'!$I32,"")</f>
        <v/>
      </c>
      <c r="BQ62" s="58">
        <f>IF(BK62=1,IF(BP62="Motriz","#2A3439",IF(BP62="Enlace","#6699CC",IF(BP62="Resultado","#FFFFFF","#F5F5F5"))),"")</f>
        <v/>
      </c>
      <c r="BR62" s="58">
        <f>IF(BK62=1,IF(SUMPRODUCT((BL$39:BL61=BL62)*(BM$39:BM61=BM62))=0,1,0),0)</f>
        <v/>
      </c>
      <c r="BS62" s="58">
        <f>IF(BR62=1,23&amp;IF(AND(BL63=BL62,BM63=BM62),","&amp;24,"")&amp;IF(AND(BL64=BL62,BM64=BM62),","&amp;25,"")&amp;IF(AND(BL65=BL62,BM65=BM62),","&amp;26,"")&amp;IF(AND(BL66=BL62,BM66=BM62),","&amp;27,"")&amp;IF(AND(BL67=BL62,BM67=BM62),","&amp;28,"")&amp;IF(AND(BL68=BL62,BM68=BM62),","&amp;29,"")&amp;IF(AND(BL69=BL62,BM69=BM62),","&amp;30,"")&amp;IF(AND(BL70=BL62,BM70=BM62),","&amp;31,"")&amp;IF(AND(BL71=BL62,BM71=BM62),","&amp;32,"")&amp;IF(AND(BL72=BL62,BM72=BM62),","&amp;33,"")&amp;IF(AND(BL73=BL62,BM73=BM62),","&amp;34,"")&amp;IF(AND(BL74=BL62,BM74=BM62),","&amp;35,"")&amp;IF(AND(BL75=BL62,BM75=BM62),","&amp;36,"")&amp;IF(AND(BL76=BL62,BM76=BM62),","&amp;37,"")&amp;IF(AND(BL77=BL62,BM77=BM62),","&amp;38,"")&amp;IF(AND(BL78=BL62,BM78=BM62),","&amp;39,"")&amp;IF(AND(BL79=BL62,BM79=BM62),","&amp;40,""),"")</f>
        <v/>
      </c>
      <c r="BT62" s="58">
        <f>IF(BR62=1,IF(BP62="Motriz","&lt;circle cx='"&amp;SUBSTITUTE(ROUND(BN62,1),",",".")&amp;"' cy='"&amp;SUBSTITUTE(ROUND(BO62,1),",",".")&amp;"' r='6' fill='#2A3439' stroke='#2A3439' stroke-width='1.3'/&gt;",IF(BP62="Enlace","&lt;rect x='"&amp;SUBSTITUTE(ROUND((BN62)-5.52,1),",",".")&amp;"' y='"&amp;SUBSTITUTE(ROUND((BO62)-5.52,1),",",".")&amp;"' width='11.04' height='11.04' fill='#6699CC' stroke='#2A3439' stroke-width='1.3'/&gt;",IF(BP62="Resultado","&lt;path d='M"&amp;SUBSTITUTE(ROUND(BN62,1),",",".")&amp;" "&amp;SUBSTITUTE(ROUND((BO62)-6.9,1),",",".")&amp;"L"&amp;SUBSTITUTE(ROUND((BN62)+6.3,1),",",".")&amp;" "&amp;SUBSTITUTE(ROUND((BO62)+5.1,1),",",".")&amp;"L"&amp;SUBSTITUTE(ROUND((BN62)-6.3,1),",",".")&amp;" "&amp;SUBSTITUTE(ROUND((BO62)+5.1,1),",",".")&amp;"Z' fill='#FFFFFF' stroke='#2A3439' stroke-width='1.3'/&gt;","&lt;path d='M"&amp;SUBSTITUTE(ROUND(BN62,1),",",".")&amp;" "&amp;SUBSTITUTE(ROUND((BO62)-7.5,1),",",".")&amp;"L"&amp;SUBSTITUTE(ROUND((BN62)+7.5,1),",",".")&amp;" "&amp;SUBSTITUTE(ROUND(BO62,1),",",".")&amp;"L"&amp;SUBSTITUTE(ROUND(BN62,1),",",".")&amp;" "&amp;SUBSTITUTE(ROUND((BO62)+7.5,1),",",".")&amp;"L"&amp;SUBSTITUTE(ROUND((BN62)-7.5,1),",",".")&amp;" "&amp;SUBSTITUTE(ROUND(BO62,1),",",".")&amp;"Z' fill='#F5F5F5' stroke='#2A3439' stroke-width='1.3'/&gt;")))&amp;"&lt;text x='"&amp;SUBSTITUTE(ROUND(BN62+9,1),",",".")&amp;"' y='"&amp;SUBSTITUTE(ROUND(BO62-8,1),",",".")&amp;"'&gt;"&amp;BS62&amp;"&lt;/text&gt;","")</f>
        <v/>
      </c>
      <c r="BU62" s="58">
        <f>IF(BK62=1,IF(BP62="Motriz","&lt;circle cx='"&amp;SUBSTITUTE(ROUND(728,1),",",".")&amp;"' cy='"&amp;SUBSTITUTE(ROUND(432.4,1),",",".")&amp;"' r='4.3' fill='#2A3439' stroke='#2A3439' stroke-width='1.3'/&gt;",IF(BP62="Enlace","&lt;rect x='"&amp;SUBSTITUTE(ROUND((728)-3.96,1),",",".")&amp;"' y='"&amp;SUBSTITUTE(ROUND((432.4)-3.96,1),",",".")&amp;"' width='7.92' height='7.92' fill='#6699CC' stroke='#2A3439' stroke-width='1.3'/&gt;",IF(BP62="Resultado","&lt;path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CB62" s="58" t="n">
        <v>23</v>
      </c>
      <c r="CC62" s="58">
        <f>IF(AND($CC$4=1,CB62&lt;=nVariables),1,0)</f>
        <v/>
      </c>
      <c r="CD62" s="58">
        <f>IF(CC62=1,'M5'!$F32,"")</f>
        <v/>
      </c>
      <c r="CE62" s="58">
        <f>IF(CC62=1,'M5'!$E32,"")</f>
        <v/>
      </c>
      <c r="CF62" s="58">
        <f>IF(CC62=1,90+CD62*$CC$22,"")</f>
        <v/>
      </c>
      <c r="CG62" s="58">
        <f>IF(CC62=1,574-CE62*$CC$23,"")</f>
        <v/>
      </c>
      <c r="CH62" s="58">
        <f>IF(CC62=1,'M5'!$I32,"")</f>
        <v/>
      </c>
      <c r="CI62" s="58">
        <f>IF(CC62=1,IF(CH62="Motriz","#2A3439",IF(CH62="Enlace","#6699CC",IF(CH62="Resultado","#FFFFFF","#F5F5F5"))),"")</f>
        <v/>
      </c>
      <c r="CJ62" s="58">
        <f>IF(CC62=1,IF(SUMPRODUCT((CD$39:CD61=CD62)*(CE$39:CE61=CE62))=0,1,0),0)</f>
        <v/>
      </c>
      <c r="CK62" s="58">
        <f>IF(CJ62=1,23&amp;IF(AND(CD63=CD62,CE63=CE62),","&amp;24,"")&amp;IF(AND(CD64=CD62,CE64=CE62),","&amp;25,"")&amp;IF(AND(CD65=CD62,CE65=CE62),","&amp;26,"")&amp;IF(AND(CD66=CD62,CE66=CE62),","&amp;27,"")&amp;IF(AND(CD67=CD62,CE67=CE62),","&amp;28,"")&amp;IF(AND(CD68=CD62,CE68=CE62),","&amp;29,"")&amp;IF(AND(CD69=CD62,CE69=CE62),","&amp;30,"")&amp;IF(AND(CD70=CD62,CE70=CE62),","&amp;31,"")&amp;IF(AND(CD71=CD62,CE71=CE62),","&amp;32,"")&amp;IF(AND(CD72=CD62,CE72=CE62),","&amp;33,"")&amp;IF(AND(CD73=CD62,CE73=CE62),","&amp;34,"")&amp;IF(AND(CD74=CD62,CE74=CE62),","&amp;35,"")&amp;IF(AND(CD75=CD62,CE75=CE62),","&amp;36,"")&amp;IF(AND(CD76=CD62,CE76=CE62),","&amp;37,"")&amp;IF(AND(CD77=CD62,CE77=CE62),","&amp;38,"")&amp;IF(AND(CD78=CD62,CE78=CE62),","&amp;39,"")&amp;IF(AND(CD79=CD62,CE79=CE62),","&amp;40,""),"")</f>
        <v/>
      </c>
      <c r="CL62" s="58">
        <f>IF(CJ62=1,IF(CH62="Motriz","&lt;circle cx='"&amp;SUBSTITUTE(ROUND(CF62,1),",",".")&amp;"' cy='"&amp;SUBSTITUTE(ROUND(CG62,1),",",".")&amp;"' r='6' fill='#2A3439' stroke='#2A3439' stroke-width='1.3'/&gt;",IF(CH62="Enlace","&lt;rect x='"&amp;SUBSTITUTE(ROUND((CF62)-5.52,1),",",".")&amp;"' y='"&amp;SUBSTITUTE(ROUND((CG62)-5.52,1),",",".")&amp;"' width='11.04' height='11.04' fill='#6699CC' stroke='#2A3439' stroke-width='1.3'/&gt;",IF(CH62="Resultado","&lt;path d='M"&amp;SUBSTITUTE(ROUND(CF62,1),",",".")&amp;" "&amp;SUBSTITUTE(ROUND((CG62)-6.9,1),",",".")&amp;"L"&amp;SUBSTITUTE(ROUND((CF62)+6.3,1),",",".")&amp;" "&amp;SUBSTITUTE(ROUND((CG62)+5.1,1),",",".")&amp;"L"&amp;SUBSTITUTE(ROUND((CF62)-6.3,1),",",".")&amp;" "&amp;SUBSTITUTE(ROUND((CG62)+5.1,1),",",".")&amp;"Z' fill='#FFFFFF' stroke='#2A3439' stroke-width='1.3'/&gt;","&lt;path d='M"&amp;SUBSTITUTE(ROUND(CF62,1),",",".")&amp;" "&amp;SUBSTITUTE(ROUND((CG62)-7.5,1),",",".")&amp;"L"&amp;SUBSTITUTE(ROUND((CF62)+7.5,1),",",".")&amp;" "&amp;SUBSTITUTE(ROUND(CG62,1),",",".")&amp;"L"&amp;SUBSTITUTE(ROUND(CF62,1),",",".")&amp;" "&amp;SUBSTITUTE(ROUND((CG62)+7.5,1),",",".")&amp;"L"&amp;SUBSTITUTE(ROUND((CF62)-7.5,1),",",".")&amp;" "&amp;SUBSTITUTE(ROUND(CG62,1),",",".")&amp;"Z' fill='#F5F5F5' stroke='#2A3439' stroke-width='1.3'/&gt;")))&amp;"&lt;text x='"&amp;SUBSTITUTE(ROUND(CF62+9,1),",",".")&amp;"' y='"&amp;SUBSTITUTE(ROUND(CG62-8,1),",",".")&amp;"'&gt;"&amp;CK62&amp;"&lt;/text&gt;","")</f>
        <v/>
      </c>
      <c r="CM62" s="58">
        <f>IF(CC62=1,IF(CH62="Motriz","&lt;circle cx='"&amp;SUBSTITUTE(ROUND(728,1),",",".")&amp;"' cy='"&amp;SUBSTITUTE(ROUND(432.4,1),",",".")&amp;"' r='4.3' fill='#2A3439' stroke='#2A3439' stroke-width='1.3'/&gt;",IF(CH62="Enlace","&lt;rect x='"&amp;SUBSTITUTE(ROUND((728)-3.96,1),",",".")&amp;"' y='"&amp;SUBSTITUTE(ROUND((432.4)-3.96,1),",",".")&amp;"' width='7.92' height='7.92' fill='#6699CC' stroke='#2A3439' stroke-width='1.3'/&gt;",IF(CH62="Resultado","&lt;path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CT62" s="58" t="n">
        <v>23</v>
      </c>
      <c r="CU62" s="58">
        <f>IF(AND($CU$4=1,CT62&lt;=nVariables),1,0)</f>
        <v/>
      </c>
      <c r="CV62" s="58">
        <f>IF(CU62=1,'M6'!$F32,"")</f>
        <v/>
      </c>
      <c r="CW62" s="58">
        <f>IF(CU62=1,'M6'!$E32,"")</f>
        <v/>
      </c>
      <c r="CX62" s="58">
        <f>IF(CU62=1,90+CV62*$CU$22,"")</f>
        <v/>
      </c>
      <c r="CY62" s="58">
        <f>IF(CU62=1,574-CW62*$CU$23,"")</f>
        <v/>
      </c>
      <c r="CZ62" s="58">
        <f>IF(CU62=1,'M6'!$I32,"")</f>
        <v/>
      </c>
      <c r="DA62" s="58">
        <f>IF(CU62=1,IF(CZ62="Motriz","#2A3439",IF(CZ62="Enlace","#6699CC",IF(CZ62="Resultado","#FFFFFF","#F5F5F5"))),"")</f>
        <v/>
      </c>
      <c r="DB62" s="58">
        <f>IF(CU62=1,IF(SUMPRODUCT((CV$39:CV61=CV62)*(CW$39:CW61=CW62))=0,1,0),0)</f>
        <v/>
      </c>
      <c r="DC62" s="58">
        <f>IF(DB62=1,23&amp;IF(AND(CV63=CV62,CW63=CW62),","&amp;24,"")&amp;IF(AND(CV64=CV62,CW64=CW62),","&amp;25,"")&amp;IF(AND(CV65=CV62,CW65=CW62),","&amp;26,"")&amp;IF(AND(CV66=CV62,CW66=CW62),","&amp;27,"")&amp;IF(AND(CV67=CV62,CW67=CW62),","&amp;28,"")&amp;IF(AND(CV68=CV62,CW68=CW62),","&amp;29,"")&amp;IF(AND(CV69=CV62,CW69=CW62),","&amp;30,"")&amp;IF(AND(CV70=CV62,CW70=CW62),","&amp;31,"")&amp;IF(AND(CV71=CV62,CW71=CW62),","&amp;32,"")&amp;IF(AND(CV72=CV62,CW72=CW62),","&amp;33,"")&amp;IF(AND(CV73=CV62,CW73=CW62),","&amp;34,"")&amp;IF(AND(CV74=CV62,CW74=CW62),","&amp;35,"")&amp;IF(AND(CV75=CV62,CW75=CW62),","&amp;36,"")&amp;IF(AND(CV76=CV62,CW76=CW62),","&amp;37,"")&amp;IF(AND(CV77=CV62,CW77=CW62),","&amp;38,"")&amp;IF(AND(CV78=CV62,CW78=CW62),","&amp;39,"")&amp;IF(AND(CV79=CV62,CW79=CW62),","&amp;40,""),"")</f>
        <v/>
      </c>
      <c r="DD62" s="58">
        <f>IF(DB62=1,IF(CZ62="Motriz","&lt;circle cx='"&amp;SUBSTITUTE(ROUND(CX62,1),",",".")&amp;"' cy='"&amp;SUBSTITUTE(ROUND(CY62,1),",",".")&amp;"' r='6' fill='#2A3439' stroke='#2A3439' stroke-width='1.3'/&gt;",IF(CZ62="Enlace","&lt;rect x='"&amp;SUBSTITUTE(ROUND((CX62)-5.52,1),",",".")&amp;"' y='"&amp;SUBSTITUTE(ROUND((CY62)-5.52,1),",",".")&amp;"' width='11.04' height='11.04' fill='#6699CC' stroke='#2A3439' stroke-width='1.3'/&gt;",IF(CZ62="Resultado","&lt;path d='M"&amp;SUBSTITUTE(ROUND(CX62,1),",",".")&amp;" "&amp;SUBSTITUTE(ROUND((CY62)-6.9,1),",",".")&amp;"L"&amp;SUBSTITUTE(ROUND((CX62)+6.3,1),",",".")&amp;" "&amp;SUBSTITUTE(ROUND((CY62)+5.1,1),",",".")&amp;"L"&amp;SUBSTITUTE(ROUND((CX62)-6.3,1),",",".")&amp;" "&amp;SUBSTITUTE(ROUND((CY62)+5.1,1),",",".")&amp;"Z' fill='#FFFFFF' stroke='#2A3439' stroke-width='1.3'/&gt;","&lt;path d='M"&amp;SUBSTITUTE(ROUND(CX62,1),",",".")&amp;" "&amp;SUBSTITUTE(ROUND((CY62)-7.5,1),",",".")&amp;"L"&amp;SUBSTITUTE(ROUND((CX62)+7.5,1),",",".")&amp;" "&amp;SUBSTITUTE(ROUND(CY62,1),",",".")&amp;"L"&amp;SUBSTITUTE(ROUND(CX62,1),",",".")&amp;" "&amp;SUBSTITUTE(ROUND((CY62)+7.5,1),",",".")&amp;"L"&amp;SUBSTITUTE(ROUND((CX62)-7.5,1),",",".")&amp;" "&amp;SUBSTITUTE(ROUND(CY62,1),",",".")&amp;"Z' fill='#F5F5F5' stroke='#2A3439' stroke-width='1.3'/&gt;")))&amp;"&lt;text x='"&amp;SUBSTITUTE(ROUND(CX62+9,1),",",".")&amp;"' y='"&amp;SUBSTITUTE(ROUND(CY62-8,1),",",".")&amp;"'&gt;"&amp;DC62&amp;"&lt;/text&gt;","")</f>
        <v/>
      </c>
      <c r="DE62" s="58">
        <f>IF(CU62=1,IF(CZ62="Motriz","&lt;circle cx='"&amp;SUBSTITUTE(ROUND(728,1),",",".")&amp;"' cy='"&amp;SUBSTITUTE(ROUND(432.4,1),",",".")&amp;"' r='4.3' fill='#2A3439' stroke='#2A3439' stroke-width='1.3'/&gt;",IF(CZ62="Enlace","&lt;rect x='"&amp;SUBSTITUTE(ROUND((728)-3.96,1),",",".")&amp;"' y='"&amp;SUBSTITUTE(ROUND((432.4)-3.96,1),",",".")&amp;"' width='7.92' height='7.92' fill='#6699CC' stroke='#2A3439' stroke-width='1.3'/&gt;",IF(CZ62="Resultado","&lt;path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DL62" s="58" t="n">
        <v>11</v>
      </c>
      <c r="DM62" s="58">
        <f>IF(AND($DM$4=1,DL62&lt;=nVariables),IF('M6'!$I20="Resultado","E",IF('M6'!$I20="Enlace","L",IF('M6'!$I20="Motriz","R",IF('M6'!$I20="Autónoma","A","")))),"")</f>
        <v/>
      </c>
      <c r="DN62" s="58">
        <f>IF(DM62&lt;&gt;"",COUNTIF($DM$52:DM62,DM62),"")</f>
        <v/>
      </c>
      <c r="DO62" s="58">
        <f>IF(DM62&lt;&gt;"",SUBSTITUTE(SUBSTITUTE(SUBSTITUTE(SUBSTITUTE(SUBSTITUTE(SUBSTITUTE(SUBSTITUTE(TRIM(CLEAN(IF(LEN(11&amp;" · "&amp;$D50)&gt;30,LEFT(11&amp;" · "&amp;$D50,29)&amp;"…",11&amp;" · "&amp;$D50))),"&amp;","&amp;amp;"),"&lt;","&amp;lt;"),"&gt;","&amp;gt;"),CHAR(34),"&amp;quot;"),CHAR(10)," "),CHAR(9)," "),CHAR(13)," "),"")</f>
        <v/>
      </c>
      <c r="DP62" s="58">
        <f>IF(DM62&lt;&gt;"",IF($E50&lt;&gt;"",$E50,IF(DM62="E","(efecto · indicador de resultado)",IF(DM62="L","(causa directa · riesgo)",IF(DM62="R","CAUSA RAÍZ · componente del proyecto","(fuera del alcance)")))),"")</f>
        <v/>
      </c>
      <c r="DQ62" s="58">
        <f>IF(DM62&lt;&gt;"",IF(LEN(DP62)&gt;74,LEFT(DP62,73)&amp;"…",DP62),"")</f>
        <v/>
      </c>
      <c r="DR62" s="58">
        <f>IF(DM62&lt;&gt;"",IF(LEN(DQ62)&lt;=37,LEN(DQ62)+1,IFERROR(FIND("~",SUBSTITUTE(LEFT(DQ62,38)," ","~",LEN(LEFT(DQ62,38))-LEN(SUBSTITUTE(LEFT(DQ62,38)," ","")))),38)),"")</f>
        <v/>
      </c>
      <c r="DS62" s="58">
        <f>IF(DM62&lt;&gt;"",SUBSTITUTE(SUBSTITUTE(SUBSTITUTE(SUBSTITUTE(SUBSTITUTE(SUBSTITUTE(SUBSTITUTE(TRIM(CLEAN(TRIM(LEFT(DQ62,DR62-1)))),"&amp;","&amp;amp;"),"&lt;","&amp;lt;"),"&gt;","&amp;gt;"),CHAR(34),"&amp;quot;"),CHAR(10)," "),CHAR(9)," "),CHAR(13)," "),"")</f>
        <v/>
      </c>
      <c r="DT62" s="58">
        <f>IF(DM62&lt;&gt;"",SUBSTITUTE(SUBSTITUTE(SUBSTITUTE(SUBSTITUTE(SUBSTITUTE(SUBSTITUTE(SUBSTITUTE(TRIM(CLEAN(IF(LEN(TRIM(MID(DQ62,DR62,80)))&gt;37,LEFT(TRIM(MID(DQ62,DR62,80)),36)&amp;"…",TRIM(MID(DQ62,DR62,80))))),"&amp;","&amp;amp;"),"&lt;","&amp;lt;"),"&gt;","&amp;gt;"),CHAR(34),"&amp;quot;"),CHAR(10)," "),CHAR(9)," "),CHAR(13)," "),"")</f>
        <v/>
      </c>
      <c r="DU62" s="58">
        <f>IF(DM62&lt;&gt;"",(1200-(MIN(5,IF(DM62="E",$DM$5,IF(DM62="L",$DM$8,IF(DM62="R",$DM$11,$DM$14)))-INT((DN62-1)/5)*5)*216+(MIN(5,IF(DM62="E",$DM$5,IF(DM62="L",$DM$8,IF(DM62="R",$DM$11,$DM$14)))-INT((DN62-1)/5)*5)-1)*14))/2+MOD(DN62-1,5)*(216+14),"")</f>
        <v/>
      </c>
      <c r="DV62" s="58">
        <f>IF(DM62&lt;&gt;"",IF(DM62="E",$DM$17,IF(DM62="L",$DM$21,IF(DM62="R",$DM$23,$DM$25)))+24+INT((DN62-1)/5)*(64+12),"")</f>
        <v/>
      </c>
      <c r="DW62" s="58">
        <f>IF(DM62&lt;&gt;"","&lt;rect x='"&amp;SUBSTITUTE(ROUND(DU62,1),",",".")&amp;"' y='"&amp;SUBSTITUTE(ROUND(DV62,1),",",".")&amp;"' width='216' height='64' rx='9' fill='"&amp;IF(DM62="E","#B9D9EB",IF(DM62="L","#9EB9D4",IF(DM62="R","#6699CC","#F5F5F5")))&amp;"' stroke='#2A3439' stroke-width='1'"&amp;IF(DM62="A"," stroke-dasharray='5 3'","")&amp;"/&gt;"&amp;"&lt;text x='"&amp;SUBSTITUTE(ROUND((DU62+108),1),",",".")&amp;"' y='"&amp;SUBSTITUTE(ROUND(DV62+20,1),",",".")&amp;"' font-size='12' font-weight='bold'&gt;"&amp;DO62&amp;"&lt;/text&gt;"&amp;"&lt;text x='"&amp;SUBSTITUTE(ROUND((DU62+108),1),",",".")&amp;"' y='"&amp;SUBSTITUTE(ROUND(DV62+38,1),",",".")&amp;"' font-size='10'&gt;"&amp;DS62&amp;"&lt;/text&gt;"&amp;"&lt;text x='"&amp;SUBSTITUTE(ROUND((DU62+108),1),",",".")&amp;"' y='"&amp;SUBSTITUTE(ROUND(DV62+53,1),",",".")&amp;"' font-size='10'&gt;"&amp;DT62&amp;"&lt;/text&gt;","")</f>
        <v/>
      </c>
    </row>
    <row r="63">
      <c r="A63" s="58" t="n">
        <v>24</v>
      </c>
      <c r="B63" s="58">
        <f>IF($A63&lt;=nVariables,SUBSTITUTE(SUBSTITUTE(SUBSTITUTE(SUBSTITUTE(SUBSTITUTE(SUBSTITUTE(SUBSTITUTE(TRIM(CLEAN(IF(LEN(TRIM(M!$B33))&gt;46,LEFT(TRIM(M!$B33),45)&amp;"…",TRIM(M!$B33)))),"&amp;","&amp;amp;"),"&lt;","&amp;lt;"),"&gt;","&amp;gt;"),CHAR(34),"&amp;quot;"),CHAR(10)," "),CHAR(9)," "),CHAR(13)," "),"")</f>
        <v/>
      </c>
      <c r="C63" s="58">
        <f>IF($A63&lt;=nVariables,$A63&amp;". "&amp;B63,"")</f>
        <v/>
      </c>
      <c r="D63" s="58">
        <f>IF($A63&lt;=nVariables,IF(TRIM(M!$C33)&lt;&gt;"",TRIM(M!$C33),IF(LEN(TRIM(M!$B33))&gt;24,LEFT(TRIM(M!$B33),23)&amp;"…",TRIM(M!$B33))),"")</f>
        <v/>
      </c>
      <c r="E63" s="58">
        <f>IF($A63&lt;=nVariables,TRIM('Árbol de Problemas'!$F42),"")</f>
        <v/>
      </c>
      <c r="H63" s="58" t="n">
        <v>24</v>
      </c>
      <c r="I63" s="58">
        <f>IF(AND($I$4=1,H63&lt;=nVariables),1,0)</f>
        <v/>
      </c>
      <c r="J63" s="58">
        <f>IF(I63=1,'M1'!$F33,"")</f>
        <v/>
      </c>
      <c r="K63" s="58">
        <f>IF(I63=1,'M1'!$E33,"")</f>
        <v/>
      </c>
      <c r="L63" s="58">
        <f>IF(I63=1,90+J63*$I$22,"")</f>
        <v/>
      </c>
      <c r="M63" s="58">
        <f>IF(I63=1,574-K63*$I$23,"")</f>
        <v/>
      </c>
      <c r="N63" s="58">
        <f>IF(I63=1,'M1'!$I33,"")</f>
        <v/>
      </c>
      <c r="O63" s="58">
        <f>IF(I63=1,IF(N63="Motriz","#2A3439",IF(N63="Enlace","#6699CC",IF(N63="Resultado","#FFFFFF","#F5F5F5"))),"")</f>
        <v/>
      </c>
      <c r="P63" s="58">
        <f>IF(I63=1,IF(SUMPRODUCT((J$39:J62=J63)*(K$39:K62=K63))=0,1,0),0)</f>
        <v/>
      </c>
      <c r="Q63" s="58">
        <f>IF(P63=1,24&amp;IF(AND(J64=J63,K64=K63),","&amp;25,"")&amp;IF(AND(J65=J63,K65=K63),","&amp;26,"")&amp;IF(AND(J66=J63,K66=K63),","&amp;27,"")&amp;IF(AND(J67=J63,K67=K63),","&amp;28,"")&amp;IF(AND(J68=J63,K68=K63),","&amp;29,"")&amp;IF(AND(J69=J63,K69=K63),","&amp;30,"")&amp;IF(AND(J70=J63,K70=K63),","&amp;31,"")&amp;IF(AND(J71=J63,K71=K63),","&amp;32,"")&amp;IF(AND(J72=J63,K72=K63),","&amp;33,"")&amp;IF(AND(J73=J63,K73=K63),","&amp;34,"")&amp;IF(AND(J74=J63,K74=K63),","&amp;35,"")&amp;IF(AND(J75=J63,K75=K63),","&amp;36,"")&amp;IF(AND(J76=J63,K76=K63),","&amp;37,"")&amp;IF(AND(J77=J63,K77=K63),","&amp;38,"")&amp;IF(AND(J78=J63,K78=K63),","&amp;39,"")&amp;IF(AND(J79=J63,K79=K63),","&amp;40,""),"")</f>
        <v/>
      </c>
      <c r="R63" s="58">
        <f>IF(P63=1,IF(N63="Motriz","&lt;circle cx='"&amp;SUBSTITUTE(ROUND(L63,1),",",".")&amp;"' cy='"&amp;SUBSTITUTE(ROUND(M63,1),",",".")&amp;"' r='6' fill='#2A3439' stroke='#2A3439' stroke-width='1.3'/&gt;",IF(N63="Enlace","&lt;rect x='"&amp;SUBSTITUTE(ROUND((L63)-5.52,1),",",".")&amp;"' y='"&amp;SUBSTITUTE(ROUND((M63)-5.52,1),",",".")&amp;"' width='11.04' height='11.04' fill='#6699CC' stroke='#2A3439' stroke-width='1.3'/&gt;",IF(N63="Resultado","&lt;path d='M"&amp;SUBSTITUTE(ROUND(L63,1),",",".")&amp;" "&amp;SUBSTITUTE(ROUND((M63)-6.9,1),",",".")&amp;"L"&amp;SUBSTITUTE(ROUND((L63)+6.3,1),",",".")&amp;" "&amp;SUBSTITUTE(ROUND((M63)+5.1,1),",",".")&amp;"L"&amp;SUBSTITUTE(ROUND((L63)-6.3,1),",",".")&amp;" "&amp;SUBSTITUTE(ROUND((M63)+5.1,1),",",".")&amp;"Z' fill='#FFFFFF' stroke='#2A3439' stroke-width='1.3'/&gt;","&lt;path d='M"&amp;SUBSTITUTE(ROUND(L63,1),",",".")&amp;" "&amp;SUBSTITUTE(ROUND((M63)-7.5,1),",",".")&amp;"L"&amp;SUBSTITUTE(ROUND((L63)+7.5,1),",",".")&amp;" "&amp;SUBSTITUTE(ROUND(M63,1),",",".")&amp;"L"&amp;SUBSTITUTE(ROUND(L63,1),",",".")&amp;" "&amp;SUBSTITUTE(ROUND((M63)+7.5,1),",",".")&amp;"L"&amp;SUBSTITUTE(ROUND((L63)-7.5,1),",",".")&amp;" "&amp;SUBSTITUTE(ROUND(M63,1),",",".")&amp;"Z' fill='#F5F5F5' stroke='#2A3439' stroke-width='1.3'/&gt;")))&amp;"&lt;text x='"&amp;SUBSTITUTE(ROUND(L63+9,1),",",".")&amp;"' y='"&amp;SUBSTITUTE(ROUND(M63-8,1),",",".")&amp;"'&gt;"&amp;Q63&amp;"&lt;/text&gt;","")</f>
        <v/>
      </c>
      <c r="S63" s="58">
        <f>IF(I63=1,IF(N63="Motriz","&lt;circle cx='"&amp;SUBSTITUTE(ROUND(728,1),",",".")&amp;"' cy='"&amp;SUBSTITUTE(ROUND(446.6,1),",",".")&amp;"' r='4.3' fill='#2A3439' stroke='#2A3439' stroke-width='1.3'/&gt;",IF(N63="Enlace","&lt;rect x='"&amp;SUBSTITUTE(ROUND((728)-3.96,1),",",".")&amp;"' y='"&amp;SUBSTITUTE(ROUND((446.6)-3.96,1),",",".")&amp;"' width='7.92' height='7.92' fill='#6699CC' stroke='#2A3439' stroke-width='1.3'/&gt;",IF(N63="Resultado","&lt;path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Z63" s="58" t="n">
        <v>24</v>
      </c>
      <c r="AA63" s="58">
        <f>IF(AND($AA$4=1,Z63&lt;=nVariables),1,0)</f>
        <v/>
      </c>
      <c r="AB63" s="58">
        <f>IF(AA63=1,'M2'!$F33,"")</f>
        <v/>
      </c>
      <c r="AC63" s="58">
        <f>IF(AA63=1,'M2'!$E33,"")</f>
        <v/>
      </c>
      <c r="AD63" s="58">
        <f>IF(AA63=1,90+AB63*$AA$22,"")</f>
        <v/>
      </c>
      <c r="AE63" s="58">
        <f>IF(AA63=1,574-AC63*$AA$23,"")</f>
        <v/>
      </c>
      <c r="AF63" s="58">
        <f>IF(AA63=1,'M2'!$I33,"")</f>
        <v/>
      </c>
      <c r="AG63" s="58">
        <f>IF(AA63=1,IF(AF63="Motriz","#2A3439",IF(AF63="Enlace","#6699CC",IF(AF63="Resultado","#FFFFFF","#F5F5F5"))),"")</f>
        <v/>
      </c>
      <c r="AH63" s="58">
        <f>IF(AA63=1,IF(SUMPRODUCT((AB$39:AB62=AB63)*(AC$39:AC62=AC63))=0,1,0),0)</f>
        <v/>
      </c>
      <c r="AI63" s="58">
        <f>IF(AH63=1,24&amp;IF(AND(AB64=AB63,AC64=AC63),","&amp;25,"")&amp;IF(AND(AB65=AB63,AC65=AC63),","&amp;26,"")&amp;IF(AND(AB66=AB63,AC66=AC63),","&amp;27,"")&amp;IF(AND(AB67=AB63,AC67=AC63),","&amp;28,"")&amp;IF(AND(AB68=AB63,AC68=AC63),","&amp;29,"")&amp;IF(AND(AB69=AB63,AC69=AC63),","&amp;30,"")&amp;IF(AND(AB70=AB63,AC70=AC63),","&amp;31,"")&amp;IF(AND(AB71=AB63,AC71=AC63),","&amp;32,"")&amp;IF(AND(AB72=AB63,AC72=AC63),","&amp;33,"")&amp;IF(AND(AB73=AB63,AC73=AC63),","&amp;34,"")&amp;IF(AND(AB74=AB63,AC74=AC63),","&amp;35,"")&amp;IF(AND(AB75=AB63,AC75=AC63),","&amp;36,"")&amp;IF(AND(AB76=AB63,AC76=AC63),","&amp;37,"")&amp;IF(AND(AB77=AB63,AC77=AC63),","&amp;38,"")&amp;IF(AND(AB78=AB63,AC78=AC63),","&amp;39,"")&amp;IF(AND(AB79=AB63,AC79=AC63),","&amp;40,""),"")</f>
        <v/>
      </c>
      <c r="AJ63" s="58">
        <f>IF(AH63=1,IF(AF63="Motriz","&lt;circle cx='"&amp;SUBSTITUTE(ROUND(AD63,1),",",".")&amp;"' cy='"&amp;SUBSTITUTE(ROUND(AE63,1),",",".")&amp;"' r='6' fill='#2A3439' stroke='#2A3439' stroke-width='1.3'/&gt;",IF(AF63="Enlace","&lt;rect x='"&amp;SUBSTITUTE(ROUND((AD63)-5.52,1),",",".")&amp;"' y='"&amp;SUBSTITUTE(ROUND((AE63)-5.52,1),",",".")&amp;"' width='11.04' height='11.04' fill='#6699CC' stroke='#2A3439' stroke-width='1.3'/&gt;",IF(AF63="Resultado","&lt;path d='M"&amp;SUBSTITUTE(ROUND(AD63,1),",",".")&amp;" "&amp;SUBSTITUTE(ROUND((AE63)-6.9,1),",",".")&amp;"L"&amp;SUBSTITUTE(ROUND((AD63)+6.3,1),",",".")&amp;" "&amp;SUBSTITUTE(ROUND((AE63)+5.1,1),",",".")&amp;"L"&amp;SUBSTITUTE(ROUND((AD63)-6.3,1),",",".")&amp;" "&amp;SUBSTITUTE(ROUND((AE63)+5.1,1),",",".")&amp;"Z' fill='#FFFFFF' stroke='#2A3439' stroke-width='1.3'/&gt;","&lt;path d='M"&amp;SUBSTITUTE(ROUND(AD63,1),",",".")&amp;" "&amp;SUBSTITUTE(ROUND((AE63)-7.5,1),",",".")&amp;"L"&amp;SUBSTITUTE(ROUND((AD63)+7.5,1),",",".")&amp;" "&amp;SUBSTITUTE(ROUND(AE63,1),",",".")&amp;"L"&amp;SUBSTITUTE(ROUND(AD63,1),",",".")&amp;" "&amp;SUBSTITUTE(ROUND((AE63)+7.5,1),",",".")&amp;"L"&amp;SUBSTITUTE(ROUND((AD63)-7.5,1),",",".")&amp;" "&amp;SUBSTITUTE(ROUND(AE63,1),",",".")&amp;"Z' fill='#F5F5F5' stroke='#2A3439' stroke-width='1.3'/&gt;")))&amp;"&lt;text x='"&amp;SUBSTITUTE(ROUND(AD63+9,1),",",".")&amp;"' y='"&amp;SUBSTITUTE(ROUND(AE63-8,1),",",".")&amp;"'&gt;"&amp;AI63&amp;"&lt;/text&gt;","")</f>
        <v/>
      </c>
      <c r="AK63" s="58">
        <f>IF(AA63=1,IF(AF63="Motriz","&lt;circle cx='"&amp;SUBSTITUTE(ROUND(728,1),",",".")&amp;"' cy='"&amp;SUBSTITUTE(ROUND(446.6,1),",",".")&amp;"' r='4.3' fill='#2A3439' stroke='#2A3439' stroke-width='1.3'/&gt;",IF(AF63="Enlace","&lt;rect x='"&amp;SUBSTITUTE(ROUND((728)-3.96,1),",",".")&amp;"' y='"&amp;SUBSTITUTE(ROUND((446.6)-3.96,1),",",".")&amp;"' width='7.92' height='7.92' fill='#6699CC' stroke='#2A3439' stroke-width='1.3'/&gt;",IF(AF63="Resultado","&lt;path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AR63" s="58" t="n">
        <v>24</v>
      </c>
      <c r="AS63" s="58">
        <f>IF(AND($AS$4=1,AR63&lt;=nVariables),1,0)</f>
        <v/>
      </c>
      <c r="AT63" s="58">
        <f>IF(AS63=1,'M3'!$F33,"")</f>
        <v/>
      </c>
      <c r="AU63" s="58">
        <f>IF(AS63=1,'M3'!$E33,"")</f>
        <v/>
      </c>
      <c r="AV63" s="58">
        <f>IF(AS63=1,90+AT63*$AS$22,"")</f>
        <v/>
      </c>
      <c r="AW63" s="58">
        <f>IF(AS63=1,574-AU63*$AS$23,"")</f>
        <v/>
      </c>
      <c r="AX63" s="58">
        <f>IF(AS63=1,'M3'!$I33,"")</f>
        <v/>
      </c>
      <c r="AY63" s="58">
        <f>IF(AS63=1,IF(AX63="Motriz","#2A3439",IF(AX63="Enlace","#6699CC",IF(AX63="Resultado","#FFFFFF","#F5F5F5"))),"")</f>
        <v/>
      </c>
      <c r="AZ63" s="58">
        <f>IF(AS63=1,IF(SUMPRODUCT((AT$39:AT62=AT63)*(AU$39:AU62=AU63))=0,1,0),0)</f>
        <v/>
      </c>
      <c r="BA63" s="58">
        <f>IF(AZ63=1,24&amp;IF(AND(AT64=AT63,AU64=AU63),","&amp;25,"")&amp;IF(AND(AT65=AT63,AU65=AU63),","&amp;26,"")&amp;IF(AND(AT66=AT63,AU66=AU63),","&amp;27,"")&amp;IF(AND(AT67=AT63,AU67=AU63),","&amp;28,"")&amp;IF(AND(AT68=AT63,AU68=AU63),","&amp;29,"")&amp;IF(AND(AT69=AT63,AU69=AU63),","&amp;30,"")&amp;IF(AND(AT70=AT63,AU70=AU63),","&amp;31,"")&amp;IF(AND(AT71=AT63,AU71=AU63),","&amp;32,"")&amp;IF(AND(AT72=AT63,AU72=AU63),","&amp;33,"")&amp;IF(AND(AT73=AT63,AU73=AU63),","&amp;34,"")&amp;IF(AND(AT74=AT63,AU74=AU63),","&amp;35,"")&amp;IF(AND(AT75=AT63,AU75=AU63),","&amp;36,"")&amp;IF(AND(AT76=AT63,AU76=AU63),","&amp;37,"")&amp;IF(AND(AT77=AT63,AU77=AU63),","&amp;38,"")&amp;IF(AND(AT78=AT63,AU78=AU63),","&amp;39,"")&amp;IF(AND(AT79=AT63,AU79=AU63),","&amp;40,""),"")</f>
        <v/>
      </c>
      <c r="BB63" s="58">
        <f>IF(AZ63=1,IF(AX63="Motriz","&lt;circle cx='"&amp;SUBSTITUTE(ROUND(AV63,1),",",".")&amp;"' cy='"&amp;SUBSTITUTE(ROUND(AW63,1),",",".")&amp;"' r='6' fill='#2A3439' stroke='#2A3439' stroke-width='1.3'/&gt;",IF(AX63="Enlace","&lt;rect x='"&amp;SUBSTITUTE(ROUND((AV63)-5.52,1),",",".")&amp;"' y='"&amp;SUBSTITUTE(ROUND((AW63)-5.52,1),",",".")&amp;"' width='11.04' height='11.04' fill='#6699CC' stroke='#2A3439' stroke-width='1.3'/&gt;",IF(AX63="Resultado","&lt;path d='M"&amp;SUBSTITUTE(ROUND(AV63,1),",",".")&amp;" "&amp;SUBSTITUTE(ROUND((AW63)-6.9,1),",",".")&amp;"L"&amp;SUBSTITUTE(ROUND((AV63)+6.3,1),",",".")&amp;" "&amp;SUBSTITUTE(ROUND((AW63)+5.1,1),",",".")&amp;"L"&amp;SUBSTITUTE(ROUND((AV63)-6.3,1),",",".")&amp;" "&amp;SUBSTITUTE(ROUND((AW63)+5.1,1),",",".")&amp;"Z' fill='#FFFFFF' stroke='#2A3439' stroke-width='1.3'/&gt;","&lt;path d='M"&amp;SUBSTITUTE(ROUND(AV63,1),",",".")&amp;" "&amp;SUBSTITUTE(ROUND((AW63)-7.5,1),",",".")&amp;"L"&amp;SUBSTITUTE(ROUND((AV63)+7.5,1),",",".")&amp;" "&amp;SUBSTITUTE(ROUND(AW63,1),",",".")&amp;"L"&amp;SUBSTITUTE(ROUND(AV63,1),",",".")&amp;" "&amp;SUBSTITUTE(ROUND((AW63)+7.5,1),",",".")&amp;"L"&amp;SUBSTITUTE(ROUND((AV63)-7.5,1),",",".")&amp;" "&amp;SUBSTITUTE(ROUND(AW63,1),",",".")&amp;"Z' fill='#F5F5F5' stroke='#2A3439' stroke-width='1.3'/&gt;")))&amp;"&lt;text x='"&amp;SUBSTITUTE(ROUND(AV63+9,1),",",".")&amp;"' y='"&amp;SUBSTITUTE(ROUND(AW63-8,1),",",".")&amp;"'&gt;"&amp;BA63&amp;"&lt;/text&gt;","")</f>
        <v/>
      </c>
      <c r="BC63" s="58">
        <f>IF(AS63=1,IF(AX63="Motriz","&lt;circle cx='"&amp;SUBSTITUTE(ROUND(728,1),",",".")&amp;"' cy='"&amp;SUBSTITUTE(ROUND(446.6,1),",",".")&amp;"' r='4.3' fill='#2A3439' stroke='#2A3439' stroke-width='1.3'/&gt;",IF(AX63="Enlace","&lt;rect x='"&amp;SUBSTITUTE(ROUND((728)-3.96,1),",",".")&amp;"' y='"&amp;SUBSTITUTE(ROUND((446.6)-3.96,1),",",".")&amp;"' width='7.92' height='7.92' fill='#6699CC' stroke='#2A3439' stroke-width='1.3'/&gt;",IF(AX63="Resultado","&lt;path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BJ63" s="58" t="n">
        <v>24</v>
      </c>
      <c r="BK63" s="58">
        <f>IF(AND($BK$4=1,BJ63&lt;=nVariables),1,0)</f>
        <v/>
      </c>
      <c r="BL63" s="58">
        <f>IF(BK63=1,'M4'!$F33,"")</f>
        <v/>
      </c>
      <c r="BM63" s="58">
        <f>IF(BK63=1,'M4'!$E33,"")</f>
        <v/>
      </c>
      <c r="BN63" s="58">
        <f>IF(BK63=1,90+BL63*$BK$22,"")</f>
        <v/>
      </c>
      <c r="BO63" s="58">
        <f>IF(BK63=1,574-BM63*$BK$23,"")</f>
        <v/>
      </c>
      <c r="BP63" s="58">
        <f>IF(BK63=1,'M4'!$I33,"")</f>
        <v/>
      </c>
      <c r="BQ63" s="58">
        <f>IF(BK63=1,IF(BP63="Motriz","#2A3439",IF(BP63="Enlace","#6699CC",IF(BP63="Resultado","#FFFFFF","#F5F5F5"))),"")</f>
        <v/>
      </c>
      <c r="BR63" s="58">
        <f>IF(BK63=1,IF(SUMPRODUCT((BL$39:BL62=BL63)*(BM$39:BM62=BM63))=0,1,0),0)</f>
        <v/>
      </c>
      <c r="BS63" s="58">
        <f>IF(BR63=1,24&amp;IF(AND(BL64=BL63,BM64=BM63),","&amp;25,"")&amp;IF(AND(BL65=BL63,BM65=BM63),","&amp;26,"")&amp;IF(AND(BL66=BL63,BM66=BM63),","&amp;27,"")&amp;IF(AND(BL67=BL63,BM67=BM63),","&amp;28,"")&amp;IF(AND(BL68=BL63,BM68=BM63),","&amp;29,"")&amp;IF(AND(BL69=BL63,BM69=BM63),","&amp;30,"")&amp;IF(AND(BL70=BL63,BM70=BM63),","&amp;31,"")&amp;IF(AND(BL71=BL63,BM71=BM63),","&amp;32,"")&amp;IF(AND(BL72=BL63,BM72=BM63),","&amp;33,"")&amp;IF(AND(BL73=BL63,BM73=BM63),","&amp;34,"")&amp;IF(AND(BL74=BL63,BM74=BM63),","&amp;35,"")&amp;IF(AND(BL75=BL63,BM75=BM63),","&amp;36,"")&amp;IF(AND(BL76=BL63,BM76=BM63),","&amp;37,"")&amp;IF(AND(BL77=BL63,BM77=BM63),","&amp;38,"")&amp;IF(AND(BL78=BL63,BM78=BM63),","&amp;39,"")&amp;IF(AND(BL79=BL63,BM79=BM63),","&amp;40,""),"")</f>
        <v/>
      </c>
      <c r="BT63" s="58">
        <f>IF(BR63=1,IF(BP63="Motriz","&lt;circle cx='"&amp;SUBSTITUTE(ROUND(BN63,1),",",".")&amp;"' cy='"&amp;SUBSTITUTE(ROUND(BO63,1),",",".")&amp;"' r='6' fill='#2A3439' stroke='#2A3439' stroke-width='1.3'/&gt;",IF(BP63="Enlace","&lt;rect x='"&amp;SUBSTITUTE(ROUND((BN63)-5.52,1),",",".")&amp;"' y='"&amp;SUBSTITUTE(ROUND((BO63)-5.52,1),",",".")&amp;"' width='11.04' height='11.04' fill='#6699CC' stroke='#2A3439' stroke-width='1.3'/&gt;",IF(BP63="Resultado","&lt;path d='M"&amp;SUBSTITUTE(ROUND(BN63,1),",",".")&amp;" "&amp;SUBSTITUTE(ROUND((BO63)-6.9,1),",",".")&amp;"L"&amp;SUBSTITUTE(ROUND((BN63)+6.3,1),",",".")&amp;" "&amp;SUBSTITUTE(ROUND((BO63)+5.1,1),",",".")&amp;"L"&amp;SUBSTITUTE(ROUND((BN63)-6.3,1),",",".")&amp;" "&amp;SUBSTITUTE(ROUND((BO63)+5.1,1),",",".")&amp;"Z' fill='#FFFFFF' stroke='#2A3439' stroke-width='1.3'/&gt;","&lt;path d='M"&amp;SUBSTITUTE(ROUND(BN63,1),",",".")&amp;" "&amp;SUBSTITUTE(ROUND((BO63)-7.5,1),",",".")&amp;"L"&amp;SUBSTITUTE(ROUND((BN63)+7.5,1),",",".")&amp;" "&amp;SUBSTITUTE(ROUND(BO63,1),",",".")&amp;"L"&amp;SUBSTITUTE(ROUND(BN63,1),",",".")&amp;" "&amp;SUBSTITUTE(ROUND((BO63)+7.5,1),",",".")&amp;"L"&amp;SUBSTITUTE(ROUND((BN63)-7.5,1),",",".")&amp;" "&amp;SUBSTITUTE(ROUND(BO63,1),",",".")&amp;"Z' fill='#F5F5F5' stroke='#2A3439' stroke-width='1.3'/&gt;")))&amp;"&lt;text x='"&amp;SUBSTITUTE(ROUND(BN63+9,1),",",".")&amp;"' y='"&amp;SUBSTITUTE(ROUND(BO63-8,1),",",".")&amp;"'&gt;"&amp;BS63&amp;"&lt;/text&gt;","")</f>
        <v/>
      </c>
      <c r="BU63" s="58">
        <f>IF(BK63=1,IF(BP63="Motriz","&lt;circle cx='"&amp;SUBSTITUTE(ROUND(728,1),",",".")&amp;"' cy='"&amp;SUBSTITUTE(ROUND(446.6,1),",",".")&amp;"' r='4.3' fill='#2A3439' stroke='#2A3439' stroke-width='1.3'/&gt;",IF(BP63="Enlace","&lt;rect x='"&amp;SUBSTITUTE(ROUND((728)-3.96,1),",",".")&amp;"' y='"&amp;SUBSTITUTE(ROUND((446.6)-3.96,1),",",".")&amp;"' width='7.92' height='7.92' fill='#6699CC' stroke='#2A3439' stroke-width='1.3'/&gt;",IF(BP63="Resultado","&lt;path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CB63" s="58" t="n">
        <v>24</v>
      </c>
      <c r="CC63" s="58">
        <f>IF(AND($CC$4=1,CB63&lt;=nVariables),1,0)</f>
        <v/>
      </c>
      <c r="CD63" s="58">
        <f>IF(CC63=1,'M5'!$F33,"")</f>
        <v/>
      </c>
      <c r="CE63" s="58">
        <f>IF(CC63=1,'M5'!$E33,"")</f>
        <v/>
      </c>
      <c r="CF63" s="58">
        <f>IF(CC63=1,90+CD63*$CC$22,"")</f>
        <v/>
      </c>
      <c r="CG63" s="58">
        <f>IF(CC63=1,574-CE63*$CC$23,"")</f>
        <v/>
      </c>
      <c r="CH63" s="58">
        <f>IF(CC63=1,'M5'!$I33,"")</f>
        <v/>
      </c>
      <c r="CI63" s="58">
        <f>IF(CC63=1,IF(CH63="Motriz","#2A3439",IF(CH63="Enlace","#6699CC",IF(CH63="Resultado","#FFFFFF","#F5F5F5"))),"")</f>
        <v/>
      </c>
      <c r="CJ63" s="58">
        <f>IF(CC63=1,IF(SUMPRODUCT((CD$39:CD62=CD63)*(CE$39:CE62=CE63))=0,1,0),0)</f>
        <v/>
      </c>
      <c r="CK63" s="58">
        <f>IF(CJ63=1,24&amp;IF(AND(CD64=CD63,CE64=CE63),","&amp;25,"")&amp;IF(AND(CD65=CD63,CE65=CE63),","&amp;26,"")&amp;IF(AND(CD66=CD63,CE66=CE63),","&amp;27,"")&amp;IF(AND(CD67=CD63,CE67=CE63),","&amp;28,"")&amp;IF(AND(CD68=CD63,CE68=CE63),","&amp;29,"")&amp;IF(AND(CD69=CD63,CE69=CE63),","&amp;30,"")&amp;IF(AND(CD70=CD63,CE70=CE63),","&amp;31,"")&amp;IF(AND(CD71=CD63,CE71=CE63),","&amp;32,"")&amp;IF(AND(CD72=CD63,CE72=CE63),","&amp;33,"")&amp;IF(AND(CD73=CD63,CE73=CE63),","&amp;34,"")&amp;IF(AND(CD74=CD63,CE74=CE63),","&amp;35,"")&amp;IF(AND(CD75=CD63,CE75=CE63),","&amp;36,"")&amp;IF(AND(CD76=CD63,CE76=CE63),","&amp;37,"")&amp;IF(AND(CD77=CD63,CE77=CE63),","&amp;38,"")&amp;IF(AND(CD78=CD63,CE78=CE63),","&amp;39,"")&amp;IF(AND(CD79=CD63,CE79=CE63),","&amp;40,""),"")</f>
        <v/>
      </c>
      <c r="CL63" s="58">
        <f>IF(CJ63=1,IF(CH63="Motriz","&lt;circle cx='"&amp;SUBSTITUTE(ROUND(CF63,1),",",".")&amp;"' cy='"&amp;SUBSTITUTE(ROUND(CG63,1),",",".")&amp;"' r='6' fill='#2A3439' stroke='#2A3439' stroke-width='1.3'/&gt;",IF(CH63="Enlace","&lt;rect x='"&amp;SUBSTITUTE(ROUND((CF63)-5.52,1),",",".")&amp;"' y='"&amp;SUBSTITUTE(ROUND((CG63)-5.52,1),",",".")&amp;"' width='11.04' height='11.04' fill='#6699CC' stroke='#2A3439' stroke-width='1.3'/&gt;",IF(CH63="Resultado","&lt;path d='M"&amp;SUBSTITUTE(ROUND(CF63,1),",",".")&amp;" "&amp;SUBSTITUTE(ROUND((CG63)-6.9,1),",",".")&amp;"L"&amp;SUBSTITUTE(ROUND((CF63)+6.3,1),",",".")&amp;" "&amp;SUBSTITUTE(ROUND((CG63)+5.1,1),",",".")&amp;"L"&amp;SUBSTITUTE(ROUND((CF63)-6.3,1),",",".")&amp;" "&amp;SUBSTITUTE(ROUND((CG63)+5.1,1),",",".")&amp;"Z' fill='#FFFFFF' stroke='#2A3439' stroke-width='1.3'/&gt;","&lt;path d='M"&amp;SUBSTITUTE(ROUND(CF63,1),",",".")&amp;" "&amp;SUBSTITUTE(ROUND((CG63)-7.5,1),",",".")&amp;"L"&amp;SUBSTITUTE(ROUND((CF63)+7.5,1),",",".")&amp;" "&amp;SUBSTITUTE(ROUND(CG63,1),",",".")&amp;"L"&amp;SUBSTITUTE(ROUND(CF63,1),",",".")&amp;" "&amp;SUBSTITUTE(ROUND((CG63)+7.5,1),",",".")&amp;"L"&amp;SUBSTITUTE(ROUND((CF63)-7.5,1),",",".")&amp;" "&amp;SUBSTITUTE(ROUND(CG63,1),",",".")&amp;"Z' fill='#F5F5F5' stroke='#2A3439' stroke-width='1.3'/&gt;")))&amp;"&lt;text x='"&amp;SUBSTITUTE(ROUND(CF63+9,1),",",".")&amp;"' y='"&amp;SUBSTITUTE(ROUND(CG63-8,1),",",".")&amp;"'&gt;"&amp;CK63&amp;"&lt;/text&gt;","")</f>
        <v/>
      </c>
      <c r="CM63" s="58">
        <f>IF(CC63=1,IF(CH63="Motriz","&lt;circle cx='"&amp;SUBSTITUTE(ROUND(728,1),",",".")&amp;"' cy='"&amp;SUBSTITUTE(ROUND(446.6,1),",",".")&amp;"' r='4.3' fill='#2A3439' stroke='#2A3439' stroke-width='1.3'/&gt;",IF(CH63="Enlace","&lt;rect x='"&amp;SUBSTITUTE(ROUND((728)-3.96,1),",",".")&amp;"' y='"&amp;SUBSTITUTE(ROUND((446.6)-3.96,1),",",".")&amp;"' width='7.92' height='7.92' fill='#6699CC' stroke='#2A3439' stroke-width='1.3'/&gt;",IF(CH63="Resultado","&lt;path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CT63" s="58" t="n">
        <v>24</v>
      </c>
      <c r="CU63" s="58">
        <f>IF(AND($CU$4=1,CT63&lt;=nVariables),1,0)</f>
        <v/>
      </c>
      <c r="CV63" s="58">
        <f>IF(CU63=1,'M6'!$F33,"")</f>
        <v/>
      </c>
      <c r="CW63" s="58">
        <f>IF(CU63=1,'M6'!$E33,"")</f>
        <v/>
      </c>
      <c r="CX63" s="58">
        <f>IF(CU63=1,90+CV63*$CU$22,"")</f>
        <v/>
      </c>
      <c r="CY63" s="58">
        <f>IF(CU63=1,574-CW63*$CU$23,"")</f>
        <v/>
      </c>
      <c r="CZ63" s="58">
        <f>IF(CU63=1,'M6'!$I33,"")</f>
        <v/>
      </c>
      <c r="DA63" s="58">
        <f>IF(CU63=1,IF(CZ63="Motriz","#2A3439",IF(CZ63="Enlace","#6699CC",IF(CZ63="Resultado","#FFFFFF","#F5F5F5"))),"")</f>
        <v/>
      </c>
      <c r="DB63" s="58">
        <f>IF(CU63=1,IF(SUMPRODUCT((CV$39:CV62=CV63)*(CW$39:CW62=CW63))=0,1,0),0)</f>
        <v/>
      </c>
      <c r="DC63" s="58">
        <f>IF(DB63=1,24&amp;IF(AND(CV64=CV63,CW64=CW63),","&amp;25,"")&amp;IF(AND(CV65=CV63,CW65=CW63),","&amp;26,"")&amp;IF(AND(CV66=CV63,CW66=CW63),","&amp;27,"")&amp;IF(AND(CV67=CV63,CW67=CW63),","&amp;28,"")&amp;IF(AND(CV68=CV63,CW68=CW63),","&amp;29,"")&amp;IF(AND(CV69=CV63,CW69=CW63),","&amp;30,"")&amp;IF(AND(CV70=CV63,CW70=CW63),","&amp;31,"")&amp;IF(AND(CV71=CV63,CW71=CW63),","&amp;32,"")&amp;IF(AND(CV72=CV63,CW72=CW63),","&amp;33,"")&amp;IF(AND(CV73=CV63,CW73=CW63),","&amp;34,"")&amp;IF(AND(CV74=CV63,CW74=CW63),","&amp;35,"")&amp;IF(AND(CV75=CV63,CW75=CW63),","&amp;36,"")&amp;IF(AND(CV76=CV63,CW76=CW63),","&amp;37,"")&amp;IF(AND(CV77=CV63,CW77=CW63),","&amp;38,"")&amp;IF(AND(CV78=CV63,CW78=CW63),","&amp;39,"")&amp;IF(AND(CV79=CV63,CW79=CW63),","&amp;40,""),"")</f>
        <v/>
      </c>
      <c r="DD63" s="58">
        <f>IF(DB63=1,IF(CZ63="Motriz","&lt;circle cx='"&amp;SUBSTITUTE(ROUND(CX63,1),",",".")&amp;"' cy='"&amp;SUBSTITUTE(ROUND(CY63,1),",",".")&amp;"' r='6' fill='#2A3439' stroke='#2A3439' stroke-width='1.3'/&gt;",IF(CZ63="Enlace","&lt;rect x='"&amp;SUBSTITUTE(ROUND((CX63)-5.52,1),",",".")&amp;"' y='"&amp;SUBSTITUTE(ROUND((CY63)-5.52,1),",",".")&amp;"' width='11.04' height='11.04' fill='#6699CC' stroke='#2A3439' stroke-width='1.3'/&gt;",IF(CZ63="Resultado","&lt;path d='M"&amp;SUBSTITUTE(ROUND(CX63,1),",",".")&amp;" "&amp;SUBSTITUTE(ROUND((CY63)-6.9,1),",",".")&amp;"L"&amp;SUBSTITUTE(ROUND((CX63)+6.3,1),",",".")&amp;" "&amp;SUBSTITUTE(ROUND((CY63)+5.1,1),",",".")&amp;"L"&amp;SUBSTITUTE(ROUND((CX63)-6.3,1),",",".")&amp;" "&amp;SUBSTITUTE(ROUND((CY63)+5.1,1),",",".")&amp;"Z' fill='#FFFFFF' stroke='#2A3439' stroke-width='1.3'/&gt;","&lt;path d='M"&amp;SUBSTITUTE(ROUND(CX63,1),",",".")&amp;" "&amp;SUBSTITUTE(ROUND((CY63)-7.5,1),",",".")&amp;"L"&amp;SUBSTITUTE(ROUND((CX63)+7.5,1),",",".")&amp;" "&amp;SUBSTITUTE(ROUND(CY63,1),",",".")&amp;"L"&amp;SUBSTITUTE(ROUND(CX63,1),",",".")&amp;" "&amp;SUBSTITUTE(ROUND((CY63)+7.5,1),",",".")&amp;"L"&amp;SUBSTITUTE(ROUND((CX63)-7.5,1),",",".")&amp;" "&amp;SUBSTITUTE(ROUND(CY63,1),",",".")&amp;"Z' fill='#F5F5F5' stroke='#2A3439' stroke-width='1.3'/&gt;")))&amp;"&lt;text x='"&amp;SUBSTITUTE(ROUND(CX63+9,1),",",".")&amp;"' y='"&amp;SUBSTITUTE(ROUND(CY63-8,1),",",".")&amp;"'&gt;"&amp;DC63&amp;"&lt;/text&gt;","")</f>
        <v/>
      </c>
      <c r="DE63" s="58">
        <f>IF(CU63=1,IF(CZ63="Motriz","&lt;circle cx='"&amp;SUBSTITUTE(ROUND(728,1),",",".")&amp;"' cy='"&amp;SUBSTITUTE(ROUND(446.6,1),",",".")&amp;"' r='4.3' fill='#2A3439' stroke='#2A3439' stroke-width='1.3'/&gt;",IF(CZ63="Enlace","&lt;rect x='"&amp;SUBSTITUTE(ROUND((728)-3.96,1),",",".")&amp;"' y='"&amp;SUBSTITUTE(ROUND((446.6)-3.96,1),",",".")&amp;"' width='7.92' height='7.92' fill='#6699CC' stroke='#2A3439' stroke-width='1.3'/&gt;",IF(CZ63="Resultado","&lt;path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DL63" s="58" t="n">
        <v>12</v>
      </c>
      <c r="DM63" s="58">
        <f>IF(AND($DM$4=1,DL63&lt;=nVariables),IF('M6'!$I21="Resultado","E",IF('M6'!$I21="Enlace","L",IF('M6'!$I21="Motriz","R",IF('M6'!$I21="Autónoma","A","")))),"")</f>
        <v/>
      </c>
      <c r="DN63" s="58">
        <f>IF(DM63&lt;&gt;"",COUNTIF($DM$52:DM63,DM63),"")</f>
        <v/>
      </c>
      <c r="DO63" s="58">
        <f>IF(DM63&lt;&gt;"",SUBSTITUTE(SUBSTITUTE(SUBSTITUTE(SUBSTITUTE(SUBSTITUTE(SUBSTITUTE(SUBSTITUTE(TRIM(CLEAN(IF(LEN(12&amp;" · "&amp;$D51)&gt;30,LEFT(12&amp;" · "&amp;$D51,29)&amp;"…",12&amp;" · "&amp;$D51))),"&amp;","&amp;amp;"),"&lt;","&amp;lt;"),"&gt;","&amp;gt;"),CHAR(34),"&amp;quot;"),CHAR(10)," "),CHAR(9)," "),CHAR(13)," "),"")</f>
        <v/>
      </c>
      <c r="DP63" s="58">
        <f>IF(DM63&lt;&gt;"",IF($E51&lt;&gt;"",$E51,IF(DM63="E","(efecto · indicador de resultado)",IF(DM63="L","(causa directa · riesgo)",IF(DM63="R","CAUSA RAÍZ · componente del proyecto","(fuera del alcance)")))),"")</f>
        <v/>
      </c>
      <c r="DQ63" s="58">
        <f>IF(DM63&lt;&gt;"",IF(LEN(DP63)&gt;74,LEFT(DP63,73)&amp;"…",DP63),"")</f>
        <v/>
      </c>
      <c r="DR63" s="58">
        <f>IF(DM63&lt;&gt;"",IF(LEN(DQ63)&lt;=37,LEN(DQ63)+1,IFERROR(FIND("~",SUBSTITUTE(LEFT(DQ63,38)," ","~",LEN(LEFT(DQ63,38))-LEN(SUBSTITUTE(LEFT(DQ63,38)," ","")))),38)),"")</f>
        <v/>
      </c>
      <c r="DS63" s="58">
        <f>IF(DM63&lt;&gt;"",SUBSTITUTE(SUBSTITUTE(SUBSTITUTE(SUBSTITUTE(SUBSTITUTE(SUBSTITUTE(SUBSTITUTE(TRIM(CLEAN(TRIM(LEFT(DQ63,DR63-1)))),"&amp;","&amp;amp;"),"&lt;","&amp;lt;"),"&gt;","&amp;gt;"),CHAR(34),"&amp;quot;"),CHAR(10)," "),CHAR(9)," "),CHAR(13)," "),"")</f>
        <v/>
      </c>
      <c r="DT63" s="58">
        <f>IF(DM63&lt;&gt;"",SUBSTITUTE(SUBSTITUTE(SUBSTITUTE(SUBSTITUTE(SUBSTITUTE(SUBSTITUTE(SUBSTITUTE(TRIM(CLEAN(IF(LEN(TRIM(MID(DQ63,DR63,80)))&gt;37,LEFT(TRIM(MID(DQ63,DR63,80)),36)&amp;"…",TRIM(MID(DQ63,DR63,80))))),"&amp;","&amp;amp;"),"&lt;","&amp;lt;"),"&gt;","&amp;gt;"),CHAR(34),"&amp;quot;"),CHAR(10)," "),CHAR(9)," "),CHAR(13)," "),"")</f>
        <v/>
      </c>
      <c r="DU63" s="58">
        <f>IF(DM63&lt;&gt;"",(1200-(MIN(5,IF(DM63="E",$DM$5,IF(DM63="L",$DM$8,IF(DM63="R",$DM$11,$DM$14)))-INT((DN63-1)/5)*5)*216+(MIN(5,IF(DM63="E",$DM$5,IF(DM63="L",$DM$8,IF(DM63="R",$DM$11,$DM$14)))-INT((DN63-1)/5)*5)-1)*14))/2+MOD(DN63-1,5)*(216+14),"")</f>
        <v/>
      </c>
      <c r="DV63" s="58">
        <f>IF(DM63&lt;&gt;"",IF(DM63="E",$DM$17,IF(DM63="L",$DM$21,IF(DM63="R",$DM$23,$DM$25)))+24+INT((DN63-1)/5)*(64+12),"")</f>
        <v/>
      </c>
      <c r="DW63" s="58">
        <f>IF(DM63&lt;&gt;"","&lt;rect x='"&amp;SUBSTITUTE(ROUND(DU63,1),",",".")&amp;"' y='"&amp;SUBSTITUTE(ROUND(DV63,1),",",".")&amp;"' width='216' height='64' rx='9' fill='"&amp;IF(DM63="E","#B9D9EB",IF(DM63="L","#9EB9D4",IF(DM63="R","#6699CC","#F5F5F5")))&amp;"' stroke='#2A3439' stroke-width='1'"&amp;IF(DM63="A"," stroke-dasharray='5 3'","")&amp;"/&gt;"&amp;"&lt;text x='"&amp;SUBSTITUTE(ROUND((DU63+108),1),",",".")&amp;"' y='"&amp;SUBSTITUTE(ROUND(DV63+20,1),",",".")&amp;"' font-size='12' font-weight='bold'&gt;"&amp;DO63&amp;"&lt;/text&gt;"&amp;"&lt;text x='"&amp;SUBSTITUTE(ROUND((DU63+108),1),",",".")&amp;"' y='"&amp;SUBSTITUTE(ROUND(DV63+38,1),",",".")&amp;"' font-size='10'&gt;"&amp;DS63&amp;"&lt;/text&gt;"&amp;"&lt;text x='"&amp;SUBSTITUTE(ROUND((DU63+108),1),",",".")&amp;"' y='"&amp;SUBSTITUTE(ROUND(DV63+53,1),",",".")&amp;"' font-size='10'&gt;"&amp;DT63&amp;"&lt;/text&gt;","")</f>
        <v/>
      </c>
    </row>
    <row r="64">
      <c r="A64" s="58" t="n">
        <v>25</v>
      </c>
      <c r="B64" s="58">
        <f>IF($A64&lt;=nVariables,SUBSTITUTE(SUBSTITUTE(SUBSTITUTE(SUBSTITUTE(SUBSTITUTE(SUBSTITUTE(SUBSTITUTE(TRIM(CLEAN(IF(LEN(TRIM(M!$B34))&gt;46,LEFT(TRIM(M!$B34),45)&amp;"…",TRIM(M!$B34)))),"&amp;","&amp;amp;"),"&lt;","&amp;lt;"),"&gt;","&amp;gt;"),CHAR(34),"&amp;quot;"),CHAR(10)," "),CHAR(9)," "),CHAR(13)," "),"")</f>
        <v/>
      </c>
      <c r="C64" s="58">
        <f>IF($A64&lt;=nVariables,$A64&amp;". "&amp;B64,"")</f>
        <v/>
      </c>
      <c r="D64" s="58">
        <f>IF($A64&lt;=nVariables,IF(TRIM(M!$C34)&lt;&gt;"",TRIM(M!$C34),IF(LEN(TRIM(M!$B34))&gt;24,LEFT(TRIM(M!$B34),23)&amp;"…",TRIM(M!$B34))),"")</f>
        <v/>
      </c>
      <c r="E64" s="58">
        <f>IF($A64&lt;=nVariables,TRIM('Árbol de Problemas'!$F43),"")</f>
        <v/>
      </c>
      <c r="H64" s="58" t="n">
        <v>25</v>
      </c>
      <c r="I64" s="58">
        <f>IF(AND($I$4=1,H64&lt;=nVariables),1,0)</f>
        <v/>
      </c>
      <c r="J64" s="58">
        <f>IF(I64=1,'M1'!$F34,"")</f>
        <v/>
      </c>
      <c r="K64" s="58">
        <f>IF(I64=1,'M1'!$E34,"")</f>
        <v/>
      </c>
      <c r="L64" s="58">
        <f>IF(I64=1,90+J64*$I$22,"")</f>
        <v/>
      </c>
      <c r="M64" s="58">
        <f>IF(I64=1,574-K64*$I$23,"")</f>
        <v/>
      </c>
      <c r="N64" s="58">
        <f>IF(I64=1,'M1'!$I34,"")</f>
        <v/>
      </c>
      <c r="O64" s="58">
        <f>IF(I64=1,IF(N64="Motriz","#2A3439",IF(N64="Enlace","#6699CC",IF(N64="Resultado","#FFFFFF","#F5F5F5"))),"")</f>
        <v/>
      </c>
      <c r="P64" s="58">
        <f>IF(I64=1,IF(SUMPRODUCT((J$39:J63=J64)*(K$39:K63=K64))=0,1,0),0)</f>
        <v/>
      </c>
      <c r="Q64" s="58">
        <f>IF(P64=1,25&amp;IF(AND(J65=J64,K65=K64),","&amp;26,"")&amp;IF(AND(J66=J64,K66=K64),","&amp;27,"")&amp;IF(AND(J67=J64,K67=K64),","&amp;28,"")&amp;IF(AND(J68=J64,K68=K64),","&amp;29,"")&amp;IF(AND(J69=J64,K69=K64),","&amp;30,"")&amp;IF(AND(J70=J64,K70=K64),","&amp;31,"")&amp;IF(AND(J71=J64,K71=K64),","&amp;32,"")&amp;IF(AND(J72=J64,K72=K64),","&amp;33,"")&amp;IF(AND(J73=J64,K73=K64),","&amp;34,"")&amp;IF(AND(J74=J64,K74=K64),","&amp;35,"")&amp;IF(AND(J75=J64,K75=K64),","&amp;36,"")&amp;IF(AND(J76=J64,K76=K64),","&amp;37,"")&amp;IF(AND(J77=J64,K77=K64),","&amp;38,"")&amp;IF(AND(J78=J64,K78=K64),","&amp;39,"")&amp;IF(AND(J79=J64,K79=K64),","&amp;40,""),"")</f>
        <v/>
      </c>
      <c r="R64" s="58">
        <f>IF(P64=1,IF(N64="Motriz","&lt;circle cx='"&amp;SUBSTITUTE(ROUND(L64,1),",",".")&amp;"' cy='"&amp;SUBSTITUTE(ROUND(M64,1),",",".")&amp;"' r='6' fill='#2A3439' stroke='#2A3439' stroke-width='1.3'/&gt;",IF(N64="Enlace","&lt;rect x='"&amp;SUBSTITUTE(ROUND((L64)-5.52,1),",",".")&amp;"' y='"&amp;SUBSTITUTE(ROUND((M64)-5.52,1),",",".")&amp;"' width='11.04' height='11.04' fill='#6699CC' stroke='#2A3439' stroke-width='1.3'/&gt;",IF(N64="Resultado","&lt;path d='M"&amp;SUBSTITUTE(ROUND(L64,1),",",".")&amp;" "&amp;SUBSTITUTE(ROUND((M64)-6.9,1),",",".")&amp;"L"&amp;SUBSTITUTE(ROUND((L64)+6.3,1),",",".")&amp;" "&amp;SUBSTITUTE(ROUND((M64)+5.1,1),",",".")&amp;"L"&amp;SUBSTITUTE(ROUND((L64)-6.3,1),",",".")&amp;" "&amp;SUBSTITUTE(ROUND((M64)+5.1,1),",",".")&amp;"Z' fill='#FFFFFF' stroke='#2A3439' stroke-width='1.3'/&gt;","&lt;path d='M"&amp;SUBSTITUTE(ROUND(L64,1),",",".")&amp;" "&amp;SUBSTITUTE(ROUND((M64)-7.5,1),",",".")&amp;"L"&amp;SUBSTITUTE(ROUND((L64)+7.5,1),",",".")&amp;" "&amp;SUBSTITUTE(ROUND(M64,1),",",".")&amp;"L"&amp;SUBSTITUTE(ROUND(L64,1),",",".")&amp;" "&amp;SUBSTITUTE(ROUND((M64)+7.5,1),",",".")&amp;"L"&amp;SUBSTITUTE(ROUND((L64)-7.5,1),",",".")&amp;" "&amp;SUBSTITUTE(ROUND(M64,1),",",".")&amp;"Z' fill='#F5F5F5' stroke='#2A3439' stroke-width='1.3'/&gt;")))&amp;"&lt;text x='"&amp;SUBSTITUTE(ROUND(L64+9,1),",",".")&amp;"' y='"&amp;SUBSTITUTE(ROUND(M64-8,1),",",".")&amp;"'&gt;"&amp;Q64&amp;"&lt;/text&gt;","")</f>
        <v/>
      </c>
      <c r="S64" s="58">
        <f>IF(I64=1,IF(N64="Motriz","&lt;circle cx='"&amp;SUBSTITUTE(ROUND(728,1),",",".")&amp;"' cy='"&amp;SUBSTITUTE(ROUND(460.8,1),",",".")&amp;"' r='4.3' fill='#2A3439' stroke='#2A3439' stroke-width='1.3'/&gt;",IF(N64="Enlace","&lt;rect x='"&amp;SUBSTITUTE(ROUND((728)-3.96,1),",",".")&amp;"' y='"&amp;SUBSTITUTE(ROUND((460.8)-3.96,1),",",".")&amp;"' width='7.92' height='7.92' fill='#6699CC' stroke='#2A3439' stroke-width='1.3'/&gt;",IF(N64="Resultado","&lt;path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Z64" s="58" t="n">
        <v>25</v>
      </c>
      <c r="AA64" s="58">
        <f>IF(AND($AA$4=1,Z64&lt;=nVariables),1,0)</f>
        <v/>
      </c>
      <c r="AB64" s="58">
        <f>IF(AA64=1,'M2'!$F34,"")</f>
        <v/>
      </c>
      <c r="AC64" s="58">
        <f>IF(AA64=1,'M2'!$E34,"")</f>
        <v/>
      </c>
      <c r="AD64" s="58">
        <f>IF(AA64=1,90+AB64*$AA$22,"")</f>
        <v/>
      </c>
      <c r="AE64" s="58">
        <f>IF(AA64=1,574-AC64*$AA$23,"")</f>
        <v/>
      </c>
      <c r="AF64" s="58">
        <f>IF(AA64=1,'M2'!$I34,"")</f>
        <v/>
      </c>
      <c r="AG64" s="58">
        <f>IF(AA64=1,IF(AF64="Motriz","#2A3439",IF(AF64="Enlace","#6699CC",IF(AF64="Resultado","#FFFFFF","#F5F5F5"))),"")</f>
        <v/>
      </c>
      <c r="AH64" s="58">
        <f>IF(AA64=1,IF(SUMPRODUCT((AB$39:AB63=AB64)*(AC$39:AC63=AC64))=0,1,0),0)</f>
        <v/>
      </c>
      <c r="AI64" s="58">
        <f>IF(AH64=1,25&amp;IF(AND(AB65=AB64,AC65=AC64),","&amp;26,"")&amp;IF(AND(AB66=AB64,AC66=AC64),","&amp;27,"")&amp;IF(AND(AB67=AB64,AC67=AC64),","&amp;28,"")&amp;IF(AND(AB68=AB64,AC68=AC64),","&amp;29,"")&amp;IF(AND(AB69=AB64,AC69=AC64),","&amp;30,"")&amp;IF(AND(AB70=AB64,AC70=AC64),","&amp;31,"")&amp;IF(AND(AB71=AB64,AC71=AC64),","&amp;32,"")&amp;IF(AND(AB72=AB64,AC72=AC64),","&amp;33,"")&amp;IF(AND(AB73=AB64,AC73=AC64),","&amp;34,"")&amp;IF(AND(AB74=AB64,AC74=AC64),","&amp;35,"")&amp;IF(AND(AB75=AB64,AC75=AC64),","&amp;36,"")&amp;IF(AND(AB76=AB64,AC76=AC64),","&amp;37,"")&amp;IF(AND(AB77=AB64,AC77=AC64),","&amp;38,"")&amp;IF(AND(AB78=AB64,AC78=AC64),","&amp;39,"")&amp;IF(AND(AB79=AB64,AC79=AC64),","&amp;40,""),"")</f>
        <v/>
      </c>
      <c r="AJ64" s="58">
        <f>IF(AH64=1,IF(AF64="Motriz","&lt;circle cx='"&amp;SUBSTITUTE(ROUND(AD64,1),",",".")&amp;"' cy='"&amp;SUBSTITUTE(ROUND(AE64,1),",",".")&amp;"' r='6' fill='#2A3439' stroke='#2A3439' stroke-width='1.3'/&gt;",IF(AF64="Enlace","&lt;rect x='"&amp;SUBSTITUTE(ROUND((AD64)-5.52,1),",",".")&amp;"' y='"&amp;SUBSTITUTE(ROUND((AE64)-5.52,1),",",".")&amp;"' width='11.04' height='11.04' fill='#6699CC' stroke='#2A3439' stroke-width='1.3'/&gt;",IF(AF64="Resultado","&lt;path d='M"&amp;SUBSTITUTE(ROUND(AD64,1),",",".")&amp;" "&amp;SUBSTITUTE(ROUND((AE64)-6.9,1),",",".")&amp;"L"&amp;SUBSTITUTE(ROUND((AD64)+6.3,1),",",".")&amp;" "&amp;SUBSTITUTE(ROUND((AE64)+5.1,1),",",".")&amp;"L"&amp;SUBSTITUTE(ROUND((AD64)-6.3,1),",",".")&amp;" "&amp;SUBSTITUTE(ROUND((AE64)+5.1,1),",",".")&amp;"Z' fill='#FFFFFF' stroke='#2A3439' stroke-width='1.3'/&gt;","&lt;path d='M"&amp;SUBSTITUTE(ROUND(AD64,1),",",".")&amp;" "&amp;SUBSTITUTE(ROUND((AE64)-7.5,1),",",".")&amp;"L"&amp;SUBSTITUTE(ROUND((AD64)+7.5,1),",",".")&amp;" "&amp;SUBSTITUTE(ROUND(AE64,1),",",".")&amp;"L"&amp;SUBSTITUTE(ROUND(AD64,1),",",".")&amp;" "&amp;SUBSTITUTE(ROUND((AE64)+7.5,1),",",".")&amp;"L"&amp;SUBSTITUTE(ROUND((AD64)-7.5,1),",",".")&amp;" "&amp;SUBSTITUTE(ROUND(AE64,1),",",".")&amp;"Z' fill='#F5F5F5' stroke='#2A3439' stroke-width='1.3'/&gt;")))&amp;"&lt;text x='"&amp;SUBSTITUTE(ROUND(AD64+9,1),",",".")&amp;"' y='"&amp;SUBSTITUTE(ROUND(AE64-8,1),",",".")&amp;"'&gt;"&amp;AI64&amp;"&lt;/text&gt;","")</f>
        <v/>
      </c>
      <c r="AK64" s="58">
        <f>IF(AA64=1,IF(AF64="Motriz","&lt;circle cx='"&amp;SUBSTITUTE(ROUND(728,1),",",".")&amp;"' cy='"&amp;SUBSTITUTE(ROUND(460.8,1),",",".")&amp;"' r='4.3' fill='#2A3439' stroke='#2A3439' stroke-width='1.3'/&gt;",IF(AF64="Enlace","&lt;rect x='"&amp;SUBSTITUTE(ROUND((728)-3.96,1),",",".")&amp;"' y='"&amp;SUBSTITUTE(ROUND((460.8)-3.96,1),",",".")&amp;"' width='7.92' height='7.92' fill='#6699CC' stroke='#2A3439' stroke-width='1.3'/&gt;",IF(AF64="Resultado","&lt;path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AR64" s="58" t="n">
        <v>25</v>
      </c>
      <c r="AS64" s="58">
        <f>IF(AND($AS$4=1,AR64&lt;=nVariables),1,0)</f>
        <v/>
      </c>
      <c r="AT64" s="58">
        <f>IF(AS64=1,'M3'!$F34,"")</f>
        <v/>
      </c>
      <c r="AU64" s="58">
        <f>IF(AS64=1,'M3'!$E34,"")</f>
        <v/>
      </c>
      <c r="AV64" s="58">
        <f>IF(AS64=1,90+AT64*$AS$22,"")</f>
        <v/>
      </c>
      <c r="AW64" s="58">
        <f>IF(AS64=1,574-AU64*$AS$23,"")</f>
        <v/>
      </c>
      <c r="AX64" s="58">
        <f>IF(AS64=1,'M3'!$I34,"")</f>
        <v/>
      </c>
      <c r="AY64" s="58">
        <f>IF(AS64=1,IF(AX64="Motriz","#2A3439",IF(AX64="Enlace","#6699CC",IF(AX64="Resultado","#FFFFFF","#F5F5F5"))),"")</f>
        <v/>
      </c>
      <c r="AZ64" s="58">
        <f>IF(AS64=1,IF(SUMPRODUCT((AT$39:AT63=AT64)*(AU$39:AU63=AU64))=0,1,0),0)</f>
        <v/>
      </c>
      <c r="BA64" s="58">
        <f>IF(AZ64=1,25&amp;IF(AND(AT65=AT64,AU65=AU64),","&amp;26,"")&amp;IF(AND(AT66=AT64,AU66=AU64),","&amp;27,"")&amp;IF(AND(AT67=AT64,AU67=AU64),","&amp;28,"")&amp;IF(AND(AT68=AT64,AU68=AU64),","&amp;29,"")&amp;IF(AND(AT69=AT64,AU69=AU64),","&amp;30,"")&amp;IF(AND(AT70=AT64,AU70=AU64),","&amp;31,"")&amp;IF(AND(AT71=AT64,AU71=AU64),","&amp;32,"")&amp;IF(AND(AT72=AT64,AU72=AU64),","&amp;33,"")&amp;IF(AND(AT73=AT64,AU73=AU64),","&amp;34,"")&amp;IF(AND(AT74=AT64,AU74=AU64),","&amp;35,"")&amp;IF(AND(AT75=AT64,AU75=AU64),","&amp;36,"")&amp;IF(AND(AT76=AT64,AU76=AU64),","&amp;37,"")&amp;IF(AND(AT77=AT64,AU77=AU64),","&amp;38,"")&amp;IF(AND(AT78=AT64,AU78=AU64),","&amp;39,"")&amp;IF(AND(AT79=AT64,AU79=AU64),","&amp;40,""),"")</f>
        <v/>
      </c>
      <c r="BB64" s="58">
        <f>IF(AZ64=1,IF(AX64="Motriz","&lt;circle cx='"&amp;SUBSTITUTE(ROUND(AV64,1),",",".")&amp;"' cy='"&amp;SUBSTITUTE(ROUND(AW64,1),",",".")&amp;"' r='6' fill='#2A3439' stroke='#2A3439' stroke-width='1.3'/&gt;",IF(AX64="Enlace","&lt;rect x='"&amp;SUBSTITUTE(ROUND((AV64)-5.52,1),",",".")&amp;"' y='"&amp;SUBSTITUTE(ROUND((AW64)-5.52,1),",",".")&amp;"' width='11.04' height='11.04' fill='#6699CC' stroke='#2A3439' stroke-width='1.3'/&gt;",IF(AX64="Resultado","&lt;path d='M"&amp;SUBSTITUTE(ROUND(AV64,1),",",".")&amp;" "&amp;SUBSTITUTE(ROUND((AW64)-6.9,1),",",".")&amp;"L"&amp;SUBSTITUTE(ROUND((AV64)+6.3,1),",",".")&amp;" "&amp;SUBSTITUTE(ROUND((AW64)+5.1,1),",",".")&amp;"L"&amp;SUBSTITUTE(ROUND((AV64)-6.3,1),",",".")&amp;" "&amp;SUBSTITUTE(ROUND((AW64)+5.1,1),",",".")&amp;"Z' fill='#FFFFFF' stroke='#2A3439' stroke-width='1.3'/&gt;","&lt;path d='M"&amp;SUBSTITUTE(ROUND(AV64,1),",",".")&amp;" "&amp;SUBSTITUTE(ROUND((AW64)-7.5,1),",",".")&amp;"L"&amp;SUBSTITUTE(ROUND((AV64)+7.5,1),",",".")&amp;" "&amp;SUBSTITUTE(ROUND(AW64,1),",",".")&amp;"L"&amp;SUBSTITUTE(ROUND(AV64,1),",",".")&amp;" "&amp;SUBSTITUTE(ROUND((AW64)+7.5,1),",",".")&amp;"L"&amp;SUBSTITUTE(ROUND((AV64)-7.5,1),",",".")&amp;" "&amp;SUBSTITUTE(ROUND(AW64,1),",",".")&amp;"Z' fill='#F5F5F5' stroke='#2A3439' stroke-width='1.3'/&gt;")))&amp;"&lt;text x='"&amp;SUBSTITUTE(ROUND(AV64+9,1),",",".")&amp;"' y='"&amp;SUBSTITUTE(ROUND(AW64-8,1),",",".")&amp;"'&gt;"&amp;BA64&amp;"&lt;/text&gt;","")</f>
        <v/>
      </c>
      <c r="BC64" s="58">
        <f>IF(AS64=1,IF(AX64="Motriz","&lt;circle cx='"&amp;SUBSTITUTE(ROUND(728,1),",",".")&amp;"' cy='"&amp;SUBSTITUTE(ROUND(460.8,1),",",".")&amp;"' r='4.3' fill='#2A3439' stroke='#2A3439' stroke-width='1.3'/&gt;",IF(AX64="Enlace","&lt;rect x='"&amp;SUBSTITUTE(ROUND((728)-3.96,1),",",".")&amp;"' y='"&amp;SUBSTITUTE(ROUND((460.8)-3.96,1),",",".")&amp;"' width='7.92' height='7.92' fill='#6699CC' stroke='#2A3439' stroke-width='1.3'/&gt;",IF(AX64="Resultado","&lt;path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BJ64" s="58" t="n">
        <v>25</v>
      </c>
      <c r="BK64" s="58">
        <f>IF(AND($BK$4=1,BJ64&lt;=nVariables),1,0)</f>
        <v/>
      </c>
      <c r="BL64" s="58">
        <f>IF(BK64=1,'M4'!$F34,"")</f>
        <v/>
      </c>
      <c r="BM64" s="58">
        <f>IF(BK64=1,'M4'!$E34,"")</f>
        <v/>
      </c>
      <c r="BN64" s="58">
        <f>IF(BK64=1,90+BL64*$BK$22,"")</f>
        <v/>
      </c>
      <c r="BO64" s="58">
        <f>IF(BK64=1,574-BM64*$BK$23,"")</f>
        <v/>
      </c>
      <c r="BP64" s="58">
        <f>IF(BK64=1,'M4'!$I34,"")</f>
        <v/>
      </c>
      <c r="BQ64" s="58">
        <f>IF(BK64=1,IF(BP64="Motriz","#2A3439",IF(BP64="Enlace","#6699CC",IF(BP64="Resultado","#FFFFFF","#F5F5F5"))),"")</f>
        <v/>
      </c>
      <c r="BR64" s="58">
        <f>IF(BK64=1,IF(SUMPRODUCT((BL$39:BL63=BL64)*(BM$39:BM63=BM64))=0,1,0),0)</f>
        <v/>
      </c>
      <c r="BS64" s="58">
        <f>IF(BR64=1,25&amp;IF(AND(BL65=BL64,BM65=BM64),","&amp;26,"")&amp;IF(AND(BL66=BL64,BM66=BM64),","&amp;27,"")&amp;IF(AND(BL67=BL64,BM67=BM64),","&amp;28,"")&amp;IF(AND(BL68=BL64,BM68=BM64),","&amp;29,"")&amp;IF(AND(BL69=BL64,BM69=BM64),","&amp;30,"")&amp;IF(AND(BL70=BL64,BM70=BM64),","&amp;31,"")&amp;IF(AND(BL71=BL64,BM71=BM64),","&amp;32,"")&amp;IF(AND(BL72=BL64,BM72=BM64),","&amp;33,"")&amp;IF(AND(BL73=BL64,BM73=BM64),","&amp;34,"")&amp;IF(AND(BL74=BL64,BM74=BM64),","&amp;35,"")&amp;IF(AND(BL75=BL64,BM75=BM64),","&amp;36,"")&amp;IF(AND(BL76=BL64,BM76=BM64),","&amp;37,"")&amp;IF(AND(BL77=BL64,BM77=BM64),","&amp;38,"")&amp;IF(AND(BL78=BL64,BM78=BM64),","&amp;39,"")&amp;IF(AND(BL79=BL64,BM79=BM64),","&amp;40,""),"")</f>
        <v/>
      </c>
      <c r="BT64" s="58">
        <f>IF(BR64=1,IF(BP64="Motriz","&lt;circle cx='"&amp;SUBSTITUTE(ROUND(BN64,1),",",".")&amp;"' cy='"&amp;SUBSTITUTE(ROUND(BO64,1),",",".")&amp;"' r='6' fill='#2A3439' stroke='#2A3439' stroke-width='1.3'/&gt;",IF(BP64="Enlace","&lt;rect x='"&amp;SUBSTITUTE(ROUND((BN64)-5.52,1),",",".")&amp;"' y='"&amp;SUBSTITUTE(ROUND((BO64)-5.52,1),",",".")&amp;"' width='11.04' height='11.04' fill='#6699CC' stroke='#2A3439' stroke-width='1.3'/&gt;",IF(BP64="Resultado","&lt;path d='M"&amp;SUBSTITUTE(ROUND(BN64,1),",",".")&amp;" "&amp;SUBSTITUTE(ROUND((BO64)-6.9,1),",",".")&amp;"L"&amp;SUBSTITUTE(ROUND((BN64)+6.3,1),",",".")&amp;" "&amp;SUBSTITUTE(ROUND((BO64)+5.1,1),",",".")&amp;"L"&amp;SUBSTITUTE(ROUND((BN64)-6.3,1),",",".")&amp;" "&amp;SUBSTITUTE(ROUND((BO64)+5.1,1),",",".")&amp;"Z' fill='#FFFFFF' stroke='#2A3439' stroke-width='1.3'/&gt;","&lt;path d='M"&amp;SUBSTITUTE(ROUND(BN64,1),",",".")&amp;" "&amp;SUBSTITUTE(ROUND((BO64)-7.5,1),",",".")&amp;"L"&amp;SUBSTITUTE(ROUND((BN64)+7.5,1),",",".")&amp;" "&amp;SUBSTITUTE(ROUND(BO64,1),",",".")&amp;"L"&amp;SUBSTITUTE(ROUND(BN64,1),",",".")&amp;" "&amp;SUBSTITUTE(ROUND((BO64)+7.5,1),",",".")&amp;"L"&amp;SUBSTITUTE(ROUND((BN64)-7.5,1),",",".")&amp;" "&amp;SUBSTITUTE(ROUND(BO64,1),",",".")&amp;"Z' fill='#F5F5F5' stroke='#2A3439' stroke-width='1.3'/&gt;")))&amp;"&lt;text x='"&amp;SUBSTITUTE(ROUND(BN64+9,1),",",".")&amp;"' y='"&amp;SUBSTITUTE(ROUND(BO64-8,1),",",".")&amp;"'&gt;"&amp;BS64&amp;"&lt;/text&gt;","")</f>
        <v/>
      </c>
      <c r="BU64" s="58">
        <f>IF(BK64=1,IF(BP64="Motriz","&lt;circle cx='"&amp;SUBSTITUTE(ROUND(728,1),",",".")&amp;"' cy='"&amp;SUBSTITUTE(ROUND(460.8,1),",",".")&amp;"' r='4.3' fill='#2A3439' stroke='#2A3439' stroke-width='1.3'/&gt;",IF(BP64="Enlace","&lt;rect x='"&amp;SUBSTITUTE(ROUND((728)-3.96,1),",",".")&amp;"' y='"&amp;SUBSTITUTE(ROUND((460.8)-3.96,1),",",".")&amp;"' width='7.92' height='7.92' fill='#6699CC' stroke='#2A3439' stroke-width='1.3'/&gt;",IF(BP64="Resultado","&lt;path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CB64" s="58" t="n">
        <v>25</v>
      </c>
      <c r="CC64" s="58">
        <f>IF(AND($CC$4=1,CB64&lt;=nVariables),1,0)</f>
        <v/>
      </c>
      <c r="CD64" s="58">
        <f>IF(CC64=1,'M5'!$F34,"")</f>
        <v/>
      </c>
      <c r="CE64" s="58">
        <f>IF(CC64=1,'M5'!$E34,"")</f>
        <v/>
      </c>
      <c r="CF64" s="58">
        <f>IF(CC64=1,90+CD64*$CC$22,"")</f>
        <v/>
      </c>
      <c r="CG64" s="58">
        <f>IF(CC64=1,574-CE64*$CC$23,"")</f>
        <v/>
      </c>
      <c r="CH64" s="58">
        <f>IF(CC64=1,'M5'!$I34,"")</f>
        <v/>
      </c>
      <c r="CI64" s="58">
        <f>IF(CC64=1,IF(CH64="Motriz","#2A3439",IF(CH64="Enlace","#6699CC",IF(CH64="Resultado","#FFFFFF","#F5F5F5"))),"")</f>
        <v/>
      </c>
      <c r="CJ64" s="58">
        <f>IF(CC64=1,IF(SUMPRODUCT((CD$39:CD63=CD64)*(CE$39:CE63=CE64))=0,1,0),0)</f>
        <v/>
      </c>
      <c r="CK64" s="58">
        <f>IF(CJ64=1,25&amp;IF(AND(CD65=CD64,CE65=CE64),","&amp;26,"")&amp;IF(AND(CD66=CD64,CE66=CE64),","&amp;27,"")&amp;IF(AND(CD67=CD64,CE67=CE64),","&amp;28,"")&amp;IF(AND(CD68=CD64,CE68=CE64),","&amp;29,"")&amp;IF(AND(CD69=CD64,CE69=CE64),","&amp;30,"")&amp;IF(AND(CD70=CD64,CE70=CE64),","&amp;31,"")&amp;IF(AND(CD71=CD64,CE71=CE64),","&amp;32,"")&amp;IF(AND(CD72=CD64,CE72=CE64),","&amp;33,"")&amp;IF(AND(CD73=CD64,CE73=CE64),","&amp;34,"")&amp;IF(AND(CD74=CD64,CE74=CE64),","&amp;35,"")&amp;IF(AND(CD75=CD64,CE75=CE64),","&amp;36,"")&amp;IF(AND(CD76=CD64,CE76=CE64),","&amp;37,"")&amp;IF(AND(CD77=CD64,CE77=CE64),","&amp;38,"")&amp;IF(AND(CD78=CD64,CE78=CE64),","&amp;39,"")&amp;IF(AND(CD79=CD64,CE79=CE64),","&amp;40,""),"")</f>
        <v/>
      </c>
      <c r="CL64" s="58">
        <f>IF(CJ64=1,IF(CH64="Motriz","&lt;circle cx='"&amp;SUBSTITUTE(ROUND(CF64,1),",",".")&amp;"' cy='"&amp;SUBSTITUTE(ROUND(CG64,1),",",".")&amp;"' r='6' fill='#2A3439' stroke='#2A3439' stroke-width='1.3'/&gt;",IF(CH64="Enlace","&lt;rect x='"&amp;SUBSTITUTE(ROUND((CF64)-5.52,1),",",".")&amp;"' y='"&amp;SUBSTITUTE(ROUND((CG64)-5.52,1),",",".")&amp;"' width='11.04' height='11.04' fill='#6699CC' stroke='#2A3439' stroke-width='1.3'/&gt;",IF(CH64="Resultado","&lt;path d='M"&amp;SUBSTITUTE(ROUND(CF64,1),",",".")&amp;" "&amp;SUBSTITUTE(ROUND((CG64)-6.9,1),",",".")&amp;"L"&amp;SUBSTITUTE(ROUND((CF64)+6.3,1),",",".")&amp;" "&amp;SUBSTITUTE(ROUND((CG64)+5.1,1),",",".")&amp;"L"&amp;SUBSTITUTE(ROUND((CF64)-6.3,1),",",".")&amp;" "&amp;SUBSTITUTE(ROUND((CG64)+5.1,1),",",".")&amp;"Z' fill='#FFFFFF' stroke='#2A3439' stroke-width='1.3'/&gt;","&lt;path d='M"&amp;SUBSTITUTE(ROUND(CF64,1),",",".")&amp;" "&amp;SUBSTITUTE(ROUND((CG64)-7.5,1),",",".")&amp;"L"&amp;SUBSTITUTE(ROUND((CF64)+7.5,1),",",".")&amp;" "&amp;SUBSTITUTE(ROUND(CG64,1),",",".")&amp;"L"&amp;SUBSTITUTE(ROUND(CF64,1),",",".")&amp;" "&amp;SUBSTITUTE(ROUND((CG64)+7.5,1),",",".")&amp;"L"&amp;SUBSTITUTE(ROUND((CF64)-7.5,1),",",".")&amp;" "&amp;SUBSTITUTE(ROUND(CG64,1),",",".")&amp;"Z' fill='#F5F5F5' stroke='#2A3439' stroke-width='1.3'/&gt;")))&amp;"&lt;text x='"&amp;SUBSTITUTE(ROUND(CF64+9,1),",",".")&amp;"' y='"&amp;SUBSTITUTE(ROUND(CG64-8,1),",",".")&amp;"'&gt;"&amp;CK64&amp;"&lt;/text&gt;","")</f>
        <v/>
      </c>
      <c r="CM64" s="58">
        <f>IF(CC64=1,IF(CH64="Motriz","&lt;circle cx='"&amp;SUBSTITUTE(ROUND(728,1),",",".")&amp;"' cy='"&amp;SUBSTITUTE(ROUND(460.8,1),",",".")&amp;"' r='4.3' fill='#2A3439' stroke='#2A3439' stroke-width='1.3'/&gt;",IF(CH64="Enlace","&lt;rect x='"&amp;SUBSTITUTE(ROUND((728)-3.96,1),",",".")&amp;"' y='"&amp;SUBSTITUTE(ROUND((460.8)-3.96,1),",",".")&amp;"' width='7.92' height='7.92' fill='#6699CC' stroke='#2A3439' stroke-width='1.3'/&gt;",IF(CH64="Resultado","&lt;path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CT64" s="58" t="n">
        <v>25</v>
      </c>
      <c r="CU64" s="58">
        <f>IF(AND($CU$4=1,CT64&lt;=nVariables),1,0)</f>
        <v/>
      </c>
      <c r="CV64" s="58">
        <f>IF(CU64=1,'M6'!$F34,"")</f>
        <v/>
      </c>
      <c r="CW64" s="58">
        <f>IF(CU64=1,'M6'!$E34,"")</f>
        <v/>
      </c>
      <c r="CX64" s="58">
        <f>IF(CU64=1,90+CV64*$CU$22,"")</f>
        <v/>
      </c>
      <c r="CY64" s="58">
        <f>IF(CU64=1,574-CW64*$CU$23,"")</f>
        <v/>
      </c>
      <c r="CZ64" s="58">
        <f>IF(CU64=1,'M6'!$I34,"")</f>
        <v/>
      </c>
      <c r="DA64" s="58">
        <f>IF(CU64=1,IF(CZ64="Motriz","#2A3439",IF(CZ64="Enlace","#6699CC",IF(CZ64="Resultado","#FFFFFF","#F5F5F5"))),"")</f>
        <v/>
      </c>
      <c r="DB64" s="58">
        <f>IF(CU64=1,IF(SUMPRODUCT((CV$39:CV63=CV64)*(CW$39:CW63=CW64))=0,1,0),0)</f>
        <v/>
      </c>
      <c r="DC64" s="58">
        <f>IF(DB64=1,25&amp;IF(AND(CV65=CV64,CW65=CW64),","&amp;26,"")&amp;IF(AND(CV66=CV64,CW66=CW64),","&amp;27,"")&amp;IF(AND(CV67=CV64,CW67=CW64),","&amp;28,"")&amp;IF(AND(CV68=CV64,CW68=CW64),","&amp;29,"")&amp;IF(AND(CV69=CV64,CW69=CW64),","&amp;30,"")&amp;IF(AND(CV70=CV64,CW70=CW64),","&amp;31,"")&amp;IF(AND(CV71=CV64,CW71=CW64),","&amp;32,"")&amp;IF(AND(CV72=CV64,CW72=CW64),","&amp;33,"")&amp;IF(AND(CV73=CV64,CW73=CW64),","&amp;34,"")&amp;IF(AND(CV74=CV64,CW74=CW64),","&amp;35,"")&amp;IF(AND(CV75=CV64,CW75=CW64),","&amp;36,"")&amp;IF(AND(CV76=CV64,CW76=CW64),","&amp;37,"")&amp;IF(AND(CV77=CV64,CW77=CW64),","&amp;38,"")&amp;IF(AND(CV78=CV64,CW78=CW64),","&amp;39,"")&amp;IF(AND(CV79=CV64,CW79=CW64),","&amp;40,""),"")</f>
        <v/>
      </c>
      <c r="DD64" s="58">
        <f>IF(DB64=1,IF(CZ64="Motriz","&lt;circle cx='"&amp;SUBSTITUTE(ROUND(CX64,1),",",".")&amp;"' cy='"&amp;SUBSTITUTE(ROUND(CY64,1),",",".")&amp;"' r='6' fill='#2A3439' stroke='#2A3439' stroke-width='1.3'/&gt;",IF(CZ64="Enlace","&lt;rect x='"&amp;SUBSTITUTE(ROUND((CX64)-5.52,1),",",".")&amp;"' y='"&amp;SUBSTITUTE(ROUND((CY64)-5.52,1),",",".")&amp;"' width='11.04' height='11.04' fill='#6699CC' stroke='#2A3439' stroke-width='1.3'/&gt;",IF(CZ64="Resultado","&lt;path d='M"&amp;SUBSTITUTE(ROUND(CX64,1),",",".")&amp;" "&amp;SUBSTITUTE(ROUND((CY64)-6.9,1),",",".")&amp;"L"&amp;SUBSTITUTE(ROUND((CX64)+6.3,1),",",".")&amp;" "&amp;SUBSTITUTE(ROUND((CY64)+5.1,1),",",".")&amp;"L"&amp;SUBSTITUTE(ROUND((CX64)-6.3,1),",",".")&amp;" "&amp;SUBSTITUTE(ROUND((CY64)+5.1,1),",",".")&amp;"Z' fill='#FFFFFF' stroke='#2A3439' stroke-width='1.3'/&gt;","&lt;path d='M"&amp;SUBSTITUTE(ROUND(CX64,1),",",".")&amp;" "&amp;SUBSTITUTE(ROUND((CY64)-7.5,1),",",".")&amp;"L"&amp;SUBSTITUTE(ROUND((CX64)+7.5,1),",",".")&amp;" "&amp;SUBSTITUTE(ROUND(CY64,1),",",".")&amp;"L"&amp;SUBSTITUTE(ROUND(CX64,1),",",".")&amp;" "&amp;SUBSTITUTE(ROUND((CY64)+7.5,1),",",".")&amp;"L"&amp;SUBSTITUTE(ROUND((CX64)-7.5,1),",",".")&amp;" "&amp;SUBSTITUTE(ROUND(CY64,1),",",".")&amp;"Z' fill='#F5F5F5' stroke='#2A3439' stroke-width='1.3'/&gt;")))&amp;"&lt;text x='"&amp;SUBSTITUTE(ROUND(CX64+9,1),",",".")&amp;"' y='"&amp;SUBSTITUTE(ROUND(CY64-8,1),",",".")&amp;"'&gt;"&amp;DC64&amp;"&lt;/text&gt;","")</f>
        <v/>
      </c>
      <c r="DE64" s="58">
        <f>IF(CU64=1,IF(CZ64="Motriz","&lt;circle cx='"&amp;SUBSTITUTE(ROUND(728,1),",",".")&amp;"' cy='"&amp;SUBSTITUTE(ROUND(460.8,1),",",".")&amp;"' r='4.3' fill='#2A3439' stroke='#2A3439' stroke-width='1.3'/&gt;",IF(CZ64="Enlace","&lt;rect x='"&amp;SUBSTITUTE(ROUND((728)-3.96,1),",",".")&amp;"' y='"&amp;SUBSTITUTE(ROUND((460.8)-3.96,1),",",".")&amp;"' width='7.92' height='7.92' fill='#6699CC' stroke='#2A3439' stroke-width='1.3'/&gt;",IF(CZ64="Resultado","&lt;path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DL64" s="58" t="n">
        <v>13</v>
      </c>
      <c r="DM64" s="58">
        <f>IF(AND($DM$4=1,DL64&lt;=nVariables),IF('M6'!$I22="Resultado","E",IF('M6'!$I22="Enlace","L",IF('M6'!$I22="Motriz","R",IF('M6'!$I22="Autónoma","A","")))),"")</f>
        <v/>
      </c>
      <c r="DN64" s="58">
        <f>IF(DM64&lt;&gt;"",COUNTIF($DM$52:DM64,DM64),"")</f>
        <v/>
      </c>
      <c r="DO64" s="58">
        <f>IF(DM64&lt;&gt;"",SUBSTITUTE(SUBSTITUTE(SUBSTITUTE(SUBSTITUTE(SUBSTITUTE(SUBSTITUTE(SUBSTITUTE(TRIM(CLEAN(IF(LEN(13&amp;" · "&amp;$D52)&gt;30,LEFT(13&amp;" · "&amp;$D52,29)&amp;"…",13&amp;" · "&amp;$D52))),"&amp;","&amp;amp;"),"&lt;","&amp;lt;"),"&gt;","&amp;gt;"),CHAR(34),"&amp;quot;"),CHAR(10)," "),CHAR(9)," "),CHAR(13)," "),"")</f>
        <v/>
      </c>
      <c r="DP64" s="58">
        <f>IF(DM64&lt;&gt;"",IF($E52&lt;&gt;"",$E52,IF(DM64="E","(efecto · indicador de resultado)",IF(DM64="L","(causa directa · riesgo)",IF(DM64="R","CAUSA RAÍZ · componente del proyecto","(fuera del alcance)")))),"")</f>
        <v/>
      </c>
      <c r="DQ64" s="58">
        <f>IF(DM64&lt;&gt;"",IF(LEN(DP64)&gt;74,LEFT(DP64,73)&amp;"…",DP64),"")</f>
        <v/>
      </c>
      <c r="DR64" s="58">
        <f>IF(DM64&lt;&gt;"",IF(LEN(DQ64)&lt;=37,LEN(DQ64)+1,IFERROR(FIND("~",SUBSTITUTE(LEFT(DQ64,38)," ","~",LEN(LEFT(DQ64,38))-LEN(SUBSTITUTE(LEFT(DQ64,38)," ","")))),38)),"")</f>
        <v/>
      </c>
      <c r="DS64" s="58">
        <f>IF(DM64&lt;&gt;"",SUBSTITUTE(SUBSTITUTE(SUBSTITUTE(SUBSTITUTE(SUBSTITUTE(SUBSTITUTE(SUBSTITUTE(TRIM(CLEAN(TRIM(LEFT(DQ64,DR64-1)))),"&amp;","&amp;amp;"),"&lt;","&amp;lt;"),"&gt;","&amp;gt;"),CHAR(34),"&amp;quot;"),CHAR(10)," "),CHAR(9)," "),CHAR(13)," "),"")</f>
        <v/>
      </c>
      <c r="DT64" s="58">
        <f>IF(DM64&lt;&gt;"",SUBSTITUTE(SUBSTITUTE(SUBSTITUTE(SUBSTITUTE(SUBSTITUTE(SUBSTITUTE(SUBSTITUTE(TRIM(CLEAN(IF(LEN(TRIM(MID(DQ64,DR64,80)))&gt;37,LEFT(TRIM(MID(DQ64,DR64,80)),36)&amp;"…",TRIM(MID(DQ64,DR64,80))))),"&amp;","&amp;amp;"),"&lt;","&amp;lt;"),"&gt;","&amp;gt;"),CHAR(34),"&amp;quot;"),CHAR(10)," "),CHAR(9)," "),CHAR(13)," "),"")</f>
        <v/>
      </c>
      <c r="DU64" s="58">
        <f>IF(DM64&lt;&gt;"",(1200-(MIN(5,IF(DM64="E",$DM$5,IF(DM64="L",$DM$8,IF(DM64="R",$DM$11,$DM$14)))-INT((DN64-1)/5)*5)*216+(MIN(5,IF(DM64="E",$DM$5,IF(DM64="L",$DM$8,IF(DM64="R",$DM$11,$DM$14)))-INT((DN64-1)/5)*5)-1)*14))/2+MOD(DN64-1,5)*(216+14),"")</f>
        <v/>
      </c>
      <c r="DV64" s="58">
        <f>IF(DM64&lt;&gt;"",IF(DM64="E",$DM$17,IF(DM64="L",$DM$21,IF(DM64="R",$DM$23,$DM$25)))+24+INT((DN64-1)/5)*(64+12),"")</f>
        <v/>
      </c>
      <c r="DW64" s="58">
        <f>IF(DM64&lt;&gt;"","&lt;rect x='"&amp;SUBSTITUTE(ROUND(DU64,1),",",".")&amp;"' y='"&amp;SUBSTITUTE(ROUND(DV64,1),",",".")&amp;"' width='216' height='64' rx='9' fill='"&amp;IF(DM64="E","#B9D9EB",IF(DM64="L","#9EB9D4",IF(DM64="R","#6699CC","#F5F5F5")))&amp;"' stroke='#2A3439' stroke-width='1'"&amp;IF(DM64="A"," stroke-dasharray='5 3'","")&amp;"/&gt;"&amp;"&lt;text x='"&amp;SUBSTITUTE(ROUND((DU64+108),1),",",".")&amp;"' y='"&amp;SUBSTITUTE(ROUND(DV64+20,1),",",".")&amp;"' font-size='12' font-weight='bold'&gt;"&amp;DO64&amp;"&lt;/text&gt;"&amp;"&lt;text x='"&amp;SUBSTITUTE(ROUND((DU64+108),1),",",".")&amp;"' y='"&amp;SUBSTITUTE(ROUND(DV64+38,1),",",".")&amp;"' font-size='10'&gt;"&amp;DS64&amp;"&lt;/text&gt;"&amp;"&lt;text x='"&amp;SUBSTITUTE(ROUND((DU64+108),1),",",".")&amp;"' y='"&amp;SUBSTITUTE(ROUND(DV64+53,1),",",".")&amp;"' font-size='10'&gt;"&amp;DT64&amp;"&lt;/text&gt;","")</f>
        <v/>
      </c>
    </row>
    <row r="65">
      <c r="A65" s="58" t="n">
        <v>26</v>
      </c>
      <c r="B65" s="58">
        <f>IF($A65&lt;=nVariables,SUBSTITUTE(SUBSTITUTE(SUBSTITUTE(SUBSTITUTE(SUBSTITUTE(SUBSTITUTE(SUBSTITUTE(TRIM(CLEAN(IF(LEN(TRIM(M!$B35))&gt;46,LEFT(TRIM(M!$B35),45)&amp;"…",TRIM(M!$B35)))),"&amp;","&amp;amp;"),"&lt;","&amp;lt;"),"&gt;","&amp;gt;"),CHAR(34),"&amp;quot;"),CHAR(10)," "),CHAR(9)," "),CHAR(13)," "),"")</f>
        <v/>
      </c>
      <c r="C65" s="58">
        <f>IF($A65&lt;=nVariables,$A65&amp;". "&amp;B65,"")</f>
        <v/>
      </c>
      <c r="D65" s="58">
        <f>IF($A65&lt;=nVariables,IF(TRIM(M!$C35)&lt;&gt;"",TRIM(M!$C35),IF(LEN(TRIM(M!$B35))&gt;24,LEFT(TRIM(M!$B35),23)&amp;"…",TRIM(M!$B35))),"")</f>
        <v/>
      </c>
      <c r="E65" s="58">
        <f>IF($A65&lt;=nVariables,TRIM('Árbol de Problemas'!$F44),"")</f>
        <v/>
      </c>
      <c r="H65" s="58" t="n">
        <v>26</v>
      </c>
      <c r="I65" s="58">
        <f>IF(AND($I$4=1,H65&lt;=nVariables),1,0)</f>
        <v/>
      </c>
      <c r="J65" s="58">
        <f>IF(I65=1,'M1'!$F35,"")</f>
        <v/>
      </c>
      <c r="K65" s="58">
        <f>IF(I65=1,'M1'!$E35,"")</f>
        <v/>
      </c>
      <c r="L65" s="58">
        <f>IF(I65=1,90+J65*$I$22,"")</f>
        <v/>
      </c>
      <c r="M65" s="58">
        <f>IF(I65=1,574-K65*$I$23,"")</f>
        <v/>
      </c>
      <c r="N65" s="58">
        <f>IF(I65=1,'M1'!$I35,"")</f>
        <v/>
      </c>
      <c r="O65" s="58">
        <f>IF(I65=1,IF(N65="Motriz","#2A3439",IF(N65="Enlace","#6699CC",IF(N65="Resultado","#FFFFFF","#F5F5F5"))),"")</f>
        <v/>
      </c>
      <c r="P65" s="58">
        <f>IF(I65=1,IF(SUMPRODUCT((J$39:J64=J65)*(K$39:K64=K65))=0,1,0),0)</f>
        <v/>
      </c>
      <c r="Q65" s="58">
        <f>IF(P65=1,26&amp;IF(AND(J66=J65,K66=K65),","&amp;27,"")&amp;IF(AND(J67=J65,K67=K65),","&amp;28,"")&amp;IF(AND(J68=J65,K68=K65),","&amp;29,"")&amp;IF(AND(J69=J65,K69=K65),","&amp;30,"")&amp;IF(AND(J70=J65,K70=K65),","&amp;31,"")&amp;IF(AND(J71=J65,K71=K65),","&amp;32,"")&amp;IF(AND(J72=J65,K72=K65),","&amp;33,"")&amp;IF(AND(J73=J65,K73=K65),","&amp;34,"")&amp;IF(AND(J74=J65,K74=K65),","&amp;35,"")&amp;IF(AND(J75=J65,K75=K65),","&amp;36,"")&amp;IF(AND(J76=J65,K76=K65),","&amp;37,"")&amp;IF(AND(J77=J65,K77=K65),","&amp;38,"")&amp;IF(AND(J78=J65,K78=K65),","&amp;39,"")&amp;IF(AND(J79=J65,K79=K65),","&amp;40,""),"")</f>
        <v/>
      </c>
      <c r="R65" s="58">
        <f>IF(P65=1,IF(N65="Motriz","&lt;circle cx='"&amp;SUBSTITUTE(ROUND(L65,1),",",".")&amp;"' cy='"&amp;SUBSTITUTE(ROUND(M65,1),",",".")&amp;"' r='6' fill='#2A3439' stroke='#2A3439' stroke-width='1.3'/&gt;",IF(N65="Enlace","&lt;rect x='"&amp;SUBSTITUTE(ROUND((L65)-5.52,1),",",".")&amp;"' y='"&amp;SUBSTITUTE(ROUND((M65)-5.52,1),",",".")&amp;"' width='11.04' height='11.04' fill='#6699CC' stroke='#2A3439' stroke-width='1.3'/&gt;",IF(N65="Resultado","&lt;path d='M"&amp;SUBSTITUTE(ROUND(L65,1),",",".")&amp;" "&amp;SUBSTITUTE(ROUND((M65)-6.9,1),",",".")&amp;"L"&amp;SUBSTITUTE(ROUND((L65)+6.3,1),",",".")&amp;" "&amp;SUBSTITUTE(ROUND((M65)+5.1,1),",",".")&amp;"L"&amp;SUBSTITUTE(ROUND((L65)-6.3,1),",",".")&amp;" "&amp;SUBSTITUTE(ROUND((M65)+5.1,1),",",".")&amp;"Z' fill='#FFFFFF' stroke='#2A3439' stroke-width='1.3'/&gt;","&lt;path d='M"&amp;SUBSTITUTE(ROUND(L65,1),",",".")&amp;" "&amp;SUBSTITUTE(ROUND((M65)-7.5,1),",",".")&amp;"L"&amp;SUBSTITUTE(ROUND((L65)+7.5,1),",",".")&amp;" "&amp;SUBSTITUTE(ROUND(M65,1),",",".")&amp;"L"&amp;SUBSTITUTE(ROUND(L65,1),",",".")&amp;" "&amp;SUBSTITUTE(ROUND((M65)+7.5,1),",",".")&amp;"L"&amp;SUBSTITUTE(ROUND((L65)-7.5,1),",",".")&amp;" "&amp;SUBSTITUTE(ROUND(M65,1),",",".")&amp;"Z' fill='#F5F5F5' stroke='#2A3439' stroke-width='1.3'/&gt;")))&amp;"&lt;text x='"&amp;SUBSTITUTE(ROUND(L65+9,1),",",".")&amp;"' y='"&amp;SUBSTITUTE(ROUND(M65-8,1),",",".")&amp;"'&gt;"&amp;Q65&amp;"&lt;/text&gt;","")</f>
        <v/>
      </c>
      <c r="S65" s="58">
        <f>IF(I65=1,IF(N65="Motriz","&lt;circle cx='"&amp;SUBSTITUTE(ROUND(728,1),",",".")&amp;"' cy='"&amp;SUBSTITUTE(ROUND(475,1),",",".")&amp;"' r='4.3' fill='#2A3439' stroke='#2A3439' stroke-width='1.3'/&gt;",IF(N65="Enlace","&lt;rect x='"&amp;SUBSTITUTE(ROUND((728)-3.96,1),",",".")&amp;"' y='"&amp;SUBSTITUTE(ROUND((475)-3.96,1),",",".")&amp;"' width='7.92' height='7.92' fill='#6699CC' stroke='#2A3439' stroke-width='1.3'/&gt;",IF(N65="Resultado","&lt;path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Z65" s="58" t="n">
        <v>26</v>
      </c>
      <c r="AA65" s="58">
        <f>IF(AND($AA$4=1,Z65&lt;=nVariables),1,0)</f>
        <v/>
      </c>
      <c r="AB65" s="58">
        <f>IF(AA65=1,'M2'!$F35,"")</f>
        <v/>
      </c>
      <c r="AC65" s="58">
        <f>IF(AA65=1,'M2'!$E35,"")</f>
        <v/>
      </c>
      <c r="AD65" s="58">
        <f>IF(AA65=1,90+AB65*$AA$22,"")</f>
        <v/>
      </c>
      <c r="AE65" s="58">
        <f>IF(AA65=1,574-AC65*$AA$23,"")</f>
        <v/>
      </c>
      <c r="AF65" s="58">
        <f>IF(AA65=1,'M2'!$I35,"")</f>
        <v/>
      </c>
      <c r="AG65" s="58">
        <f>IF(AA65=1,IF(AF65="Motriz","#2A3439",IF(AF65="Enlace","#6699CC",IF(AF65="Resultado","#FFFFFF","#F5F5F5"))),"")</f>
        <v/>
      </c>
      <c r="AH65" s="58">
        <f>IF(AA65=1,IF(SUMPRODUCT((AB$39:AB64=AB65)*(AC$39:AC64=AC65))=0,1,0),0)</f>
        <v/>
      </c>
      <c r="AI65" s="58">
        <f>IF(AH65=1,26&amp;IF(AND(AB66=AB65,AC66=AC65),","&amp;27,"")&amp;IF(AND(AB67=AB65,AC67=AC65),","&amp;28,"")&amp;IF(AND(AB68=AB65,AC68=AC65),","&amp;29,"")&amp;IF(AND(AB69=AB65,AC69=AC65),","&amp;30,"")&amp;IF(AND(AB70=AB65,AC70=AC65),","&amp;31,"")&amp;IF(AND(AB71=AB65,AC71=AC65),","&amp;32,"")&amp;IF(AND(AB72=AB65,AC72=AC65),","&amp;33,"")&amp;IF(AND(AB73=AB65,AC73=AC65),","&amp;34,"")&amp;IF(AND(AB74=AB65,AC74=AC65),","&amp;35,"")&amp;IF(AND(AB75=AB65,AC75=AC65),","&amp;36,"")&amp;IF(AND(AB76=AB65,AC76=AC65),","&amp;37,"")&amp;IF(AND(AB77=AB65,AC77=AC65),","&amp;38,"")&amp;IF(AND(AB78=AB65,AC78=AC65),","&amp;39,"")&amp;IF(AND(AB79=AB65,AC79=AC65),","&amp;40,""),"")</f>
        <v/>
      </c>
      <c r="AJ65" s="58">
        <f>IF(AH65=1,IF(AF65="Motriz","&lt;circle cx='"&amp;SUBSTITUTE(ROUND(AD65,1),",",".")&amp;"' cy='"&amp;SUBSTITUTE(ROUND(AE65,1),",",".")&amp;"' r='6' fill='#2A3439' stroke='#2A3439' stroke-width='1.3'/&gt;",IF(AF65="Enlace","&lt;rect x='"&amp;SUBSTITUTE(ROUND((AD65)-5.52,1),",",".")&amp;"' y='"&amp;SUBSTITUTE(ROUND((AE65)-5.52,1),",",".")&amp;"' width='11.04' height='11.04' fill='#6699CC' stroke='#2A3439' stroke-width='1.3'/&gt;",IF(AF65="Resultado","&lt;path d='M"&amp;SUBSTITUTE(ROUND(AD65,1),",",".")&amp;" "&amp;SUBSTITUTE(ROUND((AE65)-6.9,1),",",".")&amp;"L"&amp;SUBSTITUTE(ROUND((AD65)+6.3,1),",",".")&amp;" "&amp;SUBSTITUTE(ROUND((AE65)+5.1,1),",",".")&amp;"L"&amp;SUBSTITUTE(ROUND((AD65)-6.3,1),",",".")&amp;" "&amp;SUBSTITUTE(ROUND((AE65)+5.1,1),",",".")&amp;"Z' fill='#FFFFFF' stroke='#2A3439' stroke-width='1.3'/&gt;","&lt;path d='M"&amp;SUBSTITUTE(ROUND(AD65,1),",",".")&amp;" "&amp;SUBSTITUTE(ROUND((AE65)-7.5,1),",",".")&amp;"L"&amp;SUBSTITUTE(ROUND((AD65)+7.5,1),",",".")&amp;" "&amp;SUBSTITUTE(ROUND(AE65,1),",",".")&amp;"L"&amp;SUBSTITUTE(ROUND(AD65,1),",",".")&amp;" "&amp;SUBSTITUTE(ROUND((AE65)+7.5,1),",",".")&amp;"L"&amp;SUBSTITUTE(ROUND((AD65)-7.5,1),",",".")&amp;" "&amp;SUBSTITUTE(ROUND(AE65,1),",",".")&amp;"Z' fill='#F5F5F5' stroke='#2A3439' stroke-width='1.3'/&gt;")))&amp;"&lt;text x='"&amp;SUBSTITUTE(ROUND(AD65+9,1),",",".")&amp;"' y='"&amp;SUBSTITUTE(ROUND(AE65-8,1),",",".")&amp;"'&gt;"&amp;AI65&amp;"&lt;/text&gt;","")</f>
        <v/>
      </c>
      <c r="AK65" s="58">
        <f>IF(AA65=1,IF(AF65="Motriz","&lt;circle cx='"&amp;SUBSTITUTE(ROUND(728,1),",",".")&amp;"' cy='"&amp;SUBSTITUTE(ROUND(475,1),",",".")&amp;"' r='4.3' fill='#2A3439' stroke='#2A3439' stroke-width='1.3'/&gt;",IF(AF65="Enlace","&lt;rect x='"&amp;SUBSTITUTE(ROUND((728)-3.96,1),",",".")&amp;"' y='"&amp;SUBSTITUTE(ROUND((475)-3.96,1),",",".")&amp;"' width='7.92' height='7.92' fill='#6699CC' stroke='#2A3439' stroke-width='1.3'/&gt;",IF(AF65="Resultado","&lt;path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AR65" s="58" t="n">
        <v>26</v>
      </c>
      <c r="AS65" s="58">
        <f>IF(AND($AS$4=1,AR65&lt;=nVariables),1,0)</f>
        <v/>
      </c>
      <c r="AT65" s="58">
        <f>IF(AS65=1,'M3'!$F35,"")</f>
        <v/>
      </c>
      <c r="AU65" s="58">
        <f>IF(AS65=1,'M3'!$E35,"")</f>
        <v/>
      </c>
      <c r="AV65" s="58">
        <f>IF(AS65=1,90+AT65*$AS$22,"")</f>
        <v/>
      </c>
      <c r="AW65" s="58">
        <f>IF(AS65=1,574-AU65*$AS$23,"")</f>
        <v/>
      </c>
      <c r="AX65" s="58">
        <f>IF(AS65=1,'M3'!$I35,"")</f>
        <v/>
      </c>
      <c r="AY65" s="58">
        <f>IF(AS65=1,IF(AX65="Motriz","#2A3439",IF(AX65="Enlace","#6699CC",IF(AX65="Resultado","#FFFFFF","#F5F5F5"))),"")</f>
        <v/>
      </c>
      <c r="AZ65" s="58">
        <f>IF(AS65=1,IF(SUMPRODUCT((AT$39:AT64=AT65)*(AU$39:AU64=AU65))=0,1,0),0)</f>
        <v/>
      </c>
      <c r="BA65" s="58">
        <f>IF(AZ65=1,26&amp;IF(AND(AT66=AT65,AU66=AU65),","&amp;27,"")&amp;IF(AND(AT67=AT65,AU67=AU65),","&amp;28,"")&amp;IF(AND(AT68=AT65,AU68=AU65),","&amp;29,"")&amp;IF(AND(AT69=AT65,AU69=AU65),","&amp;30,"")&amp;IF(AND(AT70=AT65,AU70=AU65),","&amp;31,"")&amp;IF(AND(AT71=AT65,AU71=AU65),","&amp;32,"")&amp;IF(AND(AT72=AT65,AU72=AU65),","&amp;33,"")&amp;IF(AND(AT73=AT65,AU73=AU65),","&amp;34,"")&amp;IF(AND(AT74=AT65,AU74=AU65),","&amp;35,"")&amp;IF(AND(AT75=AT65,AU75=AU65),","&amp;36,"")&amp;IF(AND(AT76=AT65,AU76=AU65),","&amp;37,"")&amp;IF(AND(AT77=AT65,AU77=AU65),","&amp;38,"")&amp;IF(AND(AT78=AT65,AU78=AU65),","&amp;39,"")&amp;IF(AND(AT79=AT65,AU79=AU65),","&amp;40,""),"")</f>
        <v/>
      </c>
      <c r="BB65" s="58">
        <f>IF(AZ65=1,IF(AX65="Motriz","&lt;circle cx='"&amp;SUBSTITUTE(ROUND(AV65,1),",",".")&amp;"' cy='"&amp;SUBSTITUTE(ROUND(AW65,1),",",".")&amp;"' r='6' fill='#2A3439' stroke='#2A3439' stroke-width='1.3'/&gt;",IF(AX65="Enlace","&lt;rect x='"&amp;SUBSTITUTE(ROUND((AV65)-5.52,1),",",".")&amp;"' y='"&amp;SUBSTITUTE(ROUND((AW65)-5.52,1),",",".")&amp;"' width='11.04' height='11.04' fill='#6699CC' stroke='#2A3439' stroke-width='1.3'/&gt;",IF(AX65="Resultado","&lt;path d='M"&amp;SUBSTITUTE(ROUND(AV65,1),",",".")&amp;" "&amp;SUBSTITUTE(ROUND((AW65)-6.9,1),",",".")&amp;"L"&amp;SUBSTITUTE(ROUND((AV65)+6.3,1),",",".")&amp;" "&amp;SUBSTITUTE(ROUND((AW65)+5.1,1),",",".")&amp;"L"&amp;SUBSTITUTE(ROUND((AV65)-6.3,1),",",".")&amp;" "&amp;SUBSTITUTE(ROUND((AW65)+5.1,1),",",".")&amp;"Z' fill='#FFFFFF' stroke='#2A3439' stroke-width='1.3'/&gt;","&lt;path d='M"&amp;SUBSTITUTE(ROUND(AV65,1),",",".")&amp;" "&amp;SUBSTITUTE(ROUND((AW65)-7.5,1),",",".")&amp;"L"&amp;SUBSTITUTE(ROUND((AV65)+7.5,1),",",".")&amp;" "&amp;SUBSTITUTE(ROUND(AW65,1),",",".")&amp;"L"&amp;SUBSTITUTE(ROUND(AV65,1),",",".")&amp;" "&amp;SUBSTITUTE(ROUND((AW65)+7.5,1),",",".")&amp;"L"&amp;SUBSTITUTE(ROUND((AV65)-7.5,1),",",".")&amp;" "&amp;SUBSTITUTE(ROUND(AW65,1),",",".")&amp;"Z' fill='#F5F5F5' stroke='#2A3439' stroke-width='1.3'/&gt;")))&amp;"&lt;text x='"&amp;SUBSTITUTE(ROUND(AV65+9,1),",",".")&amp;"' y='"&amp;SUBSTITUTE(ROUND(AW65-8,1),",",".")&amp;"'&gt;"&amp;BA65&amp;"&lt;/text&gt;","")</f>
        <v/>
      </c>
      <c r="BC65" s="58">
        <f>IF(AS65=1,IF(AX65="Motriz","&lt;circle cx='"&amp;SUBSTITUTE(ROUND(728,1),",",".")&amp;"' cy='"&amp;SUBSTITUTE(ROUND(475,1),",",".")&amp;"' r='4.3' fill='#2A3439' stroke='#2A3439' stroke-width='1.3'/&gt;",IF(AX65="Enlace","&lt;rect x='"&amp;SUBSTITUTE(ROUND((728)-3.96,1),",",".")&amp;"' y='"&amp;SUBSTITUTE(ROUND((475)-3.96,1),",",".")&amp;"' width='7.92' height='7.92' fill='#6699CC' stroke='#2A3439' stroke-width='1.3'/&gt;",IF(AX65="Resultado","&lt;path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BJ65" s="58" t="n">
        <v>26</v>
      </c>
      <c r="BK65" s="58">
        <f>IF(AND($BK$4=1,BJ65&lt;=nVariables),1,0)</f>
        <v/>
      </c>
      <c r="BL65" s="58">
        <f>IF(BK65=1,'M4'!$F35,"")</f>
        <v/>
      </c>
      <c r="BM65" s="58">
        <f>IF(BK65=1,'M4'!$E35,"")</f>
        <v/>
      </c>
      <c r="BN65" s="58">
        <f>IF(BK65=1,90+BL65*$BK$22,"")</f>
        <v/>
      </c>
      <c r="BO65" s="58">
        <f>IF(BK65=1,574-BM65*$BK$23,"")</f>
        <v/>
      </c>
      <c r="BP65" s="58">
        <f>IF(BK65=1,'M4'!$I35,"")</f>
        <v/>
      </c>
      <c r="BQ65" s="58">
        <f>IF(BK65=1,IF(BP65="Motriz","#2A3439",IF(BP65="Enlace","#6699CC",IF(BP65="Resultado","#FFFFFF","#F5F5F5"))),"")</f>
        <v/>
      </c>
      <c r="BR65" s="58">
        <f>IF(BK65=1,IF(SUMPRODUCT((BL$39:BL64=BL65)*(BM$39:BM64=BM65))=0,1,0),0)</f>
        <v/>
      </c>
      <c r="BS65" s="58">
        <f>IF(BR65=1,26&amp;IF(AND(BL66=BL65,BM66=BM65),","&amp;27,"")&amp;IF(AND(BL67=BL65,BM67=BM65),","&amp;28,"")&amp;IF(AND(BL68=BL65,BM68=BM65),","&amp;29,"")&amp;IF(AND(BL69=BL65,BM69=BM65),","&amp;30,"")&amp;IF(AND(BL70=BL65,BM70=BM65),","&amp;31,"")&amp;IF(AND(BL71=BL65,BM71=BM65),","&amp;32,"")&amp;IF(AND(BL72=BL65,BM72=BM65),","&amp;33,"")&amp;IF(AND(BL73=BL65,BM73=BM65),","&amp;34,"")&amp;IF(AND(BL74=BL65,BM74=BM65),","&amp;35,"")&amp;IF(AND(BL75=BL65,BM75=BM65),","&amp;36,"")&amp;IF(AND(BL76=BL65,BM76=BM65),","&amp;37,"")&amp;IF(AND(BL77=BL65,BM77=BM65),","&amp;38,"")&amp;IF(AND(BL78=BL65,BM78=BM65),","&amp;39,"")&amp;IF(AND(BL79=BL65,BM79=BM65),","&amp;40,""),"")</f>
        <v/>
      </c>
      <c r="BT65" s="58">
        <f>IF(BR65=1,IF(BP65="Motriz","&lt;circle cx='"&amp;SUBSTITUTE(ROUND(BN65,1),",",".")&amp;"' cy='"&amp;SUBSTITUTE(ROUND(BO65,1),",",".")&amp;"' r='6' fill='#2A3439' stroke='#2A3439' stroke-width='1.3'/&gt;",IF(BP65="Enlace","&lt;rect x='"&amp;SUBSTITUTE(ROUND((BN65)-5.52,1),",",".")&amp;"' y='"&amp;SUBSTITUTE(ROUND((BO65)-5.52,1),",",".")&amp;"' width='11.04' height='11.04' fill='#6699CC' stroke='#2A3439' stroke-width='1.3'/&gt;",IF(BP65="Resultado","&lt;path d='M"&amp;SUBSTITUTE(ROUND(BN65,1),",",".")&amp;" "&amp;SUBSTITUTE(ROUND((BO65)-6.9,1),",",".")&amp;"L"&amp;SUBSTITUTE(ROUND((BN65)+6.3,1),",",".")&amp;" "&amp;SUBSTITUTE(ROUND((BO65)+5.1,1),",",".")&amp;"L"&amp;SUBSTITUTE(ROUND((BN65)-6.3,1),",",".")&amp;" "&amp;SUBSTITUTE(ROUND((BO65)+5.1,1),",",".")&amp;"Z' fill='#FFFFFF' stroke='#2A3439' stroke-width='1.3'/&gt;","&lt;path d='M"&amp;SUBSTITUTE(ROUND(BN65,1),",",".")&amp;" "&amp;SUBSTITUTE(ROUND((BO65)-7.5,1),",",".")&amp;"L"&amp;SUBSTITUTE(ROUND((BN65)+7.5,1),",",".")&amp;" "&amp;SUBSTITUTE(ROUND(BO65,1),",",".")&amp;"L"&amp;SUBSTITUTE(ROUND(BN65,1),",",".")&amp;" "&amp;SUBSTITUTE(ROUND((BO65)+7.5,1),",",".")&amp;"L"&amp;SUBSTITUTE(ROUND((BN65)-7.5,1),",",".")&amp;" "&amp;SUBSTITUTE(ROUND(BO65,1),",",".")&amp;"Z' fill='#F5F5F5' stroke='#2A3439' stroke-width='1.3'/&gt;")))&amp;"&lt;text x='"&amp;SUBSTITUTE(ROUND(BN65+9,1),",",".")&amp;"' y='"&amp;SUBSTITUTE(ROUND(BO65-8,1),",",".")&amp;"'&gt;"&amp;BS65&amp;"&lt;/text&gt;","")</f>
        <v/>
      </c>
      <c r="BU65" s="58">
        <f>IF(BK65=1,IF(BP65="Motriz","&lt;circle cx='"&amp;SUBSTITUTE(ROUND(728,1),",",".")&amp;"' cy='"&amp;SUBSTITUTE(ROUND(475,1),",",".")&amp;"' r='4.3' fill='#2A3439' stroke='#2A3439' stroke-width='1.3'/&gt;",IF(BP65="Enlace","&lt;rect x='"&amp;SUBSTITUTE(ROUND((728)-3.96,1),",",".")&amp;"' y='"&amp;SUBSTITUTE(ROUND((475)-3.96,1),",",".")&amp;"' width='7.92' height='7.92' fill='#6699CC' stroke='#2A3439' stroke-width='1.3'/&gt;",IF(BP65="Resultado","&lt;path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CB65" s="58" t="n">
        <v>26</v>
      </c>
      <c r="CC65" s="58">
        <f>IF(AND($CC$4=1,CB65&lt;=nVariables),1,0)</f>
        <v/>
      </c>
      <c r="CD65" s="58">
        <f>IF(CC65=1,'M5'!$F35,"")</f>
        <v/>
      </c>
      <c r="CE65" s="58">
        <f>IF(CC65=1,'M5'!$E35,"")</f>
        <v/>
      </c>
      <c r="CF65" s="58">
        <f>IF(CC65=1,90+CD65*$CC$22,"")</f>
        <v/>
      </c>
      <c r="CG65" s="58">
        <f>IF(CC65=1,574-CE65*$CC$23,"")</f>
        <v/>
      </c>
      <c r="CH65" s="58">
        <f>IF(CC65=1,'M5'!$I35,"")</f>
        <v/>
      </c>
      <c r="CI65" s="58">
        <f>IF(CC65=1,IF(CH65="Motriz","#2A3439",IF(CH65="Enlace","#6699CC",IF(CH65="Resultado","#FFFFFF","#F5F5F5"))),"")</f>
        <v/>
      </c>
      <c r="CJ65" s="58">
        <f>IF(CC65=1,IF(SUMPRODUCT((CD$39:CD64=CD65)*(CE$39:CE64=CE65))=0,1,0),0)</f>
        <v/>
      </c>
      <c r="CK65" s="58">
        <f>IF(CJ65=1,26&amp;IF(AND(CD66=CD65,CE66=CE65),","&amp;27,"")&amp;IF(AND(CD67=CD65,CE67=CE65),","&amp;28,"")&amp;IF(AND(CD68=CD65,CE68=CE65),","&amp;29,"")&amp;IF(AND(CD69=CD65,CE69=CE65),","&amp;30,"")&amp;IF(AND(CD70=CD65,CE70=CE65),","&amp;31,"")&amp;IF(AND(CD71=CD65,CE71=CE65),","&amp;32,"")&amp;IF(AND(CD72=CD65,CE72=CE65),","&amp;33,"")&amp;IF(AND(CD73=CD65,CE73=CE65),","&amp;34,"")&amp;IF(AND(CD74=CD65,CE74=CE65),","&amp;35,"")&amp;IF(AND(CD75=CD65,CE75=CE65),","&amp;36,"")&amp;IF(AND(CD76=CD65,CE76=CE65),","&amp;37,"")&amp;IF(AND(CD77=CD65,CE77=CE65),","&amp;38,"")&amp;IF(AND(CD78=CD65,CE78=CE65),","&amp;39,"")&amp;IF(AND(CD79=CD65,CE79=CE65),","&amp;40,""),"")</f>
        <v/>
      </c>
      <c r="CL65" s="58">
        <f>IF(CJ65=1,IF(CH65="Motriz","&lt;circle cx='"&amp;SUBSTITUTE(ROUND(CF65,1),",",".")&amp;"' cy='"&amp;SUBSTITUTE(ROUND(CG65,1),",",".")&amp;"' r='6' fill='#2A3439' stroke='#2A3439' stroke-width='1.3'/&gt;",IF(CH65="Enlace","&lt;rect x='"&amp;SUBSTITUTE(ROUND((CF65)-5.52,1),",",".")&amp;"' y='"&amp;SUBSTITUTE(ROUND((CG65)-5.52,1),",",".")&amp;"' width='11.04' height='11.04' fill='#6699CC' stroke='#2A3439' stroke-width='1.3'/&gt;",IF(CH65="Resultado","&lt;path d='M"&amp;SUBSTITUTE(ROUND(CF65,1),",",".")&amp;" "&amp;SUBSTITUTE(ROUND((CG65)-6.9,1),",",".")&amp;"L"&amp;SUBSTITUTE(ROUND((CF65)+6.3,1),",",".")&amp;" "&amp;SUBSTITUTE(ROUND((CG65)+5.1,1),",",".")&amp;"L"&amp;SUBSTITUTE(ROUND((CF65)-6.3,1),",",".")&amp;" "&amp;SUBSTITUTE(ROUND((CG65)+5.1,1),",",".")&amp;"Z' fill='#FFFFFF' stroke='#2A3439' stroke-width='1.3'/&gt;","&lt;path d='M"&amp;SUBSTITUTE(ROUND(CF65,1),",",".")&amp;" "&amp;SUBSTITUTE(ROUND((CG65)-7.5,1),",",".")&amp;"L"&amp;SUBSTITUTE(ROUND((CF65)+7.5,1),",",".")&amp;" "&amp;SUBSTITUTE(ROUND(CG65,1),",",".")&amp;"L"&amp;SUBSTITUTE(ROUND(CF65,1),",",".")&amp;" "&amp;SUBSTITUTE(ROUND((CG65)+7.5,1),",",".")&amp;"L"&amp;SUBSTITUTE(ROUND((CF65)-7.5,1),",",".")&amp;" "&amp;SUBSTITUTE(ROUND(CG65,1),",",".")&amp;"Z' fill='#F5F5F5' stroke='#2A3439' stroke-width='1.3'/&gt;")))&amp;"&lt;text x='"&amp;SUBSTITUTE(ROUND(CF65+9,1),",",".")&amp;"' y='"&amp;SUBSTITUTE(ROUND(CG65-8,1),",",".")&amp;"'&gt;"&amp;CK65&amp;"&lt;/text&gt;","")</f>
        <v/>
      </c>
      <c r="CM65" s="58">
        <f>IF(CC65=1,IF(CH65="Motriz","&lt;circle cx='"&amp;SUBSTITUTE(ROUND(728,1),",",".")&amp;"' cy='"&amp;SUBSTITUTE(ROUND(475,1),",",".")&amp;"' r='4.3' fill='#2A3439' stroke='#2A3439' stroke-width='1.3'/&gt;",IF(CH65="Enlace","&lt;rect x='"&amp;SUBSTITUTE(ROUND((728)-3.96,1),",",".")&amp;"' y='"&amp;SUBSTITUTE(ROUND((475)-3.96,1),",",".")&amp;"' width='7.92' height='7.92' fill='#6699CC' stroke='#2A3439' stroke-width='1.3'/&gt;",IF(CH65="Resultado","&lt;path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CT65" s="58" t="n">
        <v>26</v>
      </c>
      <c r="CU65" s="58">
        <f>IF(AND($CU$4=1,CT65&lt;=nVariables),1,0)</f>
        <v/>
      </c>
      <c r="CV65" s="58">
        <f>IF(CU65=1,'M6'!$F35,"")</f>
        <v/>
      </c>
      <c r="CW65" s="58">
        <f>IF(CU65=1,'M6'!$E35,"")</f>
        <v/>
      </c>
      <c r="CX65" s="58">
        <f>IF(CU65=1,90+CV65*$CU$22,"")</f>
        <v/>
      </c>
      <c r="CY65" s="58">
        <f>IF(CU65=1,574-CW65*$CU$23,"")</f>
        <v/>
      </c>
      <c r="CZ65" s="58">
        <f>IF(CU65=1,'M6'!$I35,"")</f>
        <v/>
      </c>
      <c r="DA65" s="58">
        <f>IF(CU65=1,IF(CZ65="Motriz","#2A3439",IF(CZ65="Enlace","#6699CC",IF(CZ65="Resultado","#FFFFFF","#F5F5F5"))),"")</f>
        <v/>
      </c>
      <c r="DB65" s="58">
        <f>IF(CU65=1,IF(SUMPRODUCT((CV$39:CV64=CV65)*(CW$39:CW64=CW65))=0,1,0),0)</f>
        <v/>
      </c>
      <c r="DC65" s="58">
        <f>IF(DB65=1,26&amp;IF(AND(CV66=CV65,CW66=CW65),","&amp;27,"")&amp;IF(AND(CV67=CV65,CW67=CW65),","&amp;28,"")&amp;IF(AND(CV68=CV65,CW68=CW65),","&amp;29,"")&amp;IF(AND(CV69=CV65,CW69=CW65),","&amp;30,"")&amp;IF(AND(CV70=CV65,CW70=CW65),","&amp;31,"")&amp;IF(AND(CV71=CV65,CW71=CW65),","&amp;32,"")&amp;IF(AND(CV72=CV65,CW72=CW65),","&amp;33,"")&amp;IF(AND(CV73=CV65,CW73=CW65),","&amp;34,"")&amp;IF(AND(CV74=CV65,CW74=CW65),","&amp;35,"")&amp;IF(AND(CV75=CV65,CW75=CW65),","&amp;36,"")&amp;IF(AND(CV76=CV65,CW76=CW65),","&amp;37,"")&amp;IF(AND(CV77=CV65,CW77=CW65),","&amp;38,"")&amp;IF(AND(CV78=CV65,CW78=CW65),","&amp;39,"")&amp;IF(AND(CV79=CV65,CW79=CW65),","&amp;40,""),"")</f>
        <v/>
      </c>
      <c r="DD65" s="58">
        <f>IF(DB65=1,IF(CZ65="Motriz","&lt;circle cx='"&amp;SUBSTITUTE(ROUND(CX65,1),",",".")&amp;"' cy='"&amp;SUBSTITUTE(ROUND(CY65,1),",",".")&amp;"' r='6' fill='#2A3439' stroke='#2A3439' stroke-width='1.3'/&gt;",IF(CZ65="Enlace","&lt;rect x='"&amp;SUBSTITUTE(ROUND((CX65)-5.52,1),",",".")&amp;"' y='"&amp;SUBSTITUTE(ROUND((CY65)-5.52,1),",",".")&amp;"' width='11.04' height='11.04' fill='#6699CC' stroke='#2A3439' stroke-width='1.3'/&gt;",IF(CZ65="Resultado","&lt;path d='M"&amp;SUBSTITUTE(ROUND(CX65,1),",",".")&amp;" "&amp;SUBSTITUTE(ROUND((CY65)-6.9,1),",",".")&amp;"L"&amp;SUBSTITUTE(ROUND((CX65)+6.3,1),",",".")&amp;" "&amp;SUBSTITUTE(ROUND((CY65)+5.1,1),",",".")&amp;"L"&amp;SUBSTITUTE(ROUND((CX65)-6.3,1),",",".")&amp;" "&amp;SUBSTITUTE(ROUND((CY65)+5.1,1),",",".")&amp;"Z' fill='#FFFFFF' stroke='#2A3439' stroke-width='1.3'/&gt;","&lt;path d='M"&amp;SUBSTITUTE(ROUND(CX65,1),",",".")&amp;" "&amp;SUBSTITUTE(ROUND((CY65)-7.5,1),",",".")&amp;"L"&amp;SUBSTITUTE(ROUND((CX65)+7.5,1),",",".")&amp;" "&amp;SUBSTITUTE(ROUND(CY65,1),",",".")&amp;"L"&amp;SUBSTITUTE(ROUND(CX65,1),",",".")&amp;" "&amp;SUBSTITUTE(ROUND((CY65)+7.5,1),",",".")&amp;"L"&amp;SUBSTITUTE(ROUND((CX65)-7.5,1),",",".")&amp;" "&amp;SUBSTITUTE(ROUND(CY65,1),",",".")&amp;"Z' fill='#F5F5F5' stroke='#2A3439' stroke-width='1.3'/&gt;")))&amp;"&lt;text x='"&amp;SUBSTITUTE(ROUND(CX65+9,1),",",".")&amp;"' y='"&amp;SUBSTITUTE(ROUND(CY65-8,1),",",".")&amp;"'&gt;"&amp;DC65&amp;"&lt;/text&gt;","")</f>
        <v/>
      </c>
      <c r="DE65" s="58">
        <f>IF(CU65=1,IF(CZ65="Motriz","&lt;circle cx='"&amp;SUBSTITUTE(ROUND(728,1),",",".")&amp;"' cy='"&amp;SUBSTITUTE(ROUND(475,1),",",".")&amp;"' r='4.3' fill='#2A3439' stroke='#2A3439' stroke-width='1.3'/&gt;",IF(CZ65="Enlace","&lt;rect x='"&amp;SUBSTITUTE(ROUND((728)-3.96,1),",",".")&amp;"' y='"&amp;SUBSTITUTE(ROUND((475)-3.96,1),",",".")&amp;"' width='7.92' height='7.92' fill='#6699CC' stroke='#2A3439' stroke-width='1.3'/&gt;",IF(CZ65="Resultado","&lt;path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DL65" s="58" t="n">
        <v>14</v>
      </c>
      <c r="DM65" s="58">
        <f>IF(AND($DM$4=1,DL65&lt;=nVariables),IF('M6'!$I23="Resultado","E",IF('M6'!$I23="Enlace","L",IF('M6'!$I23="Motriz","R",IF('M6'!$I23="Autónoma","A","")))),"")</f>
        <v/>
      </c>
      <c r="DN65" s="58">
        <f>IF(DM65&lt;&gt;"",COUNTIF($DM$52:DM65,DM65),"")</f>
        <v/>
      </c>
      <c r="DO65" s="58">
        <f>IF(DM65&lt;&gt;"",SUBSTITUTE(SUBSTITUTE(SUBSTITUTE(SUBSTITUTE(SUBSTITUTE(SUBSTITUTE(SUBSTITUTE(TRIM(CLEAN(IF(LEN(14&amp;" · "&amp;$D53)&gt;30,LEFT(14&amp;" · "&amp;$D53,29)&amp;"…",14&amp;" · "&amp;$D53))),"&amp;","&amp;amp;"),"&lt;","&amp;lt;"),"&gt;","&amp;gt;"),CHAR(34),"&amp;quot;"),CHAR(10)," "),CHAR(9)," "),CHAR(13)," "),"")</f>
        <v/>
      </c>
      <c r="DP65" s="58">
        <f>IF(DM65&lt;&gt;"",IF($E53&lt;&gt;"",$E53,IF(DM65="E","(efecto · indicador de resultado)",IF(DM65="L","(causa directa · riesgo)",IF(DM65="R","CAUSA RAÍZ · componente del proyecto","(fuera del alcance)")))),"")</f>
        <v/>
      </c>
      <c r="DQ65" s="58">
        <f>IF(DM65&lt;&gt;"",IF(LEN(DP65)&gt;74,LEFT(DP65,73)&amp;"…",DP65),"")</f>
        <v/>
      </c>
      <c r="DR65" s="58">
        <f>IF(DM65&lt;&gt;"",IF(LEN(DQ65)&lt;=37,LEN(DQ65)+1,IFERROR(FIND("~",SUBSTITUTE(LEFT(DQ65,38)," ","~",LEN(LEFT(DQ65,38))-LEN(SUBSTITUTE(LEFT(DQ65,38)," ","")))),38)),"")</f>
        <v/>
      </c>
      <c r="DS65" s="58">
        <f>IF(DM65&lt;&gt;"",SUBSTITUTE(SUBSTITUTE(SUBSTITUTE(SUBSTITUTE(SUBSTITUTE(SUBSTITUTE(SUBSTITUTE(TRIM(CLEAN(TRIM(LEFT(DQ65,DR65-1)))),"&amp;","&amp;amp;"),"&lt;","&amp;lt;"),"&gt;","&amp;gt;"),CHAR(34),"&amp;quot;"),CHAR(10)," "),CHAR(9)," "),CHAR(13)," "),"")</f>
        <v/>
      </c>
      <c r="DT65" s="58">
        <f>IF(DM65&lt;&gt;"",SUBSTITUTE(SUBSTITUTE(SUBSTITUTE(SUBSTITUTE(SUBSTITUTE(SUBSTITUTE(SUBSTITUTE(TRIM(CLEAN(IF(LEN(TRIM(MID(DQ65,DR65,80)))&gt;37,LEFT(TRIM(MID(DQ65,DR65,80)),36)&amp;"…",TRIM(MID(DQ65,DR65,80))))),"&amp;","&amp;amp;"),"&lt;","&amp;lt;"),"&gt;","&amp;gt;"),CHAR(34),"&amp;quot;"),CHAR(10)," "),CHAR(9)," "),CHAR(13)," "),"")</f>
        <v/>
      </c>
      <c r="DU65" s="58">
        <f>IF(DM65&lt;&gt;"",(1200-(MIN(5,IF(DM65="E",$DM$5,IF(DM65="L",$DM$8,IF(DM65="R",$DM$11,$DM$14)))-INT((DN65-1)/5)*5)*216+(MIN(5,IF(DM65="E",$DM$5,IF(DM65="L",$DM$8,IF(DM65="R",$DM$11,$DM$14)))-INT((DN65-1)/5)*5)-1)*14))/2+MOD(DN65-1,5)*(216+14),"")</f>
        <v/>
      </c>
      <c r="DV65" s="58">
        <f>IF(DM65&lt;&gt;"",IF(DM65="E",$DM$17,IF(DM65="L",$DM$21,IF(DM65="R",$DM$23,$DM$25)))+24+INT((DN65-1)/5)*(64+12),"")</f>
        <v/>
      </c>
      <c r="DW65" s="58">
        <f>IF(DM65&lt;&gt;"","&lt;rect x='"&amp;SUBSTITUTE(ROUND(DU65,1),",",".")&amp;"' y='"&amp;SUBSTITUTE(ROUND(DV65,1),",",".")&amp;"' width='216' height='64' rx='9' fill='"&amp;IF(DM65="E","#B9D9EB",IF(DM65="L","#9EB9D4",IF(DM65="R","#6699CC","#F5F5F5")))&amp;"' stroke='#2A3439' stroke-width='1'"&amp;IF(DM65="A"," stroke-dasharray='5 3'","")&amp;"/&gt;"&amp;"&lt;text x='"&amp;SUBSTITUTE(ROUND((DU65+108),1),",",".")&amp;"' y='"&amp;SUBSTITUTE(ROUND(DV65+20,1),",",".")&amp;"' font-size='12' font-weight='bold'&gt;"&amp;DO65&amp;"&lt;/text&gt;"&amp;"&lt;text x='"&amp;SUBSTITUTE(ROUND((DU65+108),1),",",".")&amp;"' y='"&amp;SUBSTITUTE(ROUND(DV65+38,1),",",".")&amp;"' font-size='10'&gt;"&amp;DS65&amp;"&lt;/text&gt;"&amp;"&lt;text x='"&amp;SUBSTITUTE(ROUND((DU65+108),1),",",".")&amp;"' y='"&amp;SUBSTITUTE(ROUND(DV65+53,1),",",".")&amp;"' font-size='10'&gt;"&amp;DT65&amp;"&lt;/text&gt;","")</f>
        <v/>
      </c>
    </row>
    <row r="66">
      <c r="A66" s="58" t="n">
        <v>27</v>
      </c>
      <c r="B66" s="58">
        <f>IF($A66&lt;=nVariables,SUBSTITUTE(SUBSTITUTE(SUBSTITUTE(SUBSTITUTE(SUBSTITUTE(SUBSTITUTE(SUBSTITUTE(TRIM(CLEAN(IF(LEN(TRIM(M!$B36))&gt;46,LEFT(TRIM(M!$B36),45)&amp;"…",TRIM(M!$B36)))),"&amp;","&amp;amp;"),"&lt;","&amp;lt;"),"&gt;","&amp;gt;"),CHAR(34),"&amp;quot;"),CHAR(10)," "),CHAR(9)," "),CHAR(13)," "),"")</f>
        <v/>
      </c>
      <c r="C66" s="58">
        <f>IF($A66&lt;=nVariables,$A66&amp;". "&amp;B66,"")</f>
        <v/>
      </c>
      <c r="D66" s="58">
        <f>IF($A66&lt;=nVariables,IF(TRIM(M!$C36)&lt;&gt;"",TRIM(M!$C36),IF(LEN(TRIM(M!$B36))&gt;24,LEFT(TRIM(M!$B36),23)&amp;"…",TRIM(M!$B36))),"")</f>
        <v/>
      </c>
      <c r="E66" s="58">
        <f>IF($A66&lt;=nVariables,TRIM('Árbol de Problemas'!$F45),"")</f>
        <v/>
      </c>
      <c r="H66" s="58" t="n">
        <v>27</v>
      </c>
      <c r="I66" s="58">
        <f>IF(AND($I$4=1,H66&lt;=nVariables),1,0)</f>
        <v/>
      </c>
      <c r="J66" s="58">
        <f>IF(I66=1,'M1'!$F36,"")</f>
        <v/>
      </c>
      <c r="K66" s="58">
        <f>IF(I66=1,'M1'!$E36,"")</f>
        <v/>
      </c>
      <c r="L66" s="58">
        <f>IF(I66=1,90+J66*$I$22,"")</f>
        <v/>
      </c>
      <c r="M66" s="58">
        <f>IF(I66=1,574-K66*$I$23,"")</f>
        <v/>
      </c>
      <c r="N66" s="58">
        <f>IF(I66=1,'M1'!$I36,"")</f>
        <v/>
      </c>
      <c r="O66" s="58">
        <f>IF(I66=1,IF(N66="Motriz","#2A3439",IF(N66="Enlace","#6699CC",IF(N66="Resultado","#FFFFFF","#F5F5F5"))),"")</f>
        <v/>
      </c>
      <c r="P66" s="58">
        <f>IF(I66=1,IF(SUMPRODUCT((J$39:J65=J66)*(K$39:K65=K66))=0,1,0),0)</f>
        <v/>
      </c>
      <c r="Q66" s="58">
        <f>IF(P66=1,27&amp;IF(AND(J67=J66,K67=K66),","&amp;28,"")&amp;IF(AND(J68=J66,K68=K66),","&amp;29,"")&amp;IF(AND(J69=J66,K69=K66),","&amp;30,"")&amp;IF(AND(J70=J66,K70=K66),","&amp;31,"")&amp;IF(AND(J71=J66,K71=K66),","&amp;32,"")&amp;IF(AND(J72=J66,K72=K66),","&amp;33,"")&amp;IF(AND(J73=J66,K73=K66),","&amp;34,"")&amp;IF(AND(J74=J66,K74=K66),","&amp;35,"")&amp;IF(AND(J75=J66,K75=K66),","&amp;36,"")&amp;IF(AND(J76=J66,K76=K66),","&amp;37,"")&amp;IF(AND(J77=J66,K77=K66),","&amp;38,"")&amp;IF(AND(J78=J66,K78=K66),","&amp;39,"")&amp;IF(AND(J79=J66,K79=K66),","&amp;40,""),"")</f>
        <v/>
      </c>
      <c r="R66" s="58">
        <f>IF(P66=1,IF(N66="Motriz","&lt;circle cx='"&amp;SUBSTITUTE(ROUND(L66,1),",",".")&amp;"' cy='"&amp;SUBSTITUTE(ROUND(M66,1),",",".")&amp;"' r='6' fill='#2A3439' stroke='#2A3439' stroke-width='1.3'/&gt;",IF(N66="Enlace","&lt;rect x='"&amp;SUBSTITUTE(ROUND((L66)-5.52,1),",",".")&amp;"' y='"&amp;SUBSTITUTE(ROUND((M66)-5.52,1),",",".")&amp;"' width='11.04' height='11.04' fill='#6699CC' stroke='#2A3439' stroke-width='1.3'/&gt;",IF(N66="Resultado","&lt;path d='M"&amp;SUBSTITUTE(ROUND(L66,1),",",".")&amp;" "&amp;SUBSTITUTE(ROUND((M66)-6.9,1),",",".")&amp;"L"&amp;SUBSTITUTE(ROUND((L66)+6.3,1),",",".")&amp;" "&amp;SUBSTITUTE(ROUND((M66)+5.1,1),",",".")&amp;"L"&amp;SUBSTITUTE(ROUND((L66)-6.3,1),",",".")&amp;" "&amp;SUBSTITUTE(ROUND((M66)+5.1,1),",",".")&amp;"Z' fill='#FFFFFF' stroke='#2A3439' stroke-width='1.3'/&gt;","&lt;path d='M"&amp;SUBSTITUTE(ROUND(L66,1),",",".")&amp;" "&amp;SUBSTITUTE(ROUND((M66)-7.5,1),",",".")&amp;"L"&amp;SUBSTITUTE(ROUND((L66)+7.5,1),",",".")&amp;" "&amp;SUBSTITUTE(ROUND(M66,1),",",".")&amp;"L"&amp;SUBSTITUTE(ROUND(L66,1),",",".")&amp;" "&amp;SUBSTITUTE(ROUND((M66)+7.5,1),",",".")&amp;"L"&amp;SUBSTITUTE(ROUND((L66)-7.5,1),",",".")&amp;" "&amp;SUBSTITUTE(ROUND(M66,1),",",".")&amp;"Z' fill='#F5F5F5' stroke='#2A3439' stroke-width='1.3'/&gt;")))&amp;"&lt;text x='"&amp;SUBSTITUTE(ROUND(L66+9,1),",",".")&amp;"' y='"&amp;SUBSTITUTE(ROUND(M66-8,1),",",".")&amp;"'&gt;"&amp;Q66&amp;"&lt;/text&gt;","")</f>
        <v/>
      </c>
      <c r="S66" s="58">
        <f>IF(I66=1,IF(N66="Motriz","&lt;circle cx='"&amp;SUBSTITUTE(ROUND(728,1),",",".")&amp;"' cy='"&amp;SUBSTITUTE(ROUND(489.2,1),",",".")&amp;"' r='4.3' fill='#2A3439' stroke='#2A3439' stroke-width='1.3'/&gt;",IF(N66="Enlace","&lt;rect x='"&amp;SUBSTITUTE(ROUND((728)-3.96,1),",",".")&amp;"' y='"&amp;SUBSTITUTE(ROUND((489.2)-3.96,1),",",".")&amp;"' width='7.92' height='7.92' fill='#6699CC' stroke='#2A3439' stroke-width='1.3'/&gt;",IF(N66="Resultado","&lt;path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Z66" s="58" t="n">
        <v>27</v>
      </c>
      <c r="AA66" s="58">
        <f>IF(AND($AA$4=1,Z66&lt;=nVariables),1,0)</f>
        <v/>
      </c>
      <c r="AB66" s="58">
        <f>IF(AA66=1,'M2'!$F36,"")</f>
        <v/>
      </c>
      <c r="AC66" s="58">
        <f>IF(AA66=1,'M2'!$E36,"")</f>
        <v/>
      </c>
      <c r="AD66" s="58">
        <f>IF(AA66=1,90+AB66*$AA$22,"")</f>
        <v/>
      </c>
      <c r="AE66" s="58">
        <f>IF(AA66=1,574-AC66*$AA$23,"")</f>
        <v/>
      </c>
      <c r="AF66" s="58">
        <f>IF(AA66=1,'M2'!$I36,"")</f>
        <v/>
      </c>
      <c r="AG66" s="58">
        <f>IF(AA66=1,IF(AF66="Motriz","#2A3439",IF(AF66="Enlace","#6699CC",IF(AF66="Resultado","#FFFFFF","#F5F5F5"))),"")</f>
        <v/>
      </c>
      <c r="AH66" s="58">
        <f>IF(AA66=1,IF(SUMPRODUCT((AB$39:AB65=AB66)*(AC$39:AC65=AC66))=0,1,0),0)</f>
        <v/>
      </c>
      <c r="AI66" s="58">
        <f>IF(AH66=1,27&amp;IF(AND(AB67=AB66,AC67=AC66),","&amp;28,"")&amp;IF(AND(AB68=AB66,AC68=AC66),","&amp;29,"")&amp;IF(AND(AB69=AB66,AC69=AC66),","&amp;30,"")&amp;IF(AND(AB70=AB66,AC70=AC66),","&amp;31,"")&amp;IF(AND(AB71=AB66,AC71=AC66),","&amp;32,"")&amp;IF(AND(AB72=AB66,AC72=AC66),","&amp;33,"")&amp;IF(AND(AB73=AB66,AC73=AC66),","&amp;34,"")&amp;IF(AND(AB74=AB66,AC74=AC66),","&amp;35,"")&amp;IF(AND(AB75=AB66,AC75=AC66),","&amp;36,"")&amp;IF(AND(AB76=AB66,AC76=AC66),","&amp;37,"")&amp;IF(AND(AB77=AB66,AC77=AC66),","&amp;38,"")&amp;IF(AND(AB78=AB66,AC78=AC66),","&amp;39,"")&amp;IF(AND(AB79=AB66,AC79=AC66),","&amp;40,""),"")</f>
        <v/>
      </c>
      <c r="AJ66" s="58">
        <f>IF(AH66=1,IF(AF66="Motriz","&lt;circle cx='"&amp;SUBSTITUTE(ROUND(AD66,1),",",".")&amp;"' cy='"&amp;SUBSTITUTE(ROUND(AE66,1),",",".")&amp;"' r='6' fill='#2A3439' stroke='#2A3439' stroke-width='1.3'/&gt;",IF(AF66="Enlace","&lt;rect x='"&amp;SUBSTITUTE(ROUND((AD66)-5.52,1),",",".")&amp;"' y='"&amp;SUBSTITUTE(ROUND((AE66)-5.52,1),",",".")&amp;"' width='11.04' height='11.04' fill='#6699CC' stroke='#2A3439' stroke-width='1.3'/&gt;",IF(AF66="Resultado","&lt;path d='M"&amp;SUBSTITUTE(ROUND(AD66,1),",",".")&amp;" "&amp;SUBSTITUTE(ROUND((AE66)-6.9,1),",",".")&amp;"L"&amp;SUBSTITUTE(ROUND((AD66)+6.3,1),",",".")&amp;" "&amp;SUBSTITUTE(ROUND((AE66)+5.1,1),",",".")&amp;"L"&amp;SUBSTITUTE(ROUND((AD66)-6.3,1),",",".")&amp;" "&amp;SUBSTITUTE(ROUND((AE66)+5.1,1),",",".")&amp;"Z' fill='#FFFFFF' stroke='#2A3439' stroke-width='1.3'/&gt;","&lt;path d='M"&amp;SUBSTITUTE(ROUND(AD66,1),",",".")&amp;" "&amp;SUBSTITUTE(ROUND((AE66)-7.5,1),",",".")&amp;"L"&amp;SUBSTITUTE(ROUND((AD66)+7.5,1),",",".")&amp;" "&amp;SUBSTITUTE(ROUND(AE66,1),",",".")&amp;"L"&amp;SUBSTITUTE(ROUND(AD66,1),",",".")&amp;" "&amp;SUBSTITUTE(ROUND((AE66)+7.5,1),",",".")&amp;"L"&amp;SUBSTITUTE(ROUND((AD66)-7.5,1),",",".")&amp;" "&amp;SUBSTITUTE(ROUND(AE66,1),",",".")&amp;"Z' fill='#F5F5F5' stroke='#2A3439' stroke-width='1.3'/&gt;")))&amp;"&lt;text x='"&amp;SUBSTITUTE(ROUND(AD66+9,1),",",".")&amp;"' y='"&amp;SUBSTITUTE(ROUND(AE66-8,1),",",".")&amp;"'&gt;"&amp;AI66&amp;"&lt;/text&gt;","")</f>
        <v/>
      </c>
      <c r="AK66" s="58">
        <f>IF(AA66=1,IF(AF66="Motriz","&lt;circle cx='"&amp;SUBSTITUTE(ROUND(728,1),",",".")&amp;"' cy='"&amp;SUBSTITUTE(ROUND(489.2,1),",",".")&amp;"' r='4.3' fill='#2A3439' stroke='#2A3439' stroke-width='1.3'/&gt;",IF(AF66="Enlace","&lt;rect x='"&amp;SUBSTITUTE(ROUND((728)-3.96,1),",",".")&amp;"' y='"&amp;SUBSTITUTE(ROUND((489.2)-3.96,1),",",".")&amp;"' width='7.92' height='7.92' fill='#6699CC' stroke='#2A3439' stroke-width='1.3'/&gt;",IF(AF66="Resultado","&lt;path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AR66" s="58" t="n">
        <v>27</v>
      </c>
      <c r="AS66" s="58">
        <f>IF(AND($AS$4=1,AR66&lt;=nVariables),1,0)</f>
        <v/>
      </c>
      <c r="AT66" s="58">
        <f>IF(AS66=1,'M3'!$F36,"")</f>
        <v/>
      </c>
      <c r="AU66" s="58">
        <f>IF(AS66=1,'M3'!$E36,"")</f>
        <v/>
      </c>
      <c r="AV66" s="58">
        <f>IF(AS66=1,90+AT66*$AS$22,"")</f>
        <v/>
      </c>
      <c r="AW66" s="58">
        <f>IF(AS66=1,574-AU66*$AS$23,"")</f>
        <v/>
      </c>
      <c r="AX66" s="58">
        <f>IF(AS66=1,'M3'!$I36,"")</f>
        <v/>
      </c>
      <c r="AY66" s="58">
        <f>IF(AS66=1,IF(AX66="Motriz","#2A3439",IF(AX66="Enlace","#6699CC",IF(AX66="Resultado","#FFFFFF","#F5F5F5"))),"")</f>
        <v/>
      </c>
      <c r="AZ66" s="58">
        <f>IF(AS66=1,IF(SUMPRODUCT((AT$39:AT65=AT66)*(AU$39:AU65=AU66))=0,1,0),0)</f>
        <v/>
      </c>
      <c r="BA66" s="58">
        <f>IF(AZ66=1,27&amp;IF(AND(AT67=AT66,AU67=AU66),","&amp;28,"")&amp;IF(AND(AT68=AT66,AU68=AU66),","&amp;29,"")&amp;IF(AND(AT69=AT66,AU69=AU66),","&amp;30,"")&amp;IF(AND(AT70=AT66,AU70=AU66),","&amp;31,"")&amp;IF(AND(AT71=AT66,AU71=AU66),","&amp;32,"")&amp;IF(AND(AT72=AT66,AU72=AU66),","&amp;33,"")&amp;IF(AND(AT73=AT66,AU73=AU66),","&amp;34,"")&amp;IF(AND(AT74=AT66,AU74=AU66),","&amp;35,"")&amp;IF(AND(AT75=AT66,AU75=AU66),","&amp;36,"")&amp;IF(AND(AT76=AT66,AU76=AU66),","&amp;37,"")&amp;IF(AND(AT77=AT66,AU77=AU66),","&amp;38,"")&amp;IF(AND(AT78=AT66,AU78=AU66),","&amp;39,"")&amp;IF(AND(AT79=AT66,AU79=AU66),","&amp;40,""),"")</f>
        <v/>
      </c>
      <c r="BB66" s="58">
        <f>IF(AZ66=1,IF(AX66="Motriz","&lt;circle cx='"&amp;SUBSTITUTE(ROUND(AV66,1),",",".")&amp;"' cy='"&amp;SUBSTITUTE(ROUND(AW66,1),",",".")&amp;"' r='6' fill='#2A3439' stroke='#2A3439' stroke-width='1.3'/&gt;",IF(AX66="Enlace","&lt;rect x='"&amp;SUBSTITUTE(ROUND((AV66)-5.52,1),",",".")&amp;"' y='"&amp;SUBSTITUTE(ROUND((AW66)-5.52,1),",",".")&amp;"' width='11.04' height='11.04' fill='#6699CC' stroke='#2A3439' stroke-width='1.3'/&gt;",IF(AX66="Resultado","&lt;path d='M"&amp;SUBSTITUTE(ROUND(AV66,1),",",".")&amp;" "&amp;SUBSTITUTE(ROUND((AW66)-6.9,1),",",".")&amp;"L"&amp;SUBSTITUTE(ROUND((AV66)+6.3,1),",",".")&amp;" "&amp;SUBSTITUTE(ROUND((AW66)+5.1,1),",",".")&amp;"L"&amp;SUBSTITUTE(ROUND((AV66)-6.3,1),",",".")&amp;" "&amp;SUBSTITUTE(ROUND((AW66)+5.1,1),",",".")&amp;"Z' fill='#FFFFFF' stroke='#2A3439' stroke-width='1.3'/&gt;","&lt;path d='M"&amp;SUBSTITUTE(ROUND(AV66,1),",",".")&amp;" "&amp;SUBSTITUTE(ROUND((AW66)-7.5,1),",",".")&amp;"L"&amp;SUBSTITUTE(ROUND((AV66)+7.5,1),",",".")&amp;" "&amp;SUBSTITUTE(ROUND(AW66,1),",",".")&amp;"L"&amp;SUBSTITUTE(ROUND(AV66,1),",",".")&amp;" "&amp;SUBSTITUTE(ROUND((AW66)+7.5,1),",",".")&amp;"L"&amp;SUBSTITUTE(ROUND((AV66)-7.5,1),",",".")&amp;" "&amp;SUBSTITUTE(ROUND(AW66,1),",",".")&amp;"Z' fill='#F5F5F5' stroke='#2A3439' stroke-width='1.3'/&gt;")))&amp;"&lt;text x='"&amp;SUBSTITUTE(ROUND(AV66+9,1),",",".")&amp;"' y='"&amp;SUBSTITUTE(ROUND(AW66-8,1),",",".")&amp;"'&gt;"&amp;BA66&amp;"&lt;/text&gt;","")</f>
        <v/>
      </c>
      <c r="BC66" s="58">
        <f>IF(AS66=1,IF(AX66="Motriz","&lt;circle cx='"&amp;SUBSTITUTE(ROUND(728,1),",",".")&amp;"' cy='"&amp;SUBSTITUTE(ROUND(489.2,1),",",".")&amp;"' r='4.3' fill='#2A3439' stroke='#2A3439' stroke-width='1.3'/&gt;",IF(AX66="Enlace","&lt;rect x='"&amp;SUBSTITUTE(ROUND((728)-3.96,1),",",".")&amp;"' y='"&amp;SUBSTITUTE(ROUND((489.2)-3.96,1),",",".")&amp;"' width='7.92' height='7.92' fill='#6699CC' stroke='#2A3439' stroke-width='1.3'/&gt;",IF(AX66="Resultado","&lt;path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BJ66" s="58" t="n">
        <v>27</v>
      </c>
      <c r="BK66" s="58">
        <f>IF(AND($BK$4=1,BJ66&lt;=nVariables),1,0)</f>
        <v/>
      </c>
      <c r="BL66" s="58">
        <f>IF(BK66=1,'M4'!$F36,"")</f>
        <v/>
      </c>
      <c r="BM66" s="58">
        <f>IF(BK66=1,'M4'!$E36,"")</f>
        <v/>
      </c>
      <c r="BN66" s="58">
        <f>IF(BK66=1,90+BL66*$BK$22,"")</f>
        <v/>
      </c>
      <c r="BO66" s="58">
        <f>IF(BK66=1,574-BM66*$BK$23,"")</f>
        <v/>
      </c>
      <c r="BP66" s="58">
        <f>IF(BK66=1,'M4'!$I36,"")</f>
        <v/>
      </c>
      <c r="BQ66" s="58">
        <f>IF(BK66=1,IF(BP66="Motriz","#2A3439",IF(BP66="Enlace","#6699CC",IF(BP66="Resultado","#FFFFFF","#F5F5F5"))),"")</f>
        <v/>
      </c>
      <c r="BR66" s="58">
        <f>IF(BK66=1,IF(SUMPRODUCT((BL$39:BL65=BL66)*(BM$39:BM65=BM66))=0,1,0),0)</f>
        <v/>
      </c>
      <c r="BS66" s="58">
        <f>IF(BR66=1,27&amp;IF(AND(BL67=BL66,BM67=BM66),","&amp;28,"")&amp;IF(AND(BL68=BL66,BM68=BM66),","&amp;29,"")&amp;IF(AND(BL69=BL66,BM69=BM66),","&amp;30,"")&amp;IF(AND(BL70=BL66,BM70=BM66),","&amp;31,"")&amp;IF(AND(BL71=BL66,BM71=BM66),","&amp;32,"")&amp;IF(AND(BL72=BL66,BM72=BM66),","&amp;33,"")&amp;IF(AND(BL73=BL66,BM73=BM66),","&amp;34,"")&amp;IF(AND(BL74=BL66,BM74=BM66),","&amp;35,"")&amp;IF(AND(BL75=BL66,BM75=BM66),","&amp;36,"")&amp;IF(AND(BL76=BL66,BM76=BM66),","&amp;37,"")&amp;IF(AND(BL77=BL66,BM77=BM66),","&amp;38,"")&amp;IF(AND(BL78=BL66,BM78=BM66),","&amp;39,"")&amp;IF(AND(BL79=BL66,BM79=BM66),","&amp;40,""),"")</f>
        <v/>
      </c>
      <c r="BT66" s="58">
        <f>IF(BR66=1,IF(BP66="Motriz","&lt;circle cx='"&amp;SUBSTITUTE(ROUND(BN66,1),",",".")&amp;"' cy='"&amp;SUBSTITUTE(ROUND(BO66,1),",",".")&amp;"' r='6' fill='#2A3439' stroke='#2A3439' stroke-width='1.3'/&gt;",IF(BP66="Enlace","&lt;rect x='"&amp;SUBSTITUTE(ROUND((BN66)-5.52,1),",",".")&amp;"' y='"&amp;SUBSTITUTE(ROUND((BO66)-5.52,1),",",".")&amp;"' width='11.04' height='11.04' fill='#6699CC' stroke='#2A3439' stroke-width='1.3'/&gt;",IF(BP66="Resultado","&lt;path d='M"&amp;SUBSTITUTE(ROUND(BN66,1),",",".")&amp;" "&amp;SUBSTITUTE(ROUND((BO66)-6.9,1),",",".")&amp;"L"&amp;SUBSTITUTE(ROUND((BN66)+6.3,1),",",".")&amp;" "&amp;SUBSTITUTE(ROUND((BO66)+5.1,1),",",".")&amp;"L"&amp;SUBSTITUTE(ROUND((BN66)-6.3,1),",",".")&amp;" "&amp;SUBSTITUTE(ROUND((BO66)+5.1,1),",",".")&amp;"Z' fill='#FFFFFF' stroke='#2A3439' stroke-width='1.3'/&gt;","&lt;path d='M"&amp;SUBSTITUTE(ROUND(BN66,1),",",".")&amp;" "&amp;SUBSTITUTE(ROUND((BO66)-7.5,1),",",".")&amp;"L"&amp;SUBSTITUTE(ROUND((BN66)+7.5,1),",",".")&amp;" "&amp;SUBSTITUTE(ROUND(BO66,1),",",".")&amp;"L"&amp;SUBSTITUTE(ROUND(BN66,1),",",".")&amp;" "&amp;SUBSTITUTE(ROUND((BO66)+7.5,1),",",".")&amp;"L"&amp;SUBSTITUTE(ROUND((BN66)-7.5,1),",",".")&amp;" "&amp;SUBSTITUTE(ROUND(BO66,1),",",".")&amp;"Z' fill='#F5F5F5' stroke='#2A3439' stroke-width='1.3'/&gt;")))&amp;"&lt;text x='"&amp;SUBSTITUTE(ROUND(BN66+9,1),",",".")&amp;"' y='"&amp;SUBSTITUTE(ROUND(BO66-8,1),",",".")&amp;"'&gt;"&amp;BS66&amp;"&lt;/text&gt;","")</f>
        <v/>
      </c>
      <c r="BU66" s="58">
        <f>IF(BK66=1,IF(BP66="Motriz","&lt;circle cx='"&amp;SUBSTITUTE(ROUND(728,1),",",".")&amp;"' cy='"&amp;SUBSTITUTE(ROUND(489.2,1),",",".")&amp;"' r='4.3' fill='#2A3439' stroke='#2A3439' stroke-width='1.3'/&gt;",IF(BP66="Enlace","&lt;rect x='"&amp;SUBSTITUTE(ROUND((728)-3.96,1),",",".")&amp;"' y='"&amp;SUBSTITUTE(ROUND((489.2)-3.96,1),",",".")&amp;"' width='7.92' height='7.92' fill='#6699CC' stroke='#2A3439' stroke-width='1.3'/&gt;",IF(BP66="Resultado","&lt;path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CB66" s="58" t="n">
        <v>27</v>
      </c>
      <c r="CC66" s="58">
        <f>IF(AND($CC$4=1,CB66&lt;=nVariables),1,0)</f>
        <v/>
      </c>
      <c r="CD66" s="58">
        <f>IF(CC66=1,'M5'!$F36,"")</f>
        <v/>
      </c>
      <c r="CE66" s="58">
        <f>IF(CC66=1,'M5'!$E36,"")</f>
        <v/>
      </c>
      <c r="CF66" s="58">
        <f>IF(CC66=1,90+CD66*$CC$22,"")</f>
        <v/>
      </c>
      <c r="CG66" s="58">
        <f>IF(CC66=1,574-CE66*$CC$23,"")</f>
        <v/>
      </c>
      <c r="CH66" s="58">
        <f>IF(CC66=1,'M5'!$I36,"")</f>
        <v/>
      </c>
      <c r="CI66" s="58">
        <f>IF(CC66=1,IF(CH66="Motriz","#2A3439",IF(CH66="Enlace","#6699CC",IF(CH66="Resultado","#FFFFFF","#F5F5F5"))),"")</f>
        <v/>
      </c>
      <c r="CJ66" s="58">
        <f>IF(CC66=1,IF(SUMPRODUCT((CD$39:CD65=CD66)*(CE$39:CE65=CE66))=0,1,0),0)</f>
        <v/>
      </c>
      <c r="CK66" s="58">
        <f>IF(CJ66=1,27&amp;IF(AND(CD67=CD66,CE67=CE66),","&amp;28,"")&amp;IF(AND(CD68=CD66,CE68=CE66),","&amp;29,"")&amp;IF(AND(CD69=CD66,CE69=CE66),","&amp;30,"")&amp;IF(AND(CD70=CD66,CE70=CE66),","&amp;31,"")&amp;IF(AND(CD71=CD66,CE71=CE66),","&amp;32,"")&amp;IF(AND(CD72=CD66,CE72=CE66),","&amp;33,"")&amp;IF(AND(CD73=CD66,CE73=CE66),","&amp;34,"")&amp;IF(AND(CD74=CD66,CE74=CE66),","&amp;35,"")&amp;IF(AND(CD75=CD66,CE75=CE66),","&amp;36,"")&amp;IF(AND(CD76=CD66,CE76=CE66),","&amp;37,"")&amp;IF(AND(CD77=CD66,CE77=CE66),","&amp;38,"")&amp;IF(AND(CD78=CD66,CE78=CE66),","&amp;39,"")&amp;IF(AND(CD79=CD66,CE79=CE66),","&amp;40,""),"")</f>
        <v/>
      </c>
      <c r="CL66" s="58">
        <f>IF(CJ66=1,IF(CH66="Motriz","&lt;circle cx='"&amp;SUBSTITUTE(ROUND(CF66,1),",",".")&amp;"' cy='"&amp;SUBSTITUTE(ROUND(CG66,1),",",".")&amp;"' r='6' fill='#2A3439' stroke='#2A3439' stroke-width='1.3'/&gt;",IF(CH66="Enlace","&lt;rect x='"&amp;SUBSTITUTE(ROUND((CF66)-5.52,1),",",".")&amp;"' y='"&amp;SUBSTITUTE(ROUND((CG66)-5.52,1),",",".")&amp;"' width='11.04' height='11.04' fill='#6699CC' stroke='#2A3439' stroke-width='1.3'/&gt;",IF(CH66="Resultado","&lt;path d='M"&amp;SUBSTITUTE(ROUND(CF66,1),",",".")&amp;" "&amp;SUBSTITUTE(ROUND((CG66)-6.9,1),",",".")&amp;"L"&amp;SUBSTITUTE(ROUND((CF66)+6.3,1),",",".")&amp;" "&amp;SUBSTITUTE(ROUND((CG66)+5.1,1),",",".")&amp;"L"&amp;SUBSTITUTE(ROUND((CF66)-6.3,1),",",".")&amp;" "&amp;SUBSTITUTE(ROUND((CG66)+5.1,1),",",".")&amp;"Z' fill='#FFFFFF' stroke='#2A3439' stroke-width='1.3'/&gt;","&lt;path d='M"&amp;SUBSTITUTE(ROUND(CF66,1),",",".")&amp;" "&amp;SUBSTITUTE(ROUND((CG66)-7.5,1),",",".")&amp;"L"&amp;SUBSTITUTE(ROUND((CF66)+7.5,1),",",".")&amp;" "&amp;SUBSTITUTE(ROUND(CG66,1),",",".")&amp;"L"&amp;SUBSTITUTE(ROUND(CF66,1),",",".")&amp;" "&amp;SUBSTITUTE(ROUND((CG66)+7.5,1),",",".")&amp;"L"&amp;SUBSTITUTE(ROUND((CF66)-7.5,1),",",".")&amp;" "&amp;SUBSTITUTE(ROUND(CG66,1),",",".")&amp;"Z' fill='#F5F5F5' stroke='#2A3439' stroke-width='1.3'/&gt;")))&amp;"&lt;text x='"&amp;SUBSTITUTE(ROUND(CF66+9,1),",",".")&amp;"' y='"&amp;SUBSTITUTE(ROUND(CG66-8,1),",",".")&amp;"'&gt;"&amp;CK66&amp;"&lt;/text&gt;","")</f>
        <v/>
      </c>
      <c r="CM66" s="58">
        <f>IF(CC66=1,IF(CH66="Motriz","&lt;circle cx='"&amp;SUBSTITUTE(ROUND(728,1),",",".")&amp;"' cy='"&amp;SUBSTITUTE(ROUND(489.2,1),",",".")&amp;"' r='4.3' fill='#2A3439' stroke='#2A3439' stroke-width='1.3'/&gt;",IF(CH66="Enlace","&lt;rect x='"&amp;SUBSTITUTE(ROUND((728)-3.96,1),",",".")&amp;"' y='"&amp;SUBSTITUTE(ROUND((489.2)-3.96,1),",",".")&amp;"' width='7.92' height='7.92' fill='#6699CC' stroke='#2A3439' stroke-width='1.3'/&gt;",IF(CH66="Resultado","&lt;path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CT66" s="58" t="n">
        <v>27</v>
      </c>
      <c r="CU66" s="58">
        <f>IF(AND($CU$4=1,CT66&lt;=nVariables),1,0)</f>
        <v/>
      </c>
      <c r="CV66" s="58">
        <f>IF(CU66=1,'M6'!$F36,"")</f>
        <v/>
      </c>
      <c r="CW66" s="58">
        <f>IF(CU66=1,'M6'!$E36,"")</f>
        <v/>
      </c>
      <c r="CX66" s="58">
        <f>IF(CU66=1,90+CV66*$CU$22,"")</f>
        <v/>
      </c>
      <c r="CY66" s="58">
        <f>IF(CU66=1,574-CW66*$CU$23,"")</f>
        <v/>
      </c>
      <c r="CZ66" s="58">
        <f>IF(CU66=1,'M6'!$I36,"")</f>
        <v/>
      </c>
      <c r="DA66" s="58">
        <f>IF(CU66=1,IF(CZ66="Motriz","#2A3439",IF(CZ66="Enlace","#6699CC",IF(CZ66="Resultado","#FFFFFF","#F5F5F5"))),"")</f>
        <v/>
      </c>
      <c r="DB66" s="58">
        <f>IF(CU66=1,IF(SUMPRODUCT((CV$39:CV65=CV66)*(CW$39:CW65=CW66))=0,1,0),0)</f>
        <v/>
      </c>
      <c r="DC66" s="58">
        <f>IF(DB66=1,27&amp;IF(AND(CV67=CV66,CW67=CW66),","&amp;28,"")&amp;IF(AND(CV68=CV66,CW68=CW66),","&amp;29,"")&amp;IF(AND(CV69=CV66,CW69=CW66),","&amp;30,"")&amp;IF(AND(CV70=CV66,CW70=CW66),","&amp;31,"")&amp;IF(AND(CV71=CV66,CW71=CW66),","&amp;32,"")&amp;IF(AND(CV72=CV66,CW72=CW66),","&amp;33,"")&amp;IF(AND(CV73=CV66,CW73=CW66),","&amp;34,"")&amp;IF(AND(CV74=CV66,CW74=CW66),","&amp;35,"")&amp;IF(AND(CV75=CV66,CW75=CW66),","&amp;36,"")&amp;IF(AND(CV76=CV66,CW76=CW66),","&amp;37,"")&amp;IF(AND(CV77=CV66,CW77=CW66),","&amp;38,"")&amp;IF(AND(CV78=CV66,CW78=CW66),","&amp;39,"")&amp;IF(AND(CV79=CV66,CW79=CW66),","&amp;40,""),"")</f>
        <v/>
      </c>
      <c r="DD66" s="58">
        <f>IF(DB66=1,IF(CZ66="Motriz","&lt;circle cx='"&amp;SUBSTITUTE(ROUND(CX66,1),",",".")&amp;"' cy='"&amp;SUBSTITUTE(ROUND(CY66,1),",",".")&amp;"' r='6' fill='#2A3439' stroke='#2A3439' stroke-width='1.3'/&gt;",IF(CZ66="Enlace","&lt;rect x='"&amp;SUBSTITUTE(ROUND((CX66)-5.52,1),",",".")&amp;"' y='"&amp;SUBSTITUTE(ROUND((CY66)-5.52,1),",",".")&amp;"' width='11.04' height='11.04' fill='#6699CC' stroke='#2A3439' stroke-width='1.3'/&gt;",IF(CZ66="Resultado","&lt;path d='M"&amp;SUBSTITUTE(ROUND(CX66,1),",",".")&amp;" "&amp;SUBSTITUTE(ROUND((CY66)-6.9,1),",",".")&amp;"L"&amp;SUBSTITUTE(ROUND((CX66)+6.3,1),",",".")&amp;" "&amp;SUBSTITUTE(ROUND((CY66)+5.1,1),",",".")&amp;"L"&amp;SUBSTITUTE(ROUND((CX66)-6.3,1),",",".")&amp;" "&amp;SUBSTITUTE(ROUND((CY66)+5.1,1),",",".")&amp;"Z' fill='#FFFFFF' stroke='#2A3439' stroke-width='1.3'/&gt;","&lt;path d='M"&amp;SUBSTITUTE(ROUND(CX66,1),",",".")&amp;" "&amp;SUBSTITUTE(ROUND((CY66)-7.5,1),",",".")&amp;"L"&amp;SUBSTITUTE(ROUND((CX66)+7.5,1),",",".")&amp;" "&amp;SUBSTITUTE(ROUND(CY66,1),",",".")&amp;"L"&amp;SUBSTITUTE(ROUND(CX66,1),",",".")&amp;" "&amp;SUBSTITUTE(ROUND((CY66)+7.5,1),",",".")&amp;"L"&amp;SUBSTITUTE(ROUND((CX66)-7.5,1),",",".")&amp;" "&amp;SUBSTITUTE(ROUND(CY66,1),",",".")&amp;"Z' fill='#F5F5F5' stroke='#2A3439' stroke-width='1.3'/&gt;")))&amp;"&lt;text x='"&amp;SUBSTITUTE(ROUND(CX66+9,1),",",".")&amp;"' y='"&amp;SUBSTITUTE(ROUND(CY66-8,1),",",".")&amp;"'&gt;"&amp;DC66&amp;"&lt;/text&gt;","")</f>
        <v/>
      </c>
      <c r="DE66" s="58">
        <f>IF(CU66=1,IF(CZ66="Motriz","&lt;circle cx='"&amp;SUBSTITUTE(ROUND(728,1),",",".")&amp;"' cy='"&amp;SUBSTITUTE(ROUND(489.2,1),",",".")&amp;"' r='4.3' fill='#2A3439' stroke='#2A3439' stroke-width='1.3'/&gt;",IF(CZ66="Enlace","&lt;rect x='"&amp;SUBSTITUTE(ROUND((728)-3.96,1),",",".")&amp;"' y='"&amp;SUBSTITUTE(ROUND((489.2)-3.96,1),",",".")&amp;"' width='7.92' height='7.92' fill='#6699CC' stroke='#2A3439' stroke-width='1.3'/&gt;",IF(CZ66="Resultado","&lt;path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DL66" s="58" t="n">
        <v>15</v>
      </c>
      <c r="DM66" s="58">
        <f>IF(AND($DM$4=1,DL66&lt;=nVariables),IF('M6'!$I24="Resultado","E",IF('M6'!$I24="Enlace","L",IF('M6'!$I24="Motriz","R",IF('M6'!$I24="Autónoma","A","")))),"")</f>
        <v/>
      </c>
      <c r="DN66" s="58">
        <f>IF(DM66&lt;&gt;"",COUNTIF($DM$52:DM66,DM66),"")</f>
        <v/>
      </c>
      <c r="DO66" s="58">
        <f>IF(DM66&lt;&gt;"",SUBSTITUTE(SUBSTITUTE(SUBSTITUTE(SUBSTITUTE(SUBSTITUTE(SUBSTITUTE(SUBSTITUTE(TRIM(CLEAN(IF(LEN(15&amp;" · "&amp;$D54)&gt;30,LEFT(15&amp;" · "&amp;$D54,29)&amp;"…",15&amp;" · "&amp;$D54))),"&amp;","&amp;amp;"),"&lt;","&amp;lt;"),"&gt;","&amp;gt;"),CHAR(34),"&amp;quot;"),CHAR(10)," "),CHAR(9)," "),CHAR(13)," "),"")</f>
        <v/>
      </c>
      <c r="DP66" s="58">
        <f>IF(DM66&lt;&gt;"",IF($E54&lt;&gt;"",$E54,IF(DM66="E","(efecto · indicador de resultado)",IF(DM66="L","(causa directa · riesgo)",IF(DM66="R","CAUSA RAÍZ · componente del proyecto","(fuera del alcance)")))),"")</f>
        <v/>
      </c>
      <c r="DQ66" s="58">
        <f>IF(DM66&lt;&gt;"",IF(LEN(DP66)&gt;74,LEFT(DP66,73)&amp;"…",DP66),"")</f>
        <v/>
      </c>
      <c r="DR66" s="58">
        <f>IF(DM66&lt;&gt;"",IF(LEN(DQ66)&lt;=37,LEN(DQ66)+1,IFERROR(FIND("~",SUBSTITUTE(LEFT(DQ66,38)," ","~",LEN(LEFT(DQ66,38))-LEN(SUBSTITUTE(LEFT(DQ66,38)," ","")))),38)),"")</f>
        <v/>
      </c>
      <c r="DS66" s="58">
        <f>IF(DM66&lt;&gt;"",SUBSTITUTE(SUBSTITUTE(SUBSTITUTE(SUBSTITUTE(SUBSTITUTE(SUBSTITUTE(SUBSTITUTE(TRIM(CLEAN(TRIM(LEFT(DQ66,DR66-1)))),"&amp;","&amp;amp;"),"&lt;","&amp;lt;"),"&gt;","&amp;gt;"),CHAR(34),"&amp;quot;"),CHAR(10)," "),CHAR(9)," "),CHAR(13)," "),"")</f>
        <v/>
      </c>
      <c r="DT66" s="58">
        <f>IF(DM66&lt;&gt;"",SUBSTITUTE(SUBSTITUTE(SUBSTITUTE(SUBSTITUTE(SUBSTITUTE(SUBSTITUTE(SUBSTITUTE(TRIM(CLEAN(IF(LEN(TRIM(MID(DQ66,DR66,80)))&gt;37,LEFT(TRIM(MID(DQ66,DR66,80)),36)&amp;"…",TRIM(MID(DQ66,DR66,80))))),"&amp;","&amp;amp;"),"&lt;","&amp;lt;"),"&gt;","&amp;gt;"),CHAR(34),"&amp;quot;"),CHAR(10)," "),CHAR(9)," "),CHAR(13)," "),"")</f>
        <v/>
      </c>
      <c r="DU66" s="58">
        <f>IF(DM66&lt;&gt;"",(1200-(MIN(5,IF(DM66="E",$DM$5,IF(DM66="L",$DM$8,IF(DM66="R",$DM$11,$DM$14)))-INT((DN66-1)/5)*5)*216+(MIN(5,IF(DM66="E",$DM$5,IF(DM66="L",$DM$8,IF(DM66="R",$DM$11,$DM$14)))-INT((DN66-1)/5)*5)-1)*14))/2+MOD(DN66-1,5)*(216+14),"")</f>
        <v/>
      </c>
      <c r="DV66" s="58">
        <f>IF(DM66&lt;&gt;"",IF(DM66="E",$DM$17,IF(DM66="L",$DM$21,IF(DM66="R",$DM$23,$DM$25)))+24+INT((DN66-1)/5)*(64+12),"")</f>
        <v/>
      </c>
      <c r="DW66" s="58">
        <f>IF(DM66&lt;&gt;"","&lt;rect x='"&amp;SUBSTITUTE(ROUND(DU66,1),",",".")&amp;"' y='"&amp;SUBSTITUTE(ROUND(DV66,1),",",".")&amp;"' width='216' height='64' rx='9' fill='"&amp;IF(DM66="E","#B9D9EB",IF(DM66="L","#9EB9D4",IF(DM66="R","#6699CC","#F5F5F5")))&amp;"' stroke='#2A3439' stroke-width='1'"&amp;IF(DM66="A"," stroke-dasharray='5 3'","")&amp;"/&gt;"&amp;"&lt;text x='"&amp;SUBSTITUTE(ROUND((DU66+108),1),",",".")&amp;"' y='"&amp;SUBSTITUTE(ROUND(DV66+20,1),",",".")&amp;"' font-size='12' font-weight='bold'&gt;"&amp;DO66&amp;"&lt;/text&gt;"&amp;"&lt;text x='"&amp;SUBSTITUTE(ROUND((DU66+108),1),",",".")&amp;"' y='"&amp;SUBSTITUTE(ROUND(DV66+38,1),",",".")&amp;"' font-size='10'&gt;"&amp;DS66&amp;"&lt;/text&gt;"&amp;"&lt;text x='"&amp;SUBSTITUTE(ROUND((DU66+108),1),",",".")&amp;"' y='"&amp;SUBSTITUTE(ROUND(DV66+53,1),",",".")&amp;"' font-size='10'&gt;"&amp;DT66&amp;"&lt;/text&gt;","")</f>
        <v/>
      </c>
    </row>
    <row r="67">
      <c r="A67" s="58" t="n">
        <v>28</v>
      </c>
      <c r="B67" s="58">
        <f>IF($A67&lt;=nVariables,SUBSTITUTE(SUBSTITUTE(SUBSTITUTE(SUBSTITUTE(SUBSTITUTE(SUBSTITUTE(SUBSTITUTE(TRIM(CLEAN(IF(LEN(TRIM(M!$B37))&gt;46,LEFT(TRIM(M!$B37),45)&amp;"…",TRIM(M!$B37)))),"&amp;","&amp;amp;"),"&lt;","&amp;lt;"),"&gt;","&amp;gt;"),CHAR(34),"&amp;quot;"),CHAR(10)," "),CHAR(9)," "),CHAR(13)," "),"")</f>
        <v/>
      </c>
      <c r="C67" s="58">
        <f>IF($A67&lt;=nVariables,$A67&amp;". "&amp;B67,"")</f>
        <v/>
      </c>
      <c r="D67" s="58">
        <f>IF($A67&lt;=nVariables,IF(TRIM(M!$C37)&lt;&gt;"",TRIM(M!$C37),IF(LEN(TRIM(M!$B37))&gt;24,LEFT(TRIM(M!$B37),23)&amp;"…",TRIM(M!$B37))),"")</f>
        <v/>
      </c>
      <c r="E67" s="58">
        <f>IF($A67&lt;=nVariables,TRIM('Árbol de Problemas'!$F46),"")</f>
        <v/>
      </c>
      <c r="H67" s="58" t="n">
        <v>28</v>
      </c>
      <c r="I67" s="58">
        <f>IF(AND($I$4=1,H67&lt;=nVariables),1,0)</f>
        <v/>
      </c>
      <c r="J67" s="58">
        <f>IF(I67=1,'M1'!$F37,"")</f>
        <v/>
      </c>
      <c r="K67" s="58">
        <f>IF(I67=1,'M1'!$E37,"")</f>
        <v/>
      </c>
      <c r="L67" s="58">
        <f>IF(I67=1,90+J67*$I$22,"")</f>
        <v/>
      </c>
      <c r="M67" s="58">
        <f>IF(I67=1,574-K67*$I$23,"")</f>
        <v/>
      </c>
      <c r="N67" s="58">
        <f>IF(I67=1,'M1'!$I37,"")</f>
        <v/>
      </c>
      <c r="O67" s="58">
        <f>IF(I67=1,IF(N67="Motriz","#2A3439",IF(N67="Enlace","#6699CC",IF(N67="Resultado","#FFFFFF","#F5F5F5"))),"")</f>
        <v/>
      </c>
      <c r="P67" s="58">
        <f>IF(I67=1,IF(SUMPRODUCT((J$39:J66=J67)*(K$39:K66=K67))=0,1,0),0)</f>
        <v/>
      </c>
      <c r="Q67" s="58">
        <f>IF(P67=1,28&amp;IF(AND(J68=J67,K68=K67),","&amp;29,"")&amp;IF(AND(J69=J67,K69=K67),","&amp;30,"")&amp;IF(AND(J70=J67,K70=K67),","&amp;31,"")&amp;IF(AND(J71=J67,K71=K67),","&amp;32,"")&amp;IF(AND(J72=J67,K72=K67),","&amp;33,"")&amp;IF(AND(J73=J67,K73=K67),","&amp;34,"")&amp;IF(AND(J74=J67,K74=K67),","&amp;35,"")&amp;IF(AND(J75=J67,K75=K67),","&amp;36,"")&amp;IF(AND(J76=J67,K76=K67),","&amp;37,"")&amp;IF(AND(J77=J67,K77=K67),","&amp;38,"")&amp;IF(AND(J78=J67,K78=K67),","&amp;39,"")&amp;IF(AND(J79=J67,K79=K67),","&amp;40,""),"")</f>
        <v/>
      </c>
      <c r="R67" s="58">
        <f>IF(P67=1,IF(N67="Motriz","&lt;circle cx='"&amp;SUBSTITUTE(ROUND(L67,1),",",".")&amp;"' cy='"&amp;SUBSTITUTE(ROUND(M67,1),",",".")&amp;"' r='6' fill='#2A3439' stroke='#2A3439' stroke-width='1.3'/&gt;",IF(N67="Enlace","&lt;rect x='"&amp;SUBSTITUTE(ROUND((L67)-5.52,1),",",".")&amp;"' y='"&amp;SUBSTITUTE(ROUND((M67)-5.52,1),",",".")&amp;"' width='11.04' height='11.04' fill='#6699CC' stroke='#2A3439' stroke-width='1.3'/&gt;",IF(N67="Resultado","&lt;path d='M"&amp;SUBSTITUTE(ROUND(L67,1),",",".")&amp;" "&amp;SUBSTITUTE(ROUND((M67)-6.9,1),",",".")&amp;"L"&amp;SUBSTITUTE(ROUND((L67)+6.3,1),",",".")&amp;" "&amp;SUBSTITUTE(ROUND((M67)+5.1,1),",",".")&amp;"L"&amp;SUBSTITUTE(ROUND((L67)-6.3,1),",",".")&amp;" "&amp;SUBSTITUTE(ROUND((M67)+5.1,1),",",".")&amp;"Z' fill='#FFFFFF' stroke='#2A3439' stroke-width='1.3'/&gt;","&lt;path d='M"&amp;SUBSTITUTE(ROUND(L67,1),",",".")&amp;" "&amp;SUBSTITUTE(ROUND((M67)-7.5,1),",",".")&amp;"L"&amp;SUBSTITUTE(ROUND((L67)+7.5,1),",",".")&amp;" "&amp;SUBSTITUTE(ROUND(M67,1),",",".")&amp;"L"&amp;SUBSTITUTE(ROUND(L67,1),",",".")&amp;" "&amp;SUBSTITUTE(ROUND((M67)+7.5,1),",",".")&amp;"L"&amp;SUBSTITUTE(ROUND((L67)-7.5,1),",",".")&amp;" "&amp;SUBSTITUTE(ROUND(M67,1),",",".")&amp;"Z' fill='#F5F5F5' stroke='#2A3439' stroke-width='1.3'/&gt;")))&amp;"&lt;text x='"&amp;SUBSTITUTE(ROUND(L67+9,1),",",".")&amp;"' y='"&amp;SUBSTITUTE(ROUND(M67-8,1),",",".")&amp;"'&gt;"&amp;Q67&amp;"&lt;/text&gt;","")</f>
        <v/>
      </c>
      <c r="S67" s="58">
        <f>IF(I67=1,IF(N67="Motriz","&lt;circle cx='"&amp;SUBSTITUTE(ROUND(728,1),",",".")&amp;"' cy='"&amp;SUBSTITUTE(ROUND(503.4,1),",",".")&amp;"' r='4.3' fill='#2A3439' stroke='#2A3439' stroke-width='1.3'/&gt;",IF(N67="Enlace","&lt;rect x='"&amp;SUBSTITUTE(ROUND((728)-3.96,1),",",".")&amp;"' y='"&amp;SUBSTITUTE(ROUND((503.4)-3.96,1),",",".")&amp;"' width='7.92' height='7.92' fill='#6699CC' stroke='#2A3439' stroke-width='1.3'/&gt;",IF(N67="Resultado","&lt;path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Z67" s="58" t="n">
        <v>28</v>
      </c>
      <c r="AA67" s="58">
        <f>IF(AND($AA$4=1,Z67&lt;=nVariables),1,0)</f>
        <v/>
      </c>
      <c r="AB67" s="58">
        <f>IF(AA67=1,'M2'!$F37,"")</f>
        <v/>
      </c>
      <c r="AC67" s="58">
        <f>IF(AA67=1,'M2'!$E37,"")</f>
        <v/>
      </c>
      <c r="AD67" s="58">
        <f>IF(AA67=1,90+AB67*$AA$22,"")</f>
        <v/>
      </c>
      <c r="AE67" s="58">
        <f>IF(AA67=1,574-AC67*$AA$23,"")</f>
        <v/>
      </c>
      <c r="AF67" s="58">
        <f>IF(AA67=1,'M2'!$I37,"")</f>
        <v/>
      </c>
      <c r="AG67" s="58">
        <f>IF(AA67=1,IF(AF67="Motriz","#2A3439",IF(AF67="Enlace","#6699CC",IF(AF67="Resultado","#FFFFFF","#F5F5F5"))),"")</f>
        <v/>
      </c>
      <c r="AH67" s="58">
        <f>IF(AA67=1,IF(SUMPRODUCT((AB$39:AB66=AB67)*(AC$39:AC66=AC67))=0,1,0),0)</f>
        <v/>
      </c>
      <c r="AI67" s="58">
        <f>IF(AH67=1,28&amp;IF(AND(AB68=AB67,AC68=AC67),","&amp;29,"")&amp;IF(AND(AB69=AB67,AC69=AC67),","&amp;30,"")&amp;IF(AND(AB70=AB67,AC70=AC67),","&amp;31,"")&amp;IF(AND(AB71=AB67,AC71=AC67),","&amp;32,"")&amp;IF(AND(AB72=AB67,AC72=AC67),","&amp;33,"")&amp;IF(AND(AB73=AB67,AC73=AC67),","&amp;34,"")&amp;IF(AND(AB74=AB67,AC74=AC67),","&amp;35,"")&amp;IF(AND(AB75=AB67,AC75=AC67),","&amp;36,"")&amp;IF(AND(AB76=AB67,AC76=AC67),","&amp;37,"")&amp;IF(AND(AB77=AB67,AC77=AC67),","&amp;38,"")&amp;IF(AND(AB78=AB67,AC78=AC67),","&amp;39,"")&amp;IF(AND(AB79=AB67,AC79=AC67),","&amp;40,""),"")</f>
        <v/>
      </c>
      <c r="AJ67" s="58">
        <f>IF(AH67=1,IF(AF67="Motriz","&lt;circle cx='"&amp;SUBSTITUTE(ROUND(AD67,1),",",".")&amp;"' cy='"&amp;SUBSTITUTE(ROUND(AE67,1),",",".")&amp;"' r='6' fill='#2A3439' stroke='#2A3439' stroke-width='1.3'/&gt;",IF(AF67="Enlace","&lt;rect x='"&amp;SUBSTITUTE(ROUND((AD67)-5.52,1),",",".")&amp;"' y='"&amp;SUBSTITUTE(ROUND((AE67)-5.52,1),",",".")&amp;"' width='11.04' height='11.04' fill='#6699CC' stroke='#2A3439' stroke-width='1.3'/&gt;",IF(AF67="Resultado","&lt;path d='M"&amp;SUBSTITUTE(ROUND(AD67,1),",",".")&amp;" "&amp;SUBSTITUTE(ROUND((AE67)-6.9,1),",",".")&amp;"L"&amp;SUBSTITUTE(ROUND((AD67)+6.3,1),",",".")&amp;" "&amp;SUBSTITUTE(ROUND((AE67)+5.1,1),",",".")&amp;"L"&amp;SUBSTITUTE(ROUND((AD67)-6.3,1),",",".")&amp;" "&amp;SUBSTITUTE(ROUND((AE67)+5.1,1),",",".")&amp;"Z' fill='#FFFFFF' stroke='#2A3439' stroke-width='1.3'/&gt;","&lt;path d='M"&amp;SUBSTITUTE(ROUND(AD67,1),",",".")&amp;" "&amp;SUBSTITUTE(ROUND((AE67)-7.5,1),",",".")&amp;"L"&amp;SUBSTITUTE(ROUND((AD67)+7.5,1),",",".")&amp;" "&amp;SUBSTITUTE(ROUND(AE67,1),",",".")&amp;"L"&amp;SUBSTITUTE(ROUND(AD67,1),",",".")&amp;" "&amp;SUBSTITUTE(ROUND((AE67)+7.5,1),",",".")&amp;"L"&amp;SUBSTITUTE(ROUND((AD67)-7.5,1),",",".")&amp;" "&amp;SUBSTITUTE(ROUND(AE67,1),",",".")&amp;"Z' fill='#F5F5F5' stroke='#2A3439' stroke-width='1.3'/&gt;")))&amp;"&lt;text x='"&amp;SUBSTITUTE(ROUND(AD67+9,1),",",".")&amp;"' y='"&amp;SUBSTITUTE(ROUND(AE67-8,1),",",".")&amp;"'&gt;"&amp;AI67&amp;"&lt;/text&gt;","")</f>
        <v/>
      </c>
      <c r="AK67" s="58">
        <f>IF(AA67=1,IF(AF67="Motriz","&lt;circle cx='"&amp;SUBSTITUTE(ROUND(728,1),",",".")&amp;"' cy='"&amp;SUBSTITUTE(ROUND(503.4,1),",",".")&amp;"' r='4.3' fill='#2A3439' stroke='#2A3439' stroke-width='1.3'/&gt;",IF(AF67="Enlace","&lt;rect x='"&amp;SUBSTITUTE(ROUND((728)-3.96,1),",",".")&amp;"' y='"&amp;SUBSTITUTE(ROUND((503.4)-3.96,1),",",".")&amp;"' width='7.92' height='7.92' fill='#6699CC' stroke='#2A3439' stroke-width='1.3'/&gt;",IF(AF67="Resultado","&lt;path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AR67" s="58" t="n">
        <v>28</v>
      </c>
      <c r="AS67" s="58">
        <f>IF(AND($AS$4=1,AR67&lt;=nVariables),1,0)</f>
        <v/>
      </c>
      <c r="AT67" s="58">
        <f>IF(AS67=1,'M3'!$F37,"")</f>
        <v/>
      </c>
      <c r="AU67" s="58">
        <f>IF(AS67=1,'M3'!$E37,"")</f>
        <v/>
      </c>
      <c r="AV67" s="58">
        <f>IF(AS67=1,90+AT67*$AS$22,"")</f>
        <v/>
      </c>
      <c r="AW67" s="58">
        <f>IF(AS67=1,574-AU67*$AS$23,"")</f>
        <v/>
      </c>
      <c r="AX67" s="58">
        <f>IF(AS67=1,'M3'!$I37,"")</f>
        <v/>
      </c>
      <c r="AY67" s="58">
        <f>IF(AS67=1,IF(AX67="Motriz","#2A3439",IF(AX67="Enlace","#6699CC",IF(AX67="Resultado","#FFFFFF","#F5F5F5"))),"")</f>
        <v/>
      </c>
      <c r="AZ67" s="58">
        <f>IF(AS67=1,IF(SUMPRODUCT((AT$39:AT66=AT67)*(AU$39:AU66=AU67))=0,1,0),0)</f>
        <v/>
      </c>
      <c r="BA67" s="58">
        <f>IF(AZ67=1,28&amp;IF(AND(AT68=AT67,AU68=AU67),","&amp;29,"")&amp;IF(AND(AT69=AT67,AU69=AU67),","&amp;30,"")&amp;IF(AND(AT70=AT67,AU70=AU67),","&amp;31,"")&amp;IF(AND(AT71=AT67,AU71=AU67),","&amp;32,"")&amp;IF(AND(AT72=AT67,AU72=AU67),","&amp;33,"")&amp;IF(AND(AT73=AT67,AU73=AU67),","&amp;34,"")&amp;IF(AND(AT74=AT67,AU74=AU67),","&amp;35,"")&amp;IF(AND(AT75=AT67,AU75=AU67),","&amp;36,"")&amp;IF(AND(AT76=AT67,AU76=AU67),","&amp;37,"")&amp;IF(AND(AT77=AT67,AU77=AU67),","&amp;38,"")&amp;IF(AND(AT78=AT67,AU78=AU67),","&amp;39,"")&amp;IF(AND(AT79=AT67,AU79=AU67),","&amp;40,""),"")</f>
        <v/>
      </c>
      <c r="BB67" s="58">
        <f>IF(AZ67=1,IF(AX67="Motriz","&lt;circle cx='"&amp;SUBSTITUTE(ROUND(AV67,1),",",".")&amp;"' cy='"&amp;SUBSTITUTE(ROUND(AW67,1),",",".")&amp;"' r='6' fill='#2A3439' stroke='#2A3439' stroke-width='1.3'/&gt;",IF(AX67="Enlace","&lt;rect x='"&amp;SUBSTITUTE(ROUND((AV67)-5.52,1),",",".")&amp;"' y='"&amp;SUBSTITUTE(ROUND((AW67)-5.52,1),",",".")&amp;"' width='11.04' height='11.04' fill='#6699CC' stroke='#2A3439' stroke-width='1.3'/&gt;",IF(AX67="Resultado","&lt;path d='M"&amp;SUBSTITUTE(ROUND(AV67,1),",",".")&amp;" "&amp;SUBSTITUTE(ROUND((AW67)-6.9,1),",",".")&amp;"L"&amp;SUBSTITUTE(ROUND((AV67)+6.3,1),",",".")&amp;" "&amp;SUBSTITUTE(ROUND((AW67)+5.1,1),",",".")&amp;"L"&amp;SUBSTITUTE(ROUND((AV67)-6.3,1),",",".")&amp;" "&amp;SUBSTITUTE(ROUND((AW67)+5.1,1),",",".")&amp;"Z' fill='#FFFFFF' stroke='#2A3439' stroke-width='1.3'/&gt;","&lt;path d='M"&amp;SUBSTITUTE(ROUND(AV67,1),",",".")&amp;" "&amp;SUBSTITUTE(ROUND((AW67)-7.5,1),",",".")&amp;"L"&amp;SUBSTITUTE(ROUND((AV67)+7.5,1),",",".")&amp;" "&amp;SUBSTITUTE(ROUND(AW67,1),",",".")&amp;"L"&amp;SUBSTITUTE(ROUND(AV67,1),",",".")&amp;" "&amp;SUBSTITUTE(ROUND((AW67)+7.5,1),",",".")&amp;"L"&amp;SUBSTITUTE(ROUND((AV67)-7.5,1),",",".")&amp;" "&amp;SUBSTITUTE(ROUND(AW67,1),",",".")&amp;"Z' fill='#F5F5F5' stroke='#2A3439' stroke-width='1.3'/&gt;")))&amp;"&lt;text x='"&amp;SUBSTITUTE(ROUND(AV67+9,1),",",".")&amp;"' y='"&amp;SUBSTITUTE(ROUND(AW67-8,1),",",".")&amp;"'&gt;"&amp;BA67&amp;"&lt;/text&gt;","")</f>
        <v/>
      </c>
      <c r="BC67" s="58">
        <f>IF(AS67=1,IF(AX67="Motriz","&lt;circle cx='"&amp;SUBSTITUTE(ROUND(728,1),",",".")&amp;"' cy='"&amp;SUBSTITUTE(ROUND(503.4,1),",",".")&amp;"' r='4.3' fill='#2A3439' stroke='#2A3439' stroke-width='1.3'/&gt;",IF(AX67="Enlace","&lt;rect x='"&amp;SUBSTITUTE(ROUND((728)-3.96,1),",",".")&amp;"' y='"&amp;SUBSTITUTE(ROUND((503.4)-3.96,1),",",".")&amp;"' width='7.92' height='7.92' fill='#6699CC' stroke='#2A3439' stroke-width='1.3'/&gt;",IF(AX67="Resultado","&lt;path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BJ67" s="58" t="n">
        <v>28</v>
      </c>
      <c r="BK67" s="58">
        <f>IF(AND($BK$4=1,BJ67&lt;=nVariables),1,0)</f>
        <v/>
      </c>
      <c r="BL67" s="58">
        <f>IF(BK67=1,'M4'!$F37,"")</f>
        <v/>
      </c>
      <c r="BM67" s="58">
        <f>IF(BK67=1,'M4'!$E37,"")</f>
        <v/>
      </c>
      <c r="BN67" s="58">
        <f>IF(BK67=1,90+BL67*$BK$22,"")</f>
        <v/>
      </c>
      <c r="BO67" s="58">
        <f>IF(BK67=1,574-BM67*$BK$23,"")</f>
        <v/>
      </c>
      <c r="BP67" s="58">
        <f>IF(BK67=1,'M4'!$I37,"")</f>
        <v/>
      </c>
      <c r="BQ67" s="58">
        <f>IF(BK67=1,IF(BP67="Motriz","#2A3439",IF(BP67="Enlace","#6699CC",IF(BP67="Resultado","#FFFFFF","#F5F5F5"))),"")</f>
        <v/>
      </c>
      <c r="BR67" s="58">
        <f>IF(BK67=1,IF(SUMPRODUCT((BL$39:BL66=BL67)*(BM$39:BM66=BM67))=0,1,0),0)</f>
        <v/>
      </c>
      <c r="BS67" s="58">
        <f>IF(BR67=1,28&amp;IF(AND(BL68=BL67,BM68=BM67),","&amp;29,"")&amp;IF(AND(BL69=BL67,BM69=BM67),","&amp;30,"")&amp;IF(AND(BL70=BL67,BM70=BM67),","&amp;31,"")&amp;IF(AND(BL71=BL67,BM71=BM67),","&amp;32,"")&amp;IF(AND(BL72=BL67,BM72=BM67),","&amp;33,"")&amp;IF(AND(BL73=BL67,BM73=BM67),","&amp;34,"")&amp;IF(AND(BL74=BL67,BM74=BM67),","&amp;35,"")&amp;IF(AND(BL75=BL67,BM75=BM67),","&amp;36,"")&amp;IF(AND(BL76=BL67,BM76=BM67),","&amp;37,"")&amp;IF(AND(BL77=BL67,BM77=BM67),","&amp;38,"")&amp;IF(AND(BL78=BL67,BM78=BM67),","&amp;39,"")&amp;IF(AND(BL79=BL67,BM79=BM67),","&amp;40,""),"")</f>
        <v/>
      </c>
      <c r="BT67" s="58">
        <f>IF(BR67=1,IF(BP67="Motriz","&lt;circle cx='"&amp;SUBSTITUTE(ROUND(BN67,1),",",".")&amp;"' cy='"&amp;SUBSTITUTE(ROUND(BO67,1),",",".")&amp;"' r='6' fill='#2A3439' stroke='#2A3439' stroke-width='1.3'/&gt;",IF(BP67="Enlace","&lt;rect x='"&amp;SUBSTITUTE(ROUND((BN67)-5.52,1),",",".")&amp;"' y='"&amp;SUBSTITUTE(ROUND((BO67)-5.52,1),",",".")&amp;"' width='11.04' height='11.04' fill='#6699CC' stroke='#2A3439' stroke-width='1.3'/&gt;",IF(BP67="Resultado","&lt;path d='M"&amp;SUBSTITUTE(ROUND(BN67,1),",",".")&amp;" "&amp;SUBSTITUTE(ROUND((BO67)-6.9,1),",",".")&amp;"L"&amp;SUBSTITUTE(ROUND((BN67)+6.3,1),",",".")&amp;" "&amp;SUBSTITUTE(ROUND((BO67)+5.1,1),",",".")&amp;"L"&amp;SUBSTITUTE(ROUND((BN67)-6.3,1),",",".")&amp;" "&amp;SUBSTITUTE(ROUND((BO67)+5.1,1),",",".")&amp;"Z' fill='#FFFFFF' stroke='#2A3439' stroke-width='1.3'/&gt;","&lt;path d='M"&amp;SUBSTITUTE(ROUND(BN67,1),",",".")&amp;" "&amp;SUBSTITUTE(ROUND((BO67)-7.5,1),",",".")&amp;"L"&amp;SUBSTITUTE(ROUND((BN67)+7.5,1),",",".")&amp;" "&amp;SUBSTITUTE(ROUND(BO67,1),",",".")&amp;"L"&amp;SUBSTITUTE(ROUND(BN67,1),",",".")&amp;" "&amp;SUBSTITUTE(ROUND((BO67)+7.5,1),",",".")&amp;"L"&amp;SUBSTITUTE(ROUND((BN67)-7.5,1),",",".")&amp;" "&amp;SUBSTITUTE(ROUND(BO67,1),",",".")&amp;"Z' fill='#F5F5F5' stroke='#2A3439' stroke-width='1.3'/&gt;")))&amp;"&lt;text x='"&amp;SUBSTITUTE(ROUND(BN67+9,1),",",".")&amp;"' y='"&amp;SUBSTITUTE(ROUND(BO67-8,1),",",".")&amp;"'&gt;"&amp;BS67&amp;"&lt;/text&gt;","")</f>
        <v/>
      </c>
      <c r="BU67" s="58">
        <f>IF(BK67=1,IF(BP67="Motriz","&lt;circle cx='"&amp;SUBSTITUTE(ROUND(728,1),",",".")&amp;"' cy='"&amp;SUBSTITUTE(ROUND(503.4,1),",",".")&amp;"' r='4.3' fill='#2A3439' stroke='#2A3439' stroke-width='1.3'/&gt;",IF(BP67="Enlace","&lt;rect x='"&amp;SUBSTITUTE(ROUND((728)-3.96,1),",",".")&amp;"' y='"&amp;SUBSTITUTE(ROUND((503.4)-3.96,1),",",".")&amp;"' width='7.92' height='7.92' fill='#6699CC' stroke='#2A3439' stroke-width='1.3'/&gt;",IF(BP67="Resultado","&lt;path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CB67" s="58" t="n">
        <v>28</v>
      </c>
      <c r="CC67" s="58">
        <f>IF(AND($CC$4=1,CB67&lt;=nVariables),1,0)</f>
        <v/>
      </c>
      <c r="CD67" s="58">
        <f>IF(CC67=1,'M5'!$F37,"")</f>
        <v/>
      </c>
      <c r="CE67" s="58">
        <f>IF(CC67=1,'M5'!$E37,"")</f>
        <v/>
      </c>
      <c r="CF67" s="58">
        <f>IF(CC67=1,90+CD67*$CC$22,"")</f>
        <v/>
      </c>
      <c r="CG67" s="58">
        <f>IF(CC67=1,574-CE67*$CC$23,"")</f>
        <v/>
      </c>
      <c r="CH67" s="58">
        <f>IF(CC67=1,'M5'!$I37,"")</f>
        <v/>
      </c>
      <c r="CI67" s="58">
        <f>IF(CC67=1,IF(CH67="Motriz","#2A3439",IF(CH67="Enlace","#6699CC",IF(CH67="Resultado","#FFFFFF","#F5F5F5"))),"")</f>
        <v/>
      </c>
      <c r="CJ67" s="58">
        <f>IF(CC67=1,IF(SUMPRODUCT((CD$39:CD66=CD67)*(CE$39:CE66=CE67))=0,1,0),0)</f>
        <v/>
      </c>
      <c r="CK67" s="58">
        <f>IF(CJ67=1,28&amp;IF(AND(CD68=CD67,CE68=CE67),","&amp;29,"")&amp;IF(AND(CD69=CD67,CE69=CE67),","&amp;30,"")&amp;IF(AND(CD70=CD67,CE70=CE67),","&amp;31,"")&amp;IF(AND(CD71=CD67,CE71=CE67),","&amp;32,"")&amp;IF(AND(CD72=CD67,CE72=CE67),","&amp;33,"")&amp;IF(AND(CD73=CD67,CE73=CE67),","&amp;34,"")&amp;IF(AND(CD74=CD67,CE74=CE67),","&amp;35,"")&amp;IF(AND(CD75=CD67,CE75=CE67),","&amp;36,"")&amp;IF(AND(CD76=CD67,CE76=CE67),","&amp;37,"")&amp;IF(AND(CD77=CD67,CE77=CE67),","&amp;38,"")&amp;IF(AND(CD78=CD67,CE78=CE67),","&amp;39,"")&amp;IF(AND(CD79=CD67,CE79=CE67),","&amp;40,""),"")</f>
        <v/>
      </c>
      <c r="CL67" s="58">
        <f>IF(CJ67=1,IF(CH67="Motriz","&lt;circle cx='"&amp;SUBSTITUTE(ROUND(CF67,1),",",".")&amp;"' cy='"&amp;SUBSTITUTE(ROUND(CG67,1),",",".")&amp;"' r='6' fill='#2A3439' stroke='#2A3439' stroke-width='1.3'/&gt;",IF(CH67="Enlace","&lt;rect x='"&amp;SUBSTITUTE(ROUND((CF67)-5.52,1),",",".")&amp;"' y='"&amp;SUBSTITUTE(ROUND((CG67)-5.52,1),",",".")&amp;"' width='11.04' height='11.04' fill='#6699CC' stroke='#2A3439' stroke-width='1.3'/&gt;",IF(CH67="Resultado","&lt;path d='M"&amp;SUBSTITUTE(ROUND(CF67,1),",",".")&amp;" "&amp;SUBSTITUTE(ROUND((CG67)-6.9,1),",",".")&amp;"L"&amp;SUBSTITUTE(ROUND((CF67)+6.3,1),",",".")&amp;" "&amp;SUBSTITUTE(ROUND((CG67)+5.1,1),",",".")&amp;"L"&amp;SUBSTITUTE(ROUND((CF67)-6.3,1),",",".")&amp;" "&amp;SUBSTITUTE(ROUND((CG67)+5.1,1),",",".")&amp;"Z' fill='#FFFFFF' stroke='#2A3439' stroke-width='1.3'/&gt;","&lt;path d='M"&amp;SUBSTITUTE(ROUND(CF67,1),",",".")&amp;" "&amp;SUBSTITUTE(ROUND((CG67)-7.5,1),",",".")&amp;"L"&amp;SUBSTITUTE(ROUND((CF67)+7.5,1),",",".")&amp;" "&amp;SUBSTITUTE(ROUND(CG67,1),",",".")&amp;"L"&amp;SUBSTITUTE(ROUND(CF67,1),",",".")&amp;" "&amp;SUBSTITUTE(ROUND((CG67)+7.5,1),",",".")&amp;"L"&amp;SUBSTITUTE(ROUND((CF67)-7.5,1),",",".")&amp;" "&amp;SUBSTITUTE(ROUND(CG67,1),",",".")&amp;"Z' fill='#F5F5F5' stroke='#2A3439' stroke-width='1.3'/&gt;")))&amp;"&lt;text x='"&amp;SUBSTITUTE(ROUND(CF67+9,1),",",".")&amp;"' y='"&amp;SUBSTITUTE(ROUND(CG67-8,1),",",".")&amp;"'&gt;"&amp;CK67&amp;"&lt;/text&gt;","")</f>
        <v/>
      </c>
      <c r="CM67" s="58">
        <f>IF(CC67=1,IF(CH67="Motriz","&lt;circle cx='"&amp;SUBSTITUTE(ROUND(728,1),",",".")&amp;"' cy='"&amp;SUBSTITUTE(ROUND(503.4,1),",",".")&amp;"' r='4.3' fill='#2A3439' stroke='#2A3439' stroke-width='1.3'/&gt;",IF(CH67="Enlace","&lt;rect x='"&amp;SUBSTITUTE(ROUND((728)-3.96,1),",",".")&amp;"' y='"&amp;SUBSTITUTE(ROUND((503.4)-3.96,1),",",".")&amp;"' width='7.92' height='7.92' fill='#6699CC' stroke='#2A3439' stroke-width='1.3'/&gt;",IF(CH67="Resultado","&lt;path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CT67" s="58" t="n">
        <v>28</v>
      </c>
      <c r="CU67" s="58">
        <f>IF(AND($CU$4=1,CT67&lt;=nVariables),1,0)</f>
        <v/>
      </c>
      <c r="CV67" s="58">
        <f>IF(CU67=1,'M6'!$F37,"")</f>
        <v/>
      </c>
      <c r="CW67" s="58">
        <f>IF(CU67=1,'M6'!$E37,"")</f>
        <v/>
      </c>
      <c r="CX67" s="58">
        <f>IF(CU67=1,90+CV67*$CU$22,"")</f>
        <v/>
      </c>
      <c r="CY67" s="58">
        <f>IF(CU67=1,574-CW67*$CU$23,"")</f>
        <v/>
      </c>
      <c r="CZ67" s="58">
        <f>IF(CU67=1,'M6'!$I37,"")</f>
        <v/>
      </c>
      <c r="DA67" s="58">
        <f>IF(CU67=1,IF(CZ67="Motriz","#2A3439",IF(CZ67="Enlace","#6699CC",IF(CZ67="Resultado","#FFFFFF","#F5F5F5"))),"")</f>
        <v/>
      </c>
      <c r="DB67" s="58">
        <f>IF(CU67=1,IF(SUMPRODUCT((CV$39:CV66=CV67)*(CW$39:CW66=CW67))=0,1,0),0)</f>
        <v/>
      </c>
      <c r="DC67" s="58">
        <f>IF(DB67=1,28&amp;IF(AND(CV68=CV67,CW68=CW67),","&amp;29,"")&amp;IF(AND(CV69=CV67,CW69=CW67),","&amp;30,"")&amp;IF(AND(CV70=CV67,CW70=CW67),","&amp;31,"")&amp;IF(AND(CV71=CV67,CW71=CW67),","&amp;32,"")&amp;IF(AND(CV72=CV67,CW72=CW67),","&amp;33,"")&amp;IF(AND(CV73=CV67,CW73=CW67),","&amp;34,"")&amp;IF(AND(CV74=CV67,CW74=CW67),","&amp;35,"")&amp;IF(AND(CV75=CV67,CW75=CW67),","&amp;36,"")&amp;IF(AND(CV76=CV67,CW76=CW67),","&amp;37,"")&amp;IF(AND(CV77=CV67,CW77=CW67),","&amp;38,"")&amp;IF(AND(CV78=CV67,CW78=CW67),","&amp;39,"")&amp;IF(AND(CV79=CV67,CW79=CW67),","&amp;40,""),"")</f>
        <v/>
      </c>
      <c r="DD67" s="58">
        <f>IF(DB67=1,IF(CZ67="Motriz","&lt;circle cx='"&amp;SUBSTITUTE(ROUND(CX67,1),",",".")&amp;"' cy='"&amp;SUBSTITUTE(ROUND(CY67,1),",",".")&amp;"' r='6' fill='#2A3439' stroke='#2A3439' stroke-width='1.3'/&gt;",IF(CZ67="Enlace","&lt;rect x='"&amp;SUBSTITUTE(ROUND((CX67)-5.52,1),",",".")&amp;"' y='"&amp;SUBSTITUTE(ROUND((CY67)-5.52,1),",",".")&amp;"' width='11.04' height='11.04' fill='#6699CC' stroke='#2A3439' stroke-width='1.3'/&gt;",IF(CZ67="Resultado","&lt;path d='M"&amp;SUBSTITUTE(ROUND(CX67,1),",",".")&amp;" "&amp;SUBSTITUTE(ROUND((CY67)-6.9,1),",",".")&amp;"L"&amp;SUBSTITUTE(ROUND((CX67)+6.3,1),",",".")&amp;" "&amp;SUBSTITUTE(ROUND((CY67)+5.1,1),",",".")&amp;"L"&amp;SUBSTITUTE(ROUND((CX67)-6.3,1),",",".")&amp;" "&amp;SUBSTITUTE(ROUND((CY67)+5.1,1),",",".")&amp;"Z' fill='#FFFFFF' stroke='#2A3439' stroke-width='1.3'/&gt;","&lt;path d='M"&amp;SUBSTITUTE(ROUND(CX67,1),",",".")&amp;" "&amp;SUBSTITUTE(ROUND((CY67)-7.5,1),",",".")&amp;"L"&amp;SUBSTITUTE(ROUND((CX67)+7.5,1),",",".")&amp;" "&amp;SUBSTITUTE(ROUND(CY67,1),",",".")&amp;"L"&amp;SUBSTITUTE(ROUND(CX67,1),",",".")&amp;" "&amp;SUBSTITUTE(ROUND((CY67)+7.5,1),",",".")&amp;"L"&amp;SUBSTITUTE(ROUND((CX67)-7.5,1),",",".")&amp;" "&amp;SUBSTITUTE(ROUND(CY67,1),",",".")&amp;"Z' fill='#F5F5F5' stroke='#2A3439' stroke-width='1.3'/&gt;")))&amp;"&lt;text x='"&amp;SUBSTITUTE(ROUND(CX67+9,1),",",".")&amp;"' y='"&amp;SUBSTITUTE(ROUND(CY67-8,1),",",".")&amp;"'&gt;"&amp;DC67&amp;"&lt;/text&gt;","")</f>
        <v/>
      </c>
      <c r="DE67" s="58">
        <f>IF(CU67=1,IF(CZ67="Motriz","&lt;circle cx='"&amp;SUBSTITUTE(ROUND(728,1),",",".")&amp;"' cy='"&amp;SUBSTITUTE(ROUND(503.4,1),",",".")&amp;"' r='4.3' fill='#2A3439' stroke='#2A3439' stroke-width='1.3'/&gt;",IF(CZ67="Enlace","&lt;rect x='"&amp;SUBSTITUTE(ROUND((728)-3.96,1),",",".")&amp;"' y='"&amp;SUBSTITUTE(ROUND((503.4)-3.96,1),",",".")&amp;"' width='7.92' height='7.92' fill='#6699CC' stroke='#2A3439' stroke-width='1.3'/&gt;",IF(CZ67="Resultado","&lt;path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DL67" s="58" t="n">
        <v>16</v>
      </c>
      <c r="DM67" s="58">
        <f>IF(AND($DM$4=1,DL67&lt;=nVariables),IF('M6'!$I25="Resultado","E",IF('M6'!$I25="Enlace","L",IF('M6'!$I25="Motriz","R",IF('M6'!$I25="Autónoma","A","")))),"")</f>
        <v/>
      </c>
      <c r="DN67" s="58">
        <f>IF(DM67&lt;&gt;"",COUNTIF($DM$52:DM67,DM67),"")</f>
        <v/>
      </c>
      <c r="DO67" s="58">
        <f>IF(DM67&lt;&gt;"",SUBSTITUTE(SUBSTITUTE(SUBSTITUTE(SUBSTITUTE(SUBSTITUTE(SUBSTITUTE(SUBSTITUTE(TRIM(CLEAN(IF(LEN(16&amp;" · "&amp;$D55)&gt;30,LEFT(16&amp;" · "&amp;$D55,29)&amp;"…",16&amp;" · "&amp;$D55))),"&amp;","&amp;amp;"),"&lt;","&amp;lt;"),"&gt;","&amp;gt;"),CHAR(34),"&amp;quot;"),CHAR(10)," "),CHAR(9)," "),CHAR(13)," "),"")</f>
        <v/>
      </c>
      <c r="DP67" s="58">
        <f>IF(DM67&lt;&gt;"",IF($E55&lt;&gt;"",$E55,IF(DM67="E","(efecto · indicador de resultado)",IF(DM67="L","(causa directa · riesgo)",IF(DM67="R","CAUSA RAÍZ · componente del proyecto","(fuera del alcance)")))),"")</f>
        <v/>
      </c>
      <c r="DQ67" s="58">
        <f>IF(DM67&lt;&gt;"",IF(LEN(DP67)&gt;74,LEFT(DP67,73)&amp;"…",DP67),"")</f>
        <v/>
      </c>
      <c r="DR67" s="58">
        <f>IF(DM67&lt;&gt;"",IF(LEN(DQ67)&lt;=37,LEN(DQ67)+1,IFERROR(FIND("~",SUBSTITUTE(LEFT(DQ67,38)," ","~",LEN(LEFT(DQ67,38))-LEN(SUBSTITUTE(LEFT(DQ67,38)," ","")))),38)),"")</f>
        <v/>
      </c>
      <c r="DS67" s="58">
        <f>IF(DM67&lt;&gt;"",SUBSTITUTE(SUBSTITUTE(SUBSTITUTE(SUBSTITUTE(SUBSTITUTE(SUBSTITUTE(SUBSTITUTE(TRIM(CLEAN(TRIM(LEFT(DQ67,DR67-1)))),"&amp;","&amp;amp;"),"&lt;","&amp;lt;"),"&gt;","&amp;gt;"),CHAR(34),"&amp;quot;"),CHAR(10)," "),CHAR(9)," "),CHAR(13)," "),"")</f>
        <v/>
      </c>
      <c r="DT67" s="58">
        <f>IF(DM67&lt;&gt;"",SUBSTITUTE(SUBSTITUTE(SUBSTITUTE(SUBSTITUTE(SUBSTITUTE(SUBSTITUTE(SUBSTITUTE(TRIM(CLEAN(IF(LEN(TRIM(MID(DQ67,DR67,80)))&gt;37,LEFT(TRIM(MID(DQ67,DR67,80)),36)&amp;"…",TRIM(MID(DQ67,DR67,80))))),"&amp;","&amp;amp;"),"&lt;","&amp;lt;"),"&gt;","&amp;gt;"),CHAR(34),"&amp;quot;"),CHAR(10)," "),CHAR(9)," "),CHAR(13)," "),"")</f>
        <v/>
      </c>
      <c r="DU67" s="58">
        <f>IF(DM67&lt;&gt;"",(1200-(MIN(5,IF(DM67="E",$DM$5,IF(DM67="L",$DM$8,IF(DM67="R",$DM$11,$DM$14)))-INT((DN67-1)/5)*5)*216+(MIN(5,IF(DM67="E",$DM$5,IF(DM67="L",$DM$8,IF(DM67="R",$DM$11,$DM$14)))-INT((DN67-1)/5)*5)-1)*14))/2+MOD(DN67-1,5)*(216+14),"")</f>
        <v/>
      </c>
      <c r="DV67" s="58">
        <f>IF(DM67&lt;&gt;"",IF(DM67="E",$DM$17,IF(DM67="L",$DM$21,IF(DM67="R",$DM$23,$DM$25)))+24+INT((DN67-1)/5)*(64+12),"")</f>
        <v/>
      </c>
      <c r="DW67" s="58">
        <f>IF(DM67&lt;&gt;"","&lt;rect x='"&amp;SUBSTITUTE(ROUND(DU67,1),",",".")&amp;"' y='"&amp;SUBSTITUTE(ROUND(DV67,1),",",".")&amp;"' width='216' height='64' rx='9' fill='"&amp;IF(DM67="E","#B9D9EB",IF(DM67="L","#9EB9D4",IF(DM67="R","#6699CC","#F5F5F5")))&amp;"' stroke='#2A3439' stroke-width='1'"&amp;IF(DM67="A"," stroke-dasharray='5 3'","")&amp;"/&gt;"&amp;"&lt;text x='"&amp;SUBSTITUTE(ROUND((DU67+108),1),",",".")&amp;"' y='"&amp;SUBSTITUTE(ROUND(DV67+20,1),",",".")&amp;"' font-size='12' font-weight='bold'&gt;"&amp;DO67&amp;"&lt;/text&gt;"&amp;"&lt;text x='"&amp;SUBSTITUTE(ROUND((DU67+108),1),",",".")&amp;"' y='"&amp;SUBSTITUTE(ROUND(DV67+38,1),",",".")&amp;"' font-size='10'&gt;"&amp;DS67&amp;"&lt;/text&gt;"&amp;"&lt;text x='"&amp;SUBSTITUTE(ROUND((DU67+108),1),",",".")&amp;"' y='"&amp;SUBSTITUTE(ROUND(DV67+53,1),",",".")&amp;"' font-size='10'&gt;"&amp;DT67&amp;"&lt;/text&gt;","")</f>
        <v/>
      </c>
    </row>
    <row r="68">
      <c r="A68" s="58" t="n">
        <v>29</v>
      </c>
      <c r="B68" s="58">
        <f>IF($A68&lt;=nVariables,SUBSTITUTE(SUBSTITUTE(SUBSTITUTE(SUBSTITUTE(SUBSTITUTE(SUBSTITUTE(SUBSTITUTE(TRIM(CLEAN(IF(LEN(TRIM(M!$B38))&gt;46,LEFT(TRIM(M!$B38),45)&amp;"…",TRIM(M!$B38)))),"&amp;","&amp;amp;"),"&lt;","&amp;lt;"),"&gt;","&amp;gt;"),CHAR(34),"&amp;quot;"),CHAR(10)," "),CHAR(9)," "),CHAR(13)," "),"")</f>
        <v/>
      </c>
      <c r="C68" s="58">
        <f>IF($A68&lt;=nVariables,$A68&amp;". "&amp;B68,"")</f>
        <v/>
      </c>
      <c r="D68" s="58">
        <f>IF($A68&lt;=nVariables,IF(TRIM(M!$C38)&lt;&gt;"",TRIM(M!$C38),IF(LEN(TRIM(M!$B38))&gt;24,LEFT(TRIM(M!$B38),23)&amp;"…",TRIM(M!$B38))),"")</f>
        <v/>
      </c>
      <c r="E68" s="58">
        <f>IF($A68&lt;=nVariables,TRIM('Árbol de Problemas'!$F47),"")</f>
        <v/>
      </c>
      <c r="H68" s="58" t="n">
        <v>29</v>
      </c>
      <c r="I68" s="58">
        <f>IF(AND($I$4=1,H68&lt;=nVariables),1,0)</f>
        <v/>
      </c>
      <c r="J68" s="58">
        <f>IF(I68=1,'M1'!$F38,"")</f>
        <v/>
      </c>
      <c r="K68" s="58">
        <f>IF(I68=1,'M1'!$E38,"")</f>
        <v/>
      </c>
      <c r="L68" s="58">
        <f>IF(I68=1,90+J68*$I$22,"")</f>
        <v/>
      </c>
      <c r="M68" s="58">
        <f>IF(I68=1,574-K68*$I$23,"")</f>
        <v/>
      </c>
      <c r="N68" s="58">
        <f>IF(I68=1,'M1'!$I38,"")</f>
        <v/>
      </c>
      <c r="O68" s="58">
        <f>IF(I68=1,IF(N68="Motriz","#2A3439",IF(N68="Enlace","#6699CC",IF(N68="Resultado","#FFFFFF","#F5F5F5"))),"")</f>
        <v/>
      </c>
      <c r="P68" s="58">
        <f>IF(I68=1,IF(SUMPRODUCT((J$39:J67=J68)*(K$39:K67=K68))=0,1,0),0)</f>
        <v/>
      </c>
      <c r="Q68" s="58">
        <f>IF(P68=1,29&amp;IF(AND(J69=J68,K69=K68),","&amp;30,"")&amp;IF(AND(J70=J68,K70=K68),","&amp;31,"")&amp;IF(AND(J71=J68,K71=K68),","&amp;32,"")&amp;IF(AND(J72=J68,K72=K68),","&amp;33,"")&amp;IF(AND(J73=J68,K73=K68),","&amp;34,"")&amp;IF(AND(J74=J68,K74=K68),","&amp;35,"")&amp;IF(AND(J75=J68,K75=K68),","&amp;36,"")&amp;IF(AND(J76=J68,K76=K68),","&amp;37,"")&amp;IF(AND(J77=J68,K77=K68),","&amp;38,"")&amp;IF(AND(J78=J68,K78=K68),","&amp;39,"")&amp;IF(AND(J79=J68,K79=K68),","&amp;40,""),"")</f>
        <v/>
      </c>
      <c r="R68" s="58">
        <f>IF(P68=1,IF(N68="Motriz","&lt;circle cx='"&amp;SUBSTITUTE(ROUND(L68,1),",",".")&amp;"' cy='"&amp;SUBSTITUTE(ROUND(M68,1),",",".")&amp;"' r='6' fill='#2A3439' stroke='#2A3439' stroke-width='1.3'/&gt;",IF(N68="Enlace","&lt;rect x='"&amp;SUBSTITUTE(ROUND((L68)-5.52,1),",",".")&amp;"' y='"&amp;SUBSTITUTE(ROUND((M68)-5.52,1),",",".")&amp;"' width='11.04' height='11.04' fill='#6699CC' stroke='#2A3439' stroke-width='1.3'/&gt;",IF(N68="Resultado","&lt;path d='M"&amp;SUBSTITUTE(ROUND(L68,1),",",".")&amp;" "&amp;SUBSTITUTE(ROUND((M68)-6.9,1),",",".")&amp;"L"&amp;SUBSTITUTE(ROUND((L68)+6.3,1),",",".")&amp;" "&amp;SUBSTITUTE(ROUND((M68)+5.1,1),",",".")&amp;"L"&amp;SUBSTITUTE(ROUND((L68)-6.3,1),",",".")&amp;" "&amp;SUBSTITUTE(ROUND((M68)+5.1,1),",",".")&amp;"Z' fill='#FFFFFF' stroke='#2A3439' stroke-width='1.3'/&gt;","&lt;path d='M"&amp;SUBSTITUTE(ROUND(L68,1),",",".")&amp;" "&amp;SUBSTITUTE(ROUND((M68)-7.5,1),",",".")&amp;"L"&amp;SUBSTITUTE(ROUND((L68)+7.5,1),",",".")&amp;" "&amp;SUBSTITUTE(ROUND(M68,1),",",".")&amp;"L"&amp;SUBSTITUTE(ROUND(L68,1),",",".")&amp;" "&amp;SUBSTITUTE(ROUND((M68)+7.5,1),",",".")&amp;"L"&amp;SUBSTITUTE(ROUND((L68)-7.5,1),",",".")&amp;" "&amp;SUBSTITUTE(ROUND(M68,1),",",".")&amp;"Z' fill='#F5F5F5' stroke='#2A3439' stroke-width='1.3'/&gt;")))&amp;"&lt;text x='"&amp;SUBSTITUTE(ROUND(L68+9,1),",",".")&amp;"' y='"&amp;SUBSTITUTE(ROUND(M68-8,1),",",".")&amp;"'&gt;"&amp;Q68&amp;"&lt;/text&gt;","")</f>
        <v/>
      </c>
      <c r="S68" s="58">
        <f>IF(I68=1,IF(N68="Motriz","&lt;circle cx='"&amp;SUBSTITUTE(ROUND(728,1),",",".")&amp;"' cy='"&amp;SUBSTITUTE(ROUND(517.6,1),",",".")&amp;"' r='4.3' fill='#2A3439' stroke='#2A3439' stroke-width='1.3'/&gt;",IF(N68="Enlace","&lt;rect x='"&amp;SUBSTITUTE(ROUND((728)-3.96,1),",",".")&amp;"' y='"&amp;SUBSTITUTE(ROUND((517.6)-3.96,1),",",".")&amp;"' width='7.92' height='7.92' fill='#6699CC' stroke='#2A3439' stroke-width='1.3'/&gt;",IF(N68="Resultado","&lt;path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Z68" s="58" t="n">
        <v>29</v>
      </c>
      <c r="AA68" s="58">
        <f>IF(AND($AA$4=1,Z68&lt;=nVariables),1,0)</f>
        <v/>
      </c>
      <c r="AB68" s="58">
        <f>IF(AA68=1,'M2'!$F38,"")</f>
        <v/>
      </c>
      <c r="AC68" s="58">
        <f>IF(AA68=1,'M2'!$E38,"")</f>
        <v/>
      </c>
      <c r="AD68" s="58">
        <f>IF(AA68=1,90+AB68*$AA$22,"")</f>
        <v/>
      </c>
      <c r="AE68" s="58">
        <f>IF(AA68=1,574-AC68*$AA$23,"")</f>
        <v/>
      </c>
      <c r="AF68" s="58">
        <f>IF(AA68=1,'M2'!$I38,"")</f>
        <v/>
      </c>
      <c r="AG68" s="58">
        <f>IF(AA68=1,IF(AF68="Motriz","#2A3439",IF(AF68="Enlace","#6699CC",IF(AF68="Resultado","#FFFFFF","#F5F5F5"))),"")</f>
        <v/>
      </c>
      <c r="AH68" s="58">
        <f>IF(AA68=1,IF(SUMPRODUCT((AB$39:AB67=AB68)*(AC$39:AC67=AC68))=0,1,0),0)</f>
        <v/>
      </c>
      <c r="AI68" s="58">
        <f>IF(AH68=1,29&amp;IF(AND(AB69=AB68,AC69=AC68),","&amp;30,"")&amp;IF(AND(AB70=AB68,AC70=AC68),","&amp;31,"")&amp;IF(AND(AB71=AB68,AC71=AC68),","&amp;32,"")&amp;IF(AND(AB72=AB68,AC72=AC68),","&amp;33,"")&amp;IF(AND(AB73=AB68,AC73=AC68),","&amp;34,"")&amp;IF(AND(AB74=AB68,AC74=AC68),","&amp;35,"")&amp;IF(AND(AB75=AB68,AC75=AC68),","&amp;36,"")&amp;IF(AND(AB76=AB68,AC76=AC68),","&amp;37,"")&amp;IF(AND(AB77=AB68,AC77=AC68),","&amp;38,"")&amp;IF(AND(AB78=AB68,AC78=AC68),","&amp;39,"")&amp;IF(AND(AB79=AB68,AC79=AC68),","&amp;40,""),"")</f>
        <v/>
      </c>
      <c r="AJ68" s="58">
        <f>IF(AH68=1,IF(AF68="Motriz","&lt;circle cx='"&amp;SUBSTITUTE(ROUND(AD68,1),",",".")&amp;"' cy='"&amp;SUBSTITUTE(ROUND(AE68,1),",",".")&amp;"' r='6' fill='#2A3439' stroke='#2A3439' stroke-width='1.3'/&gt;",IF(AF68="Enlace","&lt;rect x='"&amp;SUBSTITUTE(ROUND((AD68)-5.52,1),",",".")&amp;"' y='"&amp;SUBSTITUTE(ROUND((AE68)-5.52,1),",",".")&amp;"' width='11.04' height='11.04' fill='#6699CC' stroke='#2A3439' stroke-width='1.3'/&gt;",IF(AF68="Resultado","&lt;path d='M"&amp;SUBSTITUTE(ROUND(AD68,1),",",".")&amp;" "&amp;SUBSTITUTE(ROUND((AE68)-6.9,1),",",".")&amp;"L"&amp;SUBSTITUTE(ROUND((AD68)+6.3,1),",",".")&amp;" "&amp;SUBSTITUTE(ROUND((AE68)+5.1,1),",",".")&amp;"L"&amp;SUBSTITUTE(ROUND((AD68)-6.3,1),",",".")&amp;" "&amp;SUBSTITUTE(ROUND((AE68)+5.1,1),",",".")&amp;"Z' fill='#FFFFFF' stroke='#2A3439' stroke-width='1.3'/&gt;","&lt;path d='M"&amp;SUBSTITUTE(ROUND(AD68,1),",",".")&amp;" "&amp;SUBSTITUTE(ROUND((AE68)-7.5,1),",",".")&amp;"L"&amp;SUBSTITUTE(ROUND((AD68)+7.5,1),",",".")&amp;" "&amp;SUBSTITUTE(ROUND(AE68,1),",",".")&amp;"L"&amp;SUBSTITUTE(ROUND(AD68,1),",",".")&amp;" "&amp;SUBSTITUTE(ROUND((AE68)+7.5,1),",",".")&amp;"L"&amp;SUBSTITUTE(ROUND((AD68)-7.5,1),",",".")&amp;" "&amp;SUBSTITUTE(ROUND(AE68,1),",",".")&amp;"Z' fill='#F5F5F5' stroke='#2A3439' stroke-width='1.3'/&gt;")))&amp;"&lt;text x='"&amp;SUBSTITUTE(ROUND(AD68+9,1),",",".")&amp;"' y='"&amp;SUBSTITUTE(ROUND(AE68-8,1),",",".")&amp;"'&gt;"&amp;AI68&amp;"&lt;/text&gt;","")</f>
        <v/>
      </c>
      <c r="AK68" s="58">
        <f>IF(AA68=1,IF(AF68="Motriz","&lt;circle cx='"&amp;SUBSTITUTE(ROUND(728,1),",",".")&amp;"' cy='"&amp;SUBSTITUTE(ROUND(517.6,1),",",".")&amp;"' r='4.3' fill='#2A3439' stroke='#2A3439' stroke-width='1.3'/&gt;",IF(AF68="Enlace","&lt;rect x='"&amp;SUBSTITUTE(ROUND((728)-3.96,1),",",".")&amp;"' y='"&amp;SUBSTITUTE(ROUND((517.6)-3.96,1),",",".")&amp;"' width='7.92' height='7.92' fill='#6699CC' stroke='#2A3439' stroke-width='1.3'/&gt;",IF(AF68="Resultado","&lt;path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AR68" s="58" t="n">
        <v>29</v>
      </c>
      <c r="AS68" s="58">
        <f>IF(AND($AS$4=1,AR68&lt;=nVariables),1,0)</f>
        <v/>
      </c>
      <c r="AT68" s="58">
        <f>IF(AS68=1,'M3'!$F38,"")</f>
        <v/>
      </c>
      <c r="AU68" s="58">
        <f>IF(AS68=1,'M3'!$E38,"")</f>
        <v/>
      </c>
      <c r="AV68" s="58">
        <f>IF(AS68=1,90+AT68*$AS$22,"")</f>
        <v/>
      </c>
      <c r="AW68" s="58">
        <f>IF(AS68=1,574-AU68*$AS$23,"")</f>
        <v/>
      </c>
      <c r="AX68" s="58">
        <f>IF(AS68=1,'M3'!$I38,"")</f>
        <v/>
      </c>
      <c r="AY68" s="58">
        <f>IF(AS68=1,IF(AX68="Motriz","#2A3439",IF(AX68="Enlace","#6699CC",IF(AX68="Resultado","#FFFFFF","#F5F5F5"))),"")</f>
        <v/>
      </c>
      <c r="AZ68" s="58">
        <f>IF(AS68=1,IF(SUMPRODUCT((AT$39:AT67=AT68)*(AU$39:AU67=AU68))=0,1,0),0)</f>
        <v/>
      </c>
      <c r="BA68" s="58">
        <f>IF(AZ68=1,29&amp;IF(AND(AT69=AT68,AU69=AU68),","&amp;30,"")&amp;IF(AND(AT70=AT68,AU70=AU68),","&amp;31,"")&amp;IF(AND(AT71=AT68,AU71=AU68),","&amp;32,"")&amp;IF(AND(AT72=AT68,AU72=AU68),","&amp;33,"")&amp;IF(AND(AT73=AT68,AU73=AU68),","&amp;34,"")&amp;IF(AND(AT74=AT68,AU74=AU68),","&amp;35,"")&amp;IF(AND(AT75=AT68,AU75=AU68),","&amp;36,"")&amp;IF(AND(AT76=AT68,AU76=AU68),","&amp;37,"")&amp;IF(AND(AT77=AT68,AU77=AU68),","&amp;38,"")&amp;IF(AND(AT78=AT68,AU78=AU68),","&amp;39,"")&amp;IF(AND(AT79=AT68,AU79=AU68),","&amp;40,""),"")</f>
        <v/>
      </c>
      <c r="BB68" s="58">
        <f>IF(AZ68=1,IF(AX68="Motriz","&lt;circle cx='"&amp;SUBSTITUTE(ROUND(AV68,1),",",".")&amp;"' cy='"&amp;SUBSTITUTE(ROUND(AW68,1),",",".")&amp;"' r='6' fill='#2A3439' stroke='#2A3439' stroke-width='1.3'/&gt;",IF(AX68="Enlace","&lt;rect x='"&amp;SUBSTITUTE(ROUND((AV68)-5.52,1),",",".")&amp;"' y='"&amp;SUBSTITUTE(ROUND((AW68)-5.52,1),",",".")&amp;"' width='11.04' height='11.04' fill='#6699CC' stroke='#2A3439' stroke-width='1.3'/&gt;",IF(AX68="Resultado","&lt;path d='M"&amp;SUBSTITUTE(ROUND(AV68,1),",",".")&amp;" "&amp;SUBSTITUTE(ROUND((AW68)-6.9,1),",",".")&amp;"L"&amp;SUBSTITUTE(ROUND((AV68)+6.3,1),",",".")&amp;" "&amp;SUBSTITUTE(ROUND((AW68)+5.1,1),",",".")&amp;"L"&amp;SUBSTITUTE(ROUND((AV68)-6.3,1),",",".")&amp;" "&amp;SUBSTITUTE(ROUND((AW68)+5.1,1),",",".")&amp;"Z' fill='#FFFFFF' stroke='#2A3439' stroke-width='1.3'/&gt;","&lt;path d='M"&amp;SUBSTITUTE(ROUND(AV68,1),",",".")&amp;" "&amp;SUBSTITUTE(ROUND((AW68)-7.5,1),",",".")&amp;"L"&amp;SUBSTITUTE(ROUND((AV68)+7.5,1),",",".")&amp;" "&amp;SUBSTITUTE(ROUND(AW68,1),",",".")&amp;"L"&amp;SUBSTITUTE(ROUND(AV68,1),",",".")&amp;" "&amp;SUBSTITUTE(ROUND((AW68)+7.5,1),",",".")&amp;"L"&amp;SUBSTITUTE(ROUND((AV68)-7.5,1),",",".")&amp;" "&amp;SUBSTITUTE(ROUND(AW68,1),",",".")&amp;"Z' fill='#F5F5F5' stroke='#2A3439' stroke-width='1.3'/&gt;")))&amp;"&lt;text x='"&amp;SUBSTITUTE(ROUND(AV68+9,1),",",".")&amp;"' y='"&amp;SUBSTITUTE(ROUND(AW68-8,1),",",".")&amp;"'&gt;"&amp;BA68&amp;"&lt;/text&gt;","")</f>
        <v/>
      </c>
      <c r="BC68" s="58">
        <f>IF(AS68=1,IF(AX68="Motriz","&lt;circle cx='"&amp;SUBSTITUTE(ROUND(728,1),",",".")&amp;"' cy='"&amp;SUBSTITUTE(ROUND(517.6,1),",",".")&amp;"' r='4.3' fill='#2A3439' stroke='#2A3439' stroke-width='1.3'/&gt;",IF(AX68="Enlace","&lt;rect x='"&amp;SUBSTITUTE(ROUND((728)-3.96,1),",",".")&amp;"' y='"&amp;SUBSTITUTE(ROUND((517.6)-3.96,1),",",".")&amp;"' width='7.92' height='7.92' fill='#6699CC' stroke='#2A3439' stroke-width='1.3'/&gt;",IF(AX68="Resultado","&lt;path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BJ68" s="58" t="n">
        <v>29</v>
      </c>
      <c r="BK68" s="58">
        <f>IF(AND($BK$4=1,BJ68&lt;=nVariables),1,0)</f>
        <v/>
      </c>
      <c r="BL68" s="58">
        <f>IF(BK68=1,'M4'!$F38,"")</f>
        <v/>
      </c>
      <c r="BM68" s="58">
        <f>IF(BK68=1,'M4'!$E38,"")</f>
        <v/>
      </c>
      <c r="BN68" s="58">
        <f>IF(BK68=1,90+BL68*$BK$22,"")</f>
        <v/>
      </c>
      <c r="BO68" s="58">
        <f>IF(BK68=1,574-BM68*$BK$23,"")</f>
        <v/>
      </c>
      <c r="BP68" s="58">
        <f>IF(BK68=1,'M4'!$I38,"")</f>
        <v/>
      </c>
      <c r="BQ68" s="58">
        <f>IF(BK68=1,IF(BP68="Motriz","#2A3439",IF(BP68="Enlace","#6699CC",IF(BP68="Resultado","#FFFFFF","#F5F5F5"))),"")</f>
        <v/>
      </c>
      <c r="BR68" s="58">
        <f>IF(BK68=1,IF(SUMPRODUCT((BL$39:BL67=BL68)*(BM$39:BM67=BM68))=0,1,0),0)</f>
        <v/>
      </c>
      <c r="BS68" s="58">
        <f>IF(BR68=1,29&amp;IF(AND(BL69=BL68,BM69=BM68),","&amp;30,"")&amp;IF(AND(BL70=BL68,BM70=BM68),","&amp;31,"")&amp;IF(AND(BL71=BL68,BM71=BM68),","&amp;32,"")&amp;IF(AND(BL72=BL68,BM72=BM68),","&amp;33,"")&amp;IF(AND(BL73=BL68,BM73=BM68),","&amp;34,"")&amp;IF(AND(BL74=BL68,BM74=BM68),","&amp;35,"")&amp;IF(AND(BL75=BL68,BM75=BM68),","&amp;36,"")&amp;IF(AND(BL76=BL68,BM76=BM68),","&amp;37,"")&amp;IF(AND(BL77=BL68,BM77=BM68),","&amp;38,"")&amp;IF(AND(BL78=BL68,BM78=BM68),","&amp;39,"")&amp;IF(AND(BL79=BL68,BM79=BM68),","&amp;40,""),"")</f>
        <v/>
      </c>
      <c r="BT68" s="58">
        <f>IF(BR68=1,IF(BP68="Motriz","&lt;circle cx='"&amp;SUBSTITUTE(ROUND(BN68,1),",",".")&amp;"' cy='"&amp;SUBSTITUTE(ROUND(BO68,1),",",".")&amp;"' r='6' fill='#2A3439' stroke='#2A3439' stroke-width='1.3'/&gt;",IF(BP68="Enlace","&lt;rect x='"&amp;SUBSTITUTE(ROUND((BN68)-5.52,1),",",".")&amp;"' y='"&amp;SUBSTITUTE(ROUND((BO68)-5.52,1),",",".")&amp;"' width='11.04' height='11.04' fill='#6699CC' stroke='#2A3439' stroke-width='1.3'/&gt;",IF(BP68="Resultado","&lt;path d='M"&amp;SUBSTITUTE(ROUND(BN68,1),",",".")&amp;" "&amp;SUBSTITUTE(ROUND((BO68)-6.9,1),",",".")&amp;"L"&amp;SUBSTITUTE(ROUND((BN68)+6.3,1),",",".")&amp;" "&amp;SUBSTITUTE(ROUND((BO68)+5.1,1),",",".")&amp;"L"&amp;SUBSTITUTE(ROUND((BN68)-6.3,1),",",".")&amp;" "&amp;SUBSTITUTE(ROUND((BO68)+5.1,1),",",".")&amp;"Z' fill='#FFFFFF' stroke='#2A3439' stroke-width='1.3'/&gt;","&lt;path d='M"&amp;SUBSTITUTE(ROUND(BN68,1),",",".")&amp;" "&amp;SUBSTITUTE(ROUND((BO68)-7.5,1),",",".")&amp;"L"&amp;SUBSTITUTE(ROUND((BN68)+7.5,1),",",".")&amp;" "&amp;SUBSTITUTE(ROUND(BO68,1),",",".")&amp;"L"&amp;SUBSTITUTE(ROUND(BN68,1),",",".")&amp;" "&amp;SUBSTITUTE(ROUND((BO68)+7.5,1),",",".")&amp;"L"&amp;SUBSTITUTE(ROUND((BN68)-7.5,1),",",".")&amp;" "&amp;SUBSTITUTE(ROUND(BO68,1),",",".")&amp;"Z' fill='#F5F5F5' stroke='#2A3439' stroke-width='1.3'/&gt;")))&amp;"&lt;text x='"&amp;SUBSTITUTE(ROUND(BN68+9,1),",",".")&amp;"' y='"&amp;SUBSTITUTE(ROUND(BO68-8,1),",",".")&amp;"'&gt;"&amp;BS68&amp;"&lt;/text&gt;","")</f>
        <v/>
      </c>
      <c r="BU68" s="58">
        <f>IF(BK68=1,IF(BP68="Motriz","&lt;circle cx='"&amp;SUBSTITUTE(ROUND(728,1),",",".")&amp;"' cy='"&amp;SUBSTITUTE(ROUND(517.6,1),",",".")&amp;"' r='4.3' fill='#2A3439' stroke='#2A3439' stroke-width='1.3'/&gt;",IF(BP68="Enlace","&lt;rect x='"&amp;SUBSTITUTE(ROUND((728)-3.96,1),",",".")&amp;"' y='"&amp;SUBSTITUTE(ROUND((517.6)-3.96,1),",",".")&amp;"' width='7.92' height='7.92' fill='#6699CC' stroke='#2A3439' stroke-width='1.3'/&gt;",IF(BP68="Resultado","&lt;path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CB68" s="58" t="n">
        <v>29</v>
      </c>
      <c r="CC68" s="58">
        <f>IF(AND($CC$4=1,CB68&lt;=nVariables),1,0)</f>
        <v/>
      </c>
      <c r="CD68" s="58">
        <f>IF(CC68=1,'M5'!$F38,"")</f>
        <v/>
      </c>
      <c r="CE68" s="58">
        <f>IF(CC68=1,'M5'!$E38,"")</f>
        <v/>
      </c>
      <c r="CF68" s="58">
        <f>IF(CC68=1,90+CD68*$CC$22,"")</f>
        <v/>
      </c>
      <c r="CG68" s="58">
        <f>IF(CC68=1,574-CE68*$CC$23,"")</f>
        <v/>
      </c>
      <c r="CH68" s="58">
        <f>IF(CC68=1,'M5'!$I38,"")</f>
        <v/>
      </c>
      <c r="CI68" s="58">
        <f>IF(CC68=1,IF(CH68="Motriz","#2A3439",IF(CH68="Enlace","#6699CC",IF(CH68="Resultado","#FFFFFF","#F5F5F5"))),"")</f>
        <v/>
      </c>
      <c r="CJ68" s="58">
        <f>IF(CC68=1,IF(SUMPRODUCT((CD$39:CD67=CD68)*(CE$39:CE67=CE68))=0,1,0),0)</f>
        <v/>
      </c>
      <c r="CK68" s="58">
        <f>IF(CJ68=1,29&amp;IF(AND(CD69=CD68,CE69=CE68),","&amp;30,"")&amp;IF(AND(CD70=CD68,CE70=CE68),","&amp;31,"")&amp;IF(AND(CD71=CD68,CE71=CE68),","&amp;32,"")&amp;IF(AND(CD72=CD68,CE72=CE68),","&amp;33,"")&amp;IF(AND(CD73=CD68,CE73=CE68),","&amp;34,"")&amp;IF(AND(CD74=CD68,CE74=CE68),","&amp;35,"")&amp;IF(AND(CD75=CD68,CE75=CE68),","&amp;36,"")&amp;IF(AND(CD76=CD68,CE76=CE68),","&amp;37,"")&amp;IF(AND(CD77=CD68,CE77=CE68),","&amp;38,"")&amp;IF(AND(CD78=CD68,CE78=CE68),","&amp;39,"")&amp;IF(AND(CD79=CD68,CE79=CE68),","&amp;40,""),"")</f>
        <v/>
      </c>
      <c r="CL68" s="58">
        <f>IF(CJ68=1,IF(CH68="Motriz","&lt;circle cx='"&amp;SUBSTITUTE(ROUND(CF68,1),",",".")&amp;"' cy='"&amp;SUBSTITUTE(ROUND(CG68,1),",",".")&amp;"' r='6' fill='#2A3439' stroke='#2A3439' stroke-width='1.3'/&gt;",IF(CH68="Enlace","&lt;rect x='"&amp;SUBSTITUTE(ROUND((CF68)-5.52,1),",",".")&amp;"' y='"&amp;SUBSTITUTE(ROUND((CG68)-5.52,1),",",".")&amp;"' width='11.04' height='11.04' fill='#6699CC' stroke='#2A3439' stroke-width='1.3'/&gt;",IF(CH68="Resultado","&lt;path d='M"&amp;SUBSTITUTE(ROUND(CF68,1),",",".")&amp;" "&amp;SUBSTITUTE(ROUND((CG68)-6.9,1),",",".")&amp;"L"&amp;SUBSTITUTE(ROUND((CF68)+6.3,1),",",".")&amp;" "&amp;SUBSTITUTE(ROUND((CG68)+5.1,1),",",".")&amp;"L"&amp;SUBSTITUTE(ROUND((CF68)-6.3,1),",",".")&amp;" "&amp;SUBSTITUTE(ROUND((CG68)+5.1,1),",",".")&amp;"Z' fill='#FFFFFF' stroke='#2A3439' stroke-width='1.3'/&gt;","&lt;path d='M"&amp;SUBSTITUTE(ROUND(CF68,1),",",".")&amp;" "&amp;SUBSTITUTE(ROUND((CG68)-7.5,1),",",".")&amp;"L"&amp;SUBSTITUTE(ROUND((CF68)+7.5,1),",",".")&amp;" "&amp;SUBSTITUTE(ROUND(CG68,1),",",".")&amp;"L"&amp;SUBSTITUTE(ROUND(CF68,1),",",".")&amp;" "&amp;SUBSTITUTE(ROUND((CG68)+7.5,1),",",".")&amp;"L"&amp;SUBSTITUTE(ROUND((CF68)-7.5,1),",",".")&amp;" "&amp;SUBSTITUTE(ROUND(CG68,1),",",".")&amp;"Z' fill='#F5F5F5' stroke='#2A3439' stroke-width='1.3'/&gt;")))&amp;"&lt;text x='"&amp;SUBSTITUTE(ROUND(CF68+9,1),",",".")&amp;"' y='"&amp;SUBSTITUTE(ROUND(CG68-8,1),",",".")&amp;"'&gt;"&amp;CK68&amp;"&lt;/text&gt;","")</f>
        <v/>
      </c>
      <c r="CM68" s="58">
        <f>IF(CC68=1,IF(CH68="Motriz","&lt;circle cx='"&amp;SUBSTITUTE(ROUND(728,1),",",".")&amp;"' cy='"&amp;SUBSTITUTE(ROUND(517.6,1),",",".")&amp;"' r='4.3' fill='#2A3439' stroke='#2A3439' stroke-width='1.3'/&gt;",IF(CH68="Enlace","&lt;rect x='"&amp;SUBSTITUTE(ROUND((728)-3.96,1),",",".")&amp;"' y='"&amp;SUBSTITUTE(ROUND((517.6)-3.96,1),",",".")&amp;"' width='7.92' height='7.92' fill='#6699CC' stroke='#2A3439' stroke-width='1.3'/&gt;",IF(CH68="Resultado","&lt;path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CT68" s="58" t="n">
        <v>29</v>
      </c>
      <c r="CU68" s="58">
        <f>IF(AND($CU$4=1,CT68&lt;=nVariables),1,0)</f>
        <v/>
      </c>
      <c r="CV68" s="58">
        <f>IF(CU68=1,'M6'!$F38,"")</f>
        <v/>
      </c>
      <c r="CW68" s="58">
        <f>IF(CU68=1,'M6'!$E38,"")</f>
        <v/>
      </c>
      <c r="CX68" s="58">
        <f>IF(CU68=1,90+CV68*$CU$22,"")</f>
        <v/>
      </c>
      <c r="CY68" s="58">
        <f>IF(CU68=1,574-CW68*$CU$23,"")</f>
        <v/>
      </c>
      <c r="CZ68" s="58">
        <f>IF(CU68=1,'M6'!$I38,"")</f>
        <v/>
      </c>
      <c r="DA68" s="58">
        <f>IF(CU68=1,IF(CZ68="Motriz","#2A3439",IF(CZ68="Enlace","#6699CC",IF(CZ68="Resultado","#FFFFFF","#F5F5F5"))),"")</f>
        <v/>
      </c>
      <c r="DB68" s="58">
        <f>IF(CU68=1,IF(SUMPRODUCT((CV$39:CV67=CV68)*(CW$39:CW67=CW68))=0,1,0),0)</f>
        <v/>
      </c>
      <c r="DC68" s="58">
        <f>IF(DB68=1,29&amp;IF(AND(CV69=CV68,CW69=CW68),","&amp;30,"")&amp;IF(AND(CV70=CV68,CW70=CW68),","&amp;31,"")&amp;IF(AND(CV71=CV68,CW71=CW68),","&amp;32,"")&amp;IF(AND(CV72=CV68,CW72=CW68),","&amp;33,"")&amp;IF(AND(CV73=CV68,CW73=CW68),","&amp;34,"")&amp;IF(AND(CV74=CV68,CW74=CW68),","&amp;35,"")&amp;IF(AND(CV75=CV68,CW75=CW68),","&amp;36,"")&amp;IF(AND(CV76=CV68,CW76=CW68),","&amp;37,"")&amp;IF(AND(CV77=CV68,CW77=CW68),","&amp;38,"")&amp;IF(AND(CV78=CV68,CW78=CW68),","&amp;39,"")&amp;IF(AND(CV79=CV68,CW79=CW68),","&amp;40,""),"")</f>
        <v/>
      </c>
      <c r="DD68" s="58">
        <f>IF(DB68=1,IF(CZ68="Motriz","&lt;circle cx='"&amp;SUBSTITUTE(ROUND(CX68,1),",",".")&amp;"' cy='"&amp;SUBSTITUTE(ROUND(CY68,1),",",".")&amp;"' r='6' fill='#2A3439' stroke='#2A3439' stroke-width='1.3'/&gt;",IF(CZ68="Enlace","&lt;rect x='"&amp;SUBSTITUTE(ROUND((CX68)-5.52,1),",",".")&amp;"' y='"&amp;SUBSTITUTE(ROUND((CY68)-5.52,1),",",".")&amp;"' width='11.04' height='11.04' fill='#6699CC' stroke='#2A3439' stroke-width='1.3'/&gt;",IF(CZ68="Resultado","&lt;path d='M"&amp;SUBSTITUTE(ROUND(CX68,1),",",".")&amp;" "&amp;SUBSTITUTE(ROUND((CY68)-6.9,1),",",".")&amp;"L"&amp;SUBSTITUTE(ROUND((CX68)+6.3,1),",",".")&amp;" "&amp;SUBSTITUTE(ROUND((CY68)+5.1,1),",",".")&amp;"L"&amp;SUBSTITUTE(ROUND((CX68)-6.3,1),",",".")&amp;" "&amp;SUBSTITUTE(ROUND((CY68)+5.1,1),",",".")&amp;"Z' fill='#FFFFFF' stroke='#2A3439' stroke-width='1.3'/&gt;","&lt;path d='M"&amp;SUBSTITUTE(ROUND(CX68,1),",",".")&amp;" "&amp;SUBSTITUTE(ROUND((CY68)-7.5,1),",",".")&amp;"L"&amp;SUBSTITUTE(ROUND((CX68)+7.5,1),",",".")&amp;" "&amp;SUBSTITUTE(ROUND(CY68,1),",",".")&amp;"L"&amp;SUBSTITUTE(ROUND(CX68,1),",",".")&amp;" "&amp;SUBSTITUTE(ROUND((CY68)+7.5,1),",",".")&amp;"L"&amp;SUBSTITUTE(ROUND((CX68)-7.5,1),",",".")&amp;" "&amp;SUBSTITUTE(ROUND(CY68,1),",",".")&amp;"Z' fill='#F5F5F5' stroke='#2A3439' stroke-width='1.3'/&gt;")))&amp;"&lt;text x='"&amp;SUBSTITUTE(ROUND(CX68+9,1),",",".")&amp;"' y='"&amp;SUBSTITUTE(ROUND(CY68-8,1),",",".")&amp;"'&gt;"&amp;DC68&amp;"&lt;/text&gt;","")</f>
        <v/>
      </c>
      <c r="DE68" s="58">
        <f>IF(CU68=1,IF(CZ68="Motriz","&lt;circle cx='"&amp;SUBSTITUTE(ROUND(728,1),",",".")&amp;"' cy='"&amp;SUBSTITUTE(ROUND(517.6,1),",",".")&amp;"' r='4.3' fill='#2A3439' stroke='#2A3439' stroke-width='1.3'/&gt;",IF(CZ68="Enlace","&lt;rect x='"&amp;SUBSTITUTE(ROUND((728)-3.96,1),",",".")&amp;"' y='"&amp;SUBSTITUTE(ROUND((517.6)-3.96,1),",",".")&amp;"' width='7.92' height='7.92' fill='#6699CC' stroke='#2A3439' stroke-width='1.3'/&gt;",IF(CZ68="Resultado","&lt;path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DL68" s="58" t="n">
        <v>17</v>
      </c>
      <c r="DM68" s="58">
        <f>IF(AND($DM$4=1,DL68&lt;=nVariables),IF('M6'!$I26="Resultado","E",IF('M6'!$I26="Enlace","L",IF('M6'!$I26="Motriz","R",IF('M6'!$I26="Autónoma","A","")))),"")</f>
        <v/>
      </c>
      <c r="DN68" s="58">
        <f>IF(DM68&lt;&gt;"",COUNTIF($DM$52:DM68,DM68),"")</f>
        <v/>
      </c>
      <c r="DO68" s="58">
        <f>IF(DM68&lt;&gt;"",SUBSTITUTE(SUBSTITUTE(SUBSTITUTE(SUBSTITUTE(SUBSTITUTE(SUBSTITUTE(SUBSTITUTE(TRIM(CLEAN(IF(LEN(17&amp;" · "&amp;$D56)&gt;30,LEFT(17&amp;" · "&amp;$D56,29)&amp;"…",17&amp;" · "&amp;$D56))),"&amp;","&amp;amp;"),"&lt;","&amp;lt;"),"&gt;","&amp;gt;"),CHAR(34),"&amp;quot;"),CHAR(10)," "),CHAR(9)," "),CHAR(13)," "),"")</f>
        <v/>
      </c>
      <c r="DP68" s="58">
        <f>IF(DM68&lt;&gt;"",IF($E56&lt;&gt;"",$E56,IF(DM68="E","(efecto · indicador de resultado)",IF(DM68="L","(causa directa · riesgo)",IF(DM68="R","CAUSA RAÍZ · componente del proyecto","(fuera del alcance)")))),"")</f>
        <v/>
      </c>
      <c r="DQ68" s="58">
        <f>IF(DM68&lt;&gt;"",IF(LEN(DP68)&gt;74,LEFT(DP68,73)&amp;"…",DP68),"")</f>
        <v/>
      </c>
      <c r="DR68" s="58">
        <f>IF(DM68&lt;&gt;"",IF(LEN(DQ68)&lt;=37,LEN(DQ68)+1,IFERROR(FIND("~",SUBSTITUTE(LEFT(DQ68,38)," ","~",LEN(LEFT(DQ68,38))-LEN(SUBSTITUTE(LEFT(DQ68,38)," ","")))),38)),"")</f>
        <v/>
      </c>
      <c r="DS68" s="58">
        <f>IF(DM68&lt;&gt;"",SUBSTITUTE(SUBSTITUTE(SUBSTITUTE(SUBSTITUTE(SUBSTITUTE(SUBSTITUTE(SUBSTITUTE(TRIM(CLEAN(TRIM(LEFT(DQ68,DR68-1)))),"&amp;","&amp;amp;"),"&lt;","&amp;lt;"),"&gt;","&amp;gt;"),CHAR(34),"&amp;quot;"),CHAR(10)," "),CHAR(9)," "),CHAR(13)," "),"")</f>
        <v/>
      </c>
      <c r="DT68" s="58">
        <f>IF(DM68&lt;&gt;"",SUBSTITUTE(SUBSTITUTE(SUBSTITUTE(SUBSTITUTE(SUBSTITUTE(SUBSTITUTE(SUBSTITUTE(TRIM(CLEAN(IF(LEN(TRIM(MID(DQ68,DR68,80)))&gt;37,LEFT(TRIM(MID(DQ68,DR68,80)),36)&amp;"…",TRIM(MID(DQ68,DR68,80))))),"&amp;","&amp;amp;"),"&lt;","&amp;lt;"),"&gt;","&amp;gt;"),CHAR(34),"&amp;quot;"),CHAR(10)," "),CHAR(9)," "),CHAR(13)," "),"")</f>
        <v/>
      </c>
      <c r="DU68" s="58">
        <f>IF(DM68&lt;&gt;"",(1200-(MIN(5,IF(DM68="E",$DM$5,IF(DM68="L",$DM$8,IF(DM68="R",$DM$11,$DM$14)))-INT((DN68-1)/5)*5)*216+(MIN(5,IF(DM68="E",$DM$5,IF(DM68="L",$DM$8,IF(DM68="R",$DM$11,$DM$14)))-INT((DN68-1)/5)*5)-1)*14))/2+MOD(DN68-1,5)*(216+14),"")</f>
        <v/>
      </c>
      <c r="DV68" s="58">
        <f>IF(DM68&lt;&gt;"",IF(DM68="E",$DM$17,IF(DM68="L",$DM$21,IF(DM68="R",$DM$23,$DM$25)))+24+INT((DN68-1)/5)*(64+12),"")</f>
        <v/>
      </c>
      <c r="DW68" s="58">
        <f>IF(DM68&lt;&gt;"","&lt;rect x='"&amp;SUBSTITUTE(ROUND(DU68,1),",",".")&amp;"' y='"&amp;SUBSTITUTE(ROUND(DV68,1),",",".")&amp;"' width='216' height='64' rx='9' fill='"&amp;IF(DM68="E","#B9D9EB",IF(DM68="L","#9EB9D4",IF(DM68="R","#6699CC","#F5F5F5")))&amp;"' stroke='#2A3439' stroke-width='1'"&amp;IF(DM68="A"," stroke-dasharray='5 3'","")&amp;"/&gt;"&amp;"&lt;text x='"&amp;SUBSTITUTE(ROUND((DU68+108),1),",",".")&amp;"' y='"&amp;SUBSTITUTE(ROUND(DV68+20,1),",",".")&amp;"' font-size='12' font-weight='bold'&gt;"&amp;DO68&amp;"&lt;/text&gt;"&amp;"&lt;text x='"&amp;SUBSTITUTE(ROUND((DU68+108),1),",",".")&amp;"' y='"&amp;SUBSTITUTE(ROUND(DV68+38,1),",",".")&amp;"' font-size='10'&gt;"&amp;DS68&amp;"&lt;/text&gt;"&amp;"&lt;text x='"&amp;SUBSTITUTE(ROUND((DU68+108),1),",",".")&amp;"' y='"&amp;SUBSTITUTE(ROUND(DV68+53,1),",",".")&amp;"' font-size='10'&gt;"&amp;DT68&amp;"&lt;/text&gt;","")</f>
        <v/>
      </c>
    </row>
    <row r="69">
      <c r="A69" s="58" t="n">
        <v>30</v>
      </c>
      <c r="B69" s="58">
        <f>IF($A69&lt;=nVariables,SUBSTITUTE(SUBSTITUTE(SUBSTITUTE(SUBSTITUTE(SUBSTITUTE(SUBSTITUTE(SUBSTITUTE(TRIM(CLEAN(IF(LEN(TRIM(M!$B39))&gt;46,LEFT(TRIM(M!$B39),45)&amp;"…",TRIM(M!$B39)))),"&amp;","&amp;amp;"),"&lt;","&amp;lt;"),"&gt;","&amp;gt;"),CHAR(34),"&amp;quot;"),CHAR(10)," "),CHAR(9)," "),CHAR(13)," "),"")</f>
        <v/>
      </c>
      <c r="C69" s="58">
        <f>IF($A69&lt;=nVariables,$A69&amp;". "&amp;B69,"")</f>
        <v/>
      </c>
      <c r="D69" s="58">
        <f>IF($A69&lt;=nVariables,IF(TRIM(M!$C39)&lt;&gt;"",TRIM(M!$C39),IF(LEN(TRIM(M!$B39))&gt;24,LEFT(TRIM(M!$B39),23)&amp;"…",TRIM(M!$B39))),"")</f>
        <v/>
      </c>
      <c r="E69" s="58">
        <f>IF($A69&lt;=nVariables,TRIM('Árbol de Problemas'!$F48),"")</f>
        <v/>
      </c>
      <c r="H69" s="58" t="n">
        <v>30</v>
      </c>
      <c r="I69" s="58">
        <f>IF(AND($I$4=1,H69&lt;=nVariables),1,0)</f>
        <v/>
      </c>
      <c r="J69" s="58">
        <f>IF(I69=1,'M1'!$F39,"")</f>
        <v/>
      </c>
      <c r="K69" s="58">
        <f>IF(I69=1,'M1'!$E39,"")</f>
        <v/>
      </c>
      <c r="L69" s="58">
        <f>IF(I69=1,90+J69*$I$22,"")</f>
        <v/>
      </c>
      <c r="M69" s="58">
        <f>IF(I69=1,574-K69*$I$23,"")</f>
        <v/>
      </c>
      <c r="N69" s="58">
        <f>IF(I69=1,'M1'!$I39,"")</f>
        <v/>
      </c>
      <c r="O69" s="58">
        <f>IF(I69=1,IF(N69="Motriz","#2A3439",IF(N69="Enlace","#6699CC",IF(N69="Resultado","#FFFFFF","#F5F5F5"))),"")</f>
        <v/>
      </c>
      <c r="P69" s="58">
        <f>IF(I69=1,IF(SUMPRODUCT((J$39:J68=J69)*(K$39:K68=K69))=0,1,0),0)</f>
        <v/>
      </c>
      <c r="Q69" s="58">
        <f>IF(P69=1,30&amp;IF(AND(J70=J69,K70=K69),","&amp;31,"")&amp;IF(AND(J71=J69,K71=K69),","&amp;32,"")&amp;IF(AND(J72=J69,K72=K69),","&amp;33,"")&amp;IF(AND(J73=J69,K73=K69),","&amp;34,"")&amp;IF(AND(J74=J69,K74=K69),","&amp;35,"")&amp;IF(AND(J75=J69,K75=K69),","&amp;36,"")&amp;IF(AND(J76=J69,K76=K69),","&amp;37,"")&amp;IF(AND(J77=J69,K77=K69),","&amp;38,"")&amp;IF(AND(J78=J69,K78=K69),","&amp;39,"")&amp;IF(AND(J79=J69,K79=K69),","&amp;40,""),"")</f>
        <v/>
      </c>
      <c r="R69" s="58">
        <f>IF(P69=1,IF(N69="Motriz","&lt;circle cx='"&amp;SUBSTITUTE(ROUND(L69,1),",",".")&amp;"' cy='"&amp;SUBSTITUTE(ROUND(M69,1),",",".")&amp;"' r='6' fill='#2A3439' stroke='#2A3439' stroke-width='1.3'/&gt;",IF(N69="Enlace","&lt;rect x='"&amp;SUBSTITUTE(ROUND((L69)-5.52,1),",",".")&amp;"' y='"&amp;SUBSTITUTE(ROUND((M69)-5.52,1),",",".")&amp;"' width='11.04' height='11.04' fill='#6699CC' stroke='#2A3439' stroke-width='1.3'/&gt;",IF(N69="Resultado","&lt;path d='M"&amp;SUBSTITUTE(ROUND(L69,1),",",".")&amp;" "&amp;SUBSTITUTE(ROUND((M69)-6.9,1),",",".")&amp;"L"&amp;SUBSTITUTE(ROUND((L69)+6.3,1),",",".")&amp;" "&amp;SUBSTITUTE(ROUND((M69)+5.1,1),",",".")&amp;"L"&amp;SUBSTITUTE(ROUND((L69)-6.3,1),",",".")&amp;" "&amp;SUBSTITUTE(ROUND((M69)+5.1,1),",",".")&amp;"Z' fill='#FFFFFF' stroke='#2A3439' stroke-width='1.3'/&gt;","&lt;path d='M"&amp;SUBSTITUTE(ROUND(L69,1),",",".")&amp;" "&amp;SUBSTITUTE(ROUND((M69)-7.5,1),",",".")&amp;"L"&amp;SUBSTITUTE(ROUND((L69)+7.5,1),",",".")&amp;" "&amp;SUBSTITUTE(ROUND(M69,1),",",".")&amp;"L"&amp;SUBSTITUTE(ROUND(L69,1),",",".")&amp;" "&amp;SUBSTITUTE(ROUND((M69)+7.5,1),",",".")&amp;"L"&amp;SUBSTITUTE(ROUND((L69)-7.5,1),",",".")&amp;" "&amp;SUBSTITUTE(ROUND(M69,1),",",".")&amp;"Z' fill='#F5F5F5' stroke='#2A3439' stroke-width='1.3'/&gt;")))&amp;"&lt;text x='"&amp;SUBSTITUTE(ROUND(L69+9,1),",",".")&amp;"' y='"&amp;SUBSTITUTE(ROUND(M69-8,1),",",".")&amp;"'&gt;"&amp;Q69&amp;"&lt;/text&gt;","")</f>
        <v/>
      </c>
      <c r="S69" s="58">
        <f>IF(I69=1,IF(N69="Motriz","&lt;circle cx='"&amp;SUBSTITUTE(ROUND(728,1),",",".")&amp;"' cy='"&amp;SUBSTITUTE(ROUND(531.8,1),",",".")&amp;"' r='4.3' fill='#2A3439' stroke='#2A3439' stroke-width='1.3'/&gt;",IF(N69="Enlace","&lt;rect x='"&amp;SUBSTITUTE(ROUND((728)-3.96,1),",",".")&amp;"' y='"&amp;SUBSTITUTE(ROUND((531.8)-3.96,1),",",".")&amp;"' width='7.92' height='7.92' fill='#6699CC' stroke='#2A3439' stroke-width='1.3'/&gt;",IF(N69="Resultado","&lt;path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Z69" s="58" t="n">
        <v>30</v>
      </c>
      <c r="AA69" s="58">
        <f>IF(AND($AA$4=1,Z69&lt;=nVariables),1,0)</f>
        <v/>
      </c>
      <c r="AB69" s="58">
        <f>IF(AA69=1,'M2'!$F39,"")</f>
        <v/>
      </c>
      <c r="AC69" s="58">
        <f>IF(AA69=1,'M2'!$E39,"")</f>
        <v/>
      </c>
      <c r="AD69" s="58">
        <f>IF(AA69=1,90+AB69*$AA$22,"")</f>
        <v/>
      </c>
      <c r="AE69" s="58">
        <f>IF(AA69=1,574-AC69*$AA$23,"")</f>
        <v/>
      </c>
      <c r="AF69" s="58">
        <f>IF(AA69=1,'M2'!$I39,"")</f>
        <v/>
      </c>
      <c r="AG69" s="58">
        <f>IF(AA69=1,IF(AF69="Motriz","#2A3439",IF(AF69="Enlace","#6699CC",IF(AF69="Resultado","#FFFFFF","#F5F5F5"))),"")</f>
        <v/>
      </c>
      <c r="AH69" s="58">
        <f>IF(AA69=1,IF(SUMPRODUCT((AB$39:AB68=AB69)*(AC$39:AC68=AC69))=0,1,0),0)</f>
        <v/>
      </c>
      <c r="AI69" s="58">
        <f>IF(AH69=1,30&amp;IF(AND(AB70=AB69,AC70=AC69),","&amp;31,"")&amp;IF(AND(AB71=AB69,AC71=AC69),","&amp;32,"")&amp;IF(AND(AB72=AB69,AC72=AC69),","&amp;33,"")&amp;IF(AND(AB73=AB69,AC73=AC69),","&amp;34,"")&amp;IF(AND(AB74=AB69,AC74=AC69),","&amp;35,"")&amp;IF(AND(AB75=AB69,AC75=AC69),","&amp;36,"")&amp;IF(AND(AB76=AB69,AC76=AC69),","&amp;37,"")&amp;IF(AND(AB77=AB69,AC77=AC69),","&amp;38,"")&amp;IF(AND(AB78=AB69,AC78=AC69),","&amp;39,"")&amp;IF(AND(AB79=AB69,AC79=AC69),","&amp;40,""),"")</f>
        <v/>
      </c>
      <c r="AJ69" s="58">
        <f>IF(AH69=1,IF(AF69="Motriz","&lt;circle cx='"&amp;SUBSTITUTE(ROUND(AD69,1),",",".")&amp;"' cy='"&amp;SUBSTITUTE(ROUND(AE69,1),",",".")&amp;"' r='6' fill='#2A3439' stroke='#2A3439' stroke-width='1.3'/&gt;",IF(AF69="Enlace","&lt;rect x='"&amp;SUBSTITUTE(ROUND((AD69)-5.52,1),",",".")&amp;"' y='"&amp;SUBSTITUTE(ROUND((AE69)-5.52,1),",",".")&amp;"' width='11.04' height='11.04' fill='#6699CC' stroke='#2A3439' stroke-width='1.3'/&gt;",IF(AF69="Resultado","&lt;path d='M"&amp;SUBSTITUTE(ROUND(AD69,1),",",".")&amp;" "&amp;SUBSTITUTE(ROUND((AE69)-6.9,1),",",".")&amp;"L"&amp;SUBSTITUTE(ROUND((AD69)+6.3,1),",",".")&amp;" "&amp;SUBSTITUTE(ROUND((AE69)+5.1,1),",",".")&amp;"L"&amp;SUBSTITUTE(ROUND((AD69)-6.3,1),",",".")&amp;" "&amp;SUBSTITUTE(ROUND((AE69)+5.1,1),",",".")&amp;"Z' fill='#FFFFFF' stroke='#2A3439' stroke-width='1.3'/&gt;","&lt;path d='M"&amp;SUBSTITUTE(ROUND(AD69,1),",",".")&amp;" "&amp;SUBSTITUTE(ROUND((AE69)-7.5,1),",",".")&amp;"L"&amp;SUBSTITUTE(ROUND((AD69)+7.5,1),",",".")&amp;" "&amp;SUBSTITUTE(ROUND(AE69,1),",",".")&amp;"L"&amp;SUBSTITUTE(ROUND(AD69,1),",",".")&amp;" "&amp;SUBSTITUTE(ROUND((AE69)+7.5,1),",",".")&amp;"L"&amp;SUBSTITUTE(ROUND((AD69)-7.5,1),",",".")&amp;" "&amp;SUBSTITUTE(ROUND(AE69,1),",",".")&amp;"Z' fill='#F5F5F5' stroke='#2A3439' stroke-width='1.3'/&gt;")))&amp;"&lt;text x='"&amp;SUBSTITUTE(ROUND(AD69+9,1),",",".")&amp;"' y='"&amp;SUBSTITUTE(ROUND(AE69-8,1),",",".")&amp;"'&gt;"&amp;AI69&amp;"&lt;/text&gt;","")</f>
        <v/>
      </c>
      <c r="AK69" s="58">
        <f>IF(AA69=1,IF(AF69="Motriz","&lt;circle cx='"&amp;SUBSTITUTE(ROUND(728,1),",",".")&amp;"' cy='"&amp;SUBSTITUTE(ROUND(531.8,1),",",".")&amp;"' r='4.3' fill='#2A3439' stroke='#2A3439' stroke-width='1.3'/&gt;",IF(AF69="Enlace","&lt;rect x='"&amp;SUBSTITUTE(ROUND((728)-3.96,1),",",".")&amp;"' y='"&amp;SUBSTITUTE(ROUND((531.8)-3.96,1),",",".")&amp;"' width='7.92' height='7.92' fill='#6699CC' stroke='#2A3439' stroke-width='1.3'/&gt;",IF(AF69="Resultado","&lt;path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AR69" s="58" t="n">
        <v>30</v>
      </c>
      <c r="AS69" s="58">
        <f>IF(AND($AS$4=1,AR69&lt;=nVariables),1,0)</f>
        <v/>
      </c>
      <c r="AT69" s="58">
        <f>IF(AS69=1,'M3'!$F39,"")</f>
        <v/>
      </c>
      <c r="AU69" s="58">
        <f>IF(AS69=1,'M3'!$E39,"")</f>
        <v/>
      </c>
      <c r="AV69" s="58">
        <f>IF(AS69=1,90+AT69*$AS$22,"")</f>
        <v/>
      </c>
      <c r="AW69" s="58">
        <f>IF(AS69=1,574-AU69*$AS$23,"")</f>
        <v/>
      </c>
      <c r="AX69" s="58">
        <f>IF(AS69=1,'M3'!$I39,"")</f>
        <v/>
      </c>
      <c r="AY69" s="58">
        <f>IF(AS69=1,IF(AX69="Motriz","#2A3439",IF(AX69="Enlace","#6699CC",IF(AX69="Resultado","#FFFFFF","#F5F5F5"))),"")</f>
        <v/>
      </c>
      <c r="AZ69" s="58">
        <f>IF(AS69=1,IF(SUMPRODUCT((AT$39:AT68=AT69)*(AU$39:AU68=AU69))=0,1,0),0)</f>
        <v/>
      </c>
      <c r="BA69" s="58">
        <f>IF(AZ69=1,30&amp;IF(AND(AT70=AT69,AU70=AU69),","&amp;31,"")&amp;IF(AND(AT71=AT69,AU71=AU69),","&amp;32,"")&amp;IF(AND(AT72=AT69,AU72=AU69),","&amp;33,"")&amp;IF(AND(AT73=AT69,AU73=AU69),","&amp;34,"")&amp;IF(AND(AT74=AT69,AU74=AU69),","&amp;35,"")&amp;IF(AND(AT75=AT69,AU75=AU69),","&amp;36,"")&amp;IF(AND(AT76=AT69,AU76=AU69),","&amp;37,"")&amp;IF(AND(AT77=AT69,AU77=AU69),","&amp;38,"")&amp;IF(AND(AT78=AT69,AU78=AU69),","&amp;39,"")&amp;IF(AND(AT79=AT69,AU79=AU69),","&amp;40,""),"")</f>
        <v/>
      </c>
      <c r="BB69" s="58">
        <f>IF(AZ69=1,IF(AX69="Motriz","&lt;circle cx='"&amp;SUBSTITUTE(ROUND(AV69,1),",",".")&amp;"' cy='"&amp;SUBSTITUTE(ROUND(AW69,1),",",".")&amp;"' r='6' fill='#2A3439' stroke='#2A3439' stroke-width='1.3'/&gt;",IF(AX69="Enlace","&lt;rect x='"&amp;SUBSTITUTE(ROUND((AV69)-5.52,1),",",".")&amp;"' y='"&amp;SUBSTITUTE(ROUND((AW69)-5.52,1),",",".")&amp;"' width='11.04' height='11.04' fill='#6699CC' stroke='#2A3439' stroke-width='1.3'/&gt;",IF(AX69="Resultado","&lt;path d='M"&amp;SUBSTITUTE(ROUND(AV69,1),",",".")&amp;" "&amp;SUBSTITUTE(ROUND((AW69)-6.9,1),",",".")&amp;"L"&amp;SUBSTITUTE(ROUND((AV69)+6.3,1),",",".")&amp;" "&amp;SUBSTITUTE(ROUND((AW69)+5.1,1),",",".")&amp;"L"&amp;SUBSTITUTE(ROUND((AV69)-6.3,1),",",".")&amp;" "&amp;SUBSTITUTE(ROUND((AW69)+5.1,1),",",".")&amp;"Z' fill='#FFFFFF' stroke='#2A3439' stroke-width='1.3'/&gt;","&lt;path d='M"&amp;SUBSTITUTE(ROUND(AV69,1),",",".")&amp;" "&amp;SUBSTITUTE(ROUND((AW69)-7.5,1),",",".")&amp;"L"&amp;SUBSTITUTE(ROUND((AV69)+7.5,1),",",".")&amp;" "&amp;SUBSTITUTE(ROUND(AW69,1),",",".")&amp;"L"&amp;SUBSTITUTE(ROUND(AV69,1),",",".")&amp;" "&amp;SUBSTITUTE(ROUND((AW69)+7.5,1),",",".")&amp;"L"&amp;SUBSTITUTE(ROUND((AV69)-7.5,1),",",".")&amp;" "&amp;SUBSTITUTE(ROUND(AW69,1),",",".")&amp;"Z' fill='#F5F5F5' stroke='#2A3439' stroke-width='1.3'/&gt;")))&amp;"&lt;text x='"&amp;SUBSTITUTE(ROUND(AV69+9,1),",",".")&amp;"' y='"&amp;SUBSTITUTE(ROUND(AW69-8,1),",",".")&amp;"'&gt;"&amp;BA69&amp;"&lt;/text&gt;","")</f>
        <v/>
      </c>
      <c r="BC69" s="58">
        <f>IF(AS69=1,IF(AX69="Motriz","&lt;circle cx='"&amp;SUBSTITUTE(ROUND(728,1),",",".")&amp;"' cy='"&amp;SUBSTITUTE(ROUND(531.8,1),",",".")&amp;"' r='4.3' fill='#2A3439' stroke='#2A3439' stroke-width='1.3'/&gt;",IF(AX69="Enlace","&lt;rect x='"&amp;SUBSTITUTE(ROUND((728)-3.96,1),",",".")&amp;"' y='"&amp;SUBSTITUTE(ROUND((531.8)-3.96,1),",",".")&amp;"' width='7.92' height='7.92' fill='#6699CC' stroke='#2A3439' stroke-width='1.3'/&gt;",IF(AX69="Resultado","&lt;path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BJ69" s="58" t="n">
        <v>30</v>
      </c>
      <c r="BK69" s="58">
        <f>IF(AND($BK$4=1,BJ69&lt;=nVariables),1,0)</f>
        <v/>
      </c>
      <c r="BL69" s="58">
        <f>IF(BK69=1,'M4'!$F39,"")</f>
        <v/>
      </c>
      <c r="BM69" s="58">
        <f>IF(BK69=1,'M4'!$E39,"")</f>
        <v/>
      </c>
      <c r="BN69" s="58">
        <f>IF(BK69=1,90+BL69*$BK$22,"")</f>
        <v/>
      </c>
      <c r="BO69" s="58">
        <f>IF(BK69=1,574-BM69*$BK$23,"")</f>
        <v/>
      </c>
      <c r="BP69" s="58">
        <f>IF(BK69=1,'M4'!$I39,"")</f>
        <v/>
      </c>
      <c r="BQ69" s="58">
        <f>IF(BK69=1,IF(BP69="Motriz","#2A3439",IF(BP69="Enlace","#6699CC",IF(BP69="Resultado","#FFFFFF","#F5F5F5"))),"")</f>
        <v/>
      </c>
      <c r="BR69" s="58">
        <f>IF(BK69=1,IF(SUMPRODUCT((BL$39:BL68=BL69)*(BM$39:BM68=BM69))=0,1,0),0)</f>
        <v/>
      </c>
      <c r="BS69" s="58">
        <f>IF(BR69=1,30&amp;IF(AND(BL70=BL69,BM70=BM69),","&amp;31,"")&amp;IF(AND(BL71=BL69,BM71=BM69),","&amp;32,"")&amp;IF(AND(BL72=BL69,BM72=BM69),","&amp;33,"")&amp;IF(AND(BL73=BL69,BM73=BM69),","&amp;34,"")&amp;IF(AND(BL74=BL69,BM74=BM69),","&amp;35,"")&amp;IF(AND(BL75=BL69,BM75=BM69),","&amp;36,"")&amp;IF(AND(BL76=BL69,BM76=BM69),","&amp;37,"")&amp;IF(AND(BL77=BL69,BM77=BM69),","&amp;38,"")&amp;IF(AND(BL78=BL69,BM78=BM69),","&amp;39,"")&amp;IF(AND(BL79=BL69,BM79=BM69),","&amp;40,""),"")</f>
        <v/>
      </c>
      <c r="BT69" s="58">
        <f>IF(BR69=1,IF(BP69="Motriz","&lt;circle cx='"&amp;SUBSTITUTE(ROUND(BN69,1),",",".")&amp;"' cy='"&amp;SUBSTITUTE(ROUND(BO69,1),",",".")&amp;"' r='6' fill='#2A3439' stroke='#2A3439' stroke-width='1.3'/&gt;",IF(BP69="Enlace","&lt;rect x='"&amp;SUBSTITUTE(ROUND((BN69)-5.52,1),",",".")&amp;"' y='"&amp;SUBSTITUTE(ROUND((BO69)-5.52,1),",",".")&amp;"' width='11.04' height='11.04' fill='#6699CC' stroke='#2A3439' stroke-width='1.3'/&gt;",IF(BP69="Resultado","&lt;path d='M"&amp;SUBSTITUTE(ROUND(BN69,1),",",".")&amp;" "&amp;SUBSTITUTE(ROUND((BO69)-6.9,1),",",".")&amp;"L"&amp;SUBSTITUTE(ROUND((BN69)+6.3,1),",",".")&amp;" "&amp;SUBSTITUTE(ROUND((BO69)+5.1,1),",",".")&amp;"L"&amp;SUBSTITUTE(ROUND((BN69)-6.3,1),",",".")&amp;" "&amp;SUBSTITUTE(ROUND((BO69)+5.1,1),",",".")&amp;"Z' fill='#FFFFFF' stroke='#2A3439' stroke-width='1.3'/&gt;","&lt;path d='M"&amp;SUBSTITUTE(ROUND(BN69,1),",",".")&amp;" "&amp;SUBSTITUTE(ROUND((BO69)-7.5,1),",",".")&amp;"L"&amp;SUBSTITUTE(ROUND((BN69)+7.5,1),",",".")&amp;" "&amp;SUBSTITUTE(ROUND(BO69,1),",",".")&amp;"L"&amp;SUBSTITUTE(ROUND(BN69,1),",",".")&amp;" "&amp;SUBSTITUTE(ROUND((BO69)+7.5,1),",",".")&amp;"L"&amp;SUBSTITUTE(ROUND((BN69)-7.5,1),",",".")&amp;" "&amp;SUBSTITUTE(ROUND(BO69,1),",",".")&amp;"Z' fill='#F5F5F5' stroke='#2A3439' stroke-width='1.3'/&gt;")))&amp;"&lt;text x='"&amp;SUBSTITUTE(ROUND(BN69+9,1),",",".")&amp;"' y='"&amp;SUBSTITUTE(ROUND(BO69-8,1),",",".")&amp;"'&gt;"&amp;BS69&amp;"&lt;/text&gt;","")</f>
        <v/>
      </c>
      <c r="BU69" s="58">
        <f>IF(BK69=1,IF(BP69="Motriz","&lt;circle cx='"&amp;SUBSTITUTE(ROUND(728,1),",",".")&amp;"' cy='"&amp;SUBSTITUTE(ROUND(531.8,1),",",".")&amp;"' r='4.3' fill='#2A3439' stroke='#2A3439' stroke-width='1.3'/&gt;",IF(BP69="Enlace","&lt;rect x='"&amp;SUBSTITUTE(ROUND((728)-3.96,1),",",".")&amp;"' y='"&amp;SUBSTITUTE(ROUND((531.8)-3.96,1),",",".")&amp;"' width='7.92' height='7.92' fill='#6699CC' stroke='#2A3439' stroke-width='1.3'/&gt;",IF(BP69="Resultado","&lt;path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CB69" s="58" t="n">
        <v>30</v>
      </c>
      <c r="CC69" s="58">
        <f>IF(AND($CC$4=1,CB69&lt;=nVariables),1,0)</f>
        <v/>
      </c>
      <c r="CD69" s="58">
        <f>IF(CC69=1,'M5'!$F39,"")</f>
        <v/>
      </c>
      <c r="CE69" s="58">
        <f>IF(CC69=1,'M5'!$E39,"")</f>
        <v/>
      </c>
      <c r="CF69" s="58">
        <f>IF(CC69=1,90+CD69*$CC$22,"")</f>
        <v/>
      </c>
      <c r="CG69" s="58">
        <f>IF(CC69=1,574-CE69*$CC$23,"")</f>
        <v/>
      </c>
      <c r="CH69" s="58">
        <f>IF(CC69=1,'M5'!$I39,"")</f>
        <v/>
      </c>
      <c r="CI69" s="58">
        <f>IF(CC69=1,IF(CH69="Motriz","#2A3439",IF(CH69="Enlace","#6699CC",IF(CH69="Resultado","#FFFFFF","#F5F5F5"))),"")</f>
        <v/>
      </c>
      <c r="CJ69" s="58">
        <f>IF(CC69=1,IF(SUMPRODUCT((CD$39:CD68=CD69)*(CE$39:CE68=CE69))=0,1,0),0)</f>
        <v/>
      </c>
      <c r="CK69" s="58">
        <f>IF(CJ69=1,30&amp;IF(AND(CD70=CD69,CE70=CE69),","&amp;31,"")&amp;IF(AND(CD71=CD69,CE71=CE69),","&amp;32,"")&amp;IF(AND(CD72=CD69,CE72=CE69),","&amp;33,"")&amp;IF(AND(CD73=CD69,CE73=CE69),","&amp;34,"")&amp;IF(AND(CD74=CD69,CE74=CE69),","&amp;35,"")&amp;IF(AND(CD75=CD69,CE75=CE69),","&amp;36,"")&amp;IF(AND(CD76=CD69,CE76=CE69),","&amp;37,"")&amp;IF(AND(CD77=CD69,CE77=CE69),","&amp;38,"")&amp;IF(AND(CD78=CD69,CE78=CE69),","&amp;39,"")&amp;IF(AND(CD79=CD69,CE79=CE69),","&amp;40,""),"")</f>
        <v/>
      </c>
      <c r="CL69" s="58">
        <f>IF(CJ69=1,IF(CH69="Motriz","&lt;circle cx='"&amp;SUBSTITUTE(ROUND(CF69,1),",",".")&amp;"' cy='"&amp;SUBSTITUTE(ROUND(CG69,1),",",".")&amp;"' r='6' fill='#2A3439' stroke='#2A3439' stroke-width='1.3'/&gt;",IF(CH69="Enlace","&lt;rect x='"&amp;SUBSTITUTE(ROUND((CF69)-5.52,1),",",".")&amp;"' y='"&amp;SUBSTITUTE(ROUND((CG69)-5.52,1),",",".")&amp;"' width='11.04' height='11.04' fill='#6699CC' stroke='#2A3439' stroke-width='1.3'/&gt;",IF(CH69="Resultado","&lt;path d='M"&amp;SUBSTITUTE(ROUND(CF69,1),",",".")&amp;" "&amp;SUBSTITUTE(ROUND((CG69)-6.9,1),",",".")&amp;"L"&amp;SUBSTITUTE(ROUND((CF69)+6.3,1),",",".")&amp;" "&amp;SUBSTITUTE(ROUND((CG69)+5.1,1),",",".")&amp;"L"&amp;SUBSTITUTE(ROUND((CF69)-6.3,1),",",".")&amp;" "&amp;SUBSTITUTE(ROUND((CG69)+5.1,1),",",".")&amp;"Z' fill='#FFFFFF' stroke='#2A3439' stroke-width='1.3'/&gt;","&lt;path d='M"&amp;SUBSTITUTE(ROUND(CF69,1),",",".")&amp;" "&amp;SUBSTITUTE(ROUND((CG69)-7.5,1),",",".")&amp;"L"&amp;SUBSTITUTE(ROUND((CF69)+7.5,1),",",".")&amp;" "&amp;SUBSTITUTE(ROUND(CG69,1),",",".")&amp;"L"&amp;SUBSTITUTE(ROUND(CF69,1),",",".")&amp;" "&amp;SUBSTITUTE(ROUND((CG69)+7.5,1),",",".")&amp;"L"&amp;SUBSTITUTE(ROUND((CF69)-7.5,1),",",".")&amp;" "&amp;SUBSTITUTE(ROUND(CG69,1),",",".")&amp;"Z' fill='#F5F5F5' stroke='#2A3439' stroke-width='1.3'/&gt;")))&amp;"&lt;text x='"&amp;SUBSTITUTE(ROUND(CF69+9,1),",",".")&amp;"' y='"&amp;SUBSTITUTE(ROUND(CG69-8,1),",",".")&amp;"'&gt;"&amp;CK69&amp;"&lt;/text&gt;","")</f>
        <v/>
      </c>
      <c r="CM69" s="58">
        <f>IF(CC69=1,IF(CH69="Motriz","&lt;circle cx='"&amp;SUBSTITUTE(ROUND(728,1),",",".")&amp;"' cy='"&amp;SUBSTITUTE(ROUND(531.8,1),",",".")&amp;"' r='4.3' fill='#2A3439' stroke='#2A3439' stroke-width='1.3'/&gt;",IF(CH69="Enlace","&lt;rect x='"&amp;SUBSTITUTE(ROUND((728)-3.96,1),",",".")&amp;"' y='"&amp;SUBSTITUTE(ROUND((531.8)-3.96,1),",",".")&amp;"' width='7.92' height='7.92' fill='#6699CC' stroke='#2A3439' stroke-width='1.3'/&gt;",IF(CH69="Resultado","&lt;path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CT69" s="58" t="n">
        <v>30</v>
      </c>
      <c r="CU69" s="58">
        <f>IF(AND($CU$4=1,CT69&lt;=nVariables),1,0)</f>
        <v/>
      </c>
      <c r="CV69" s="58">
        <f>IF(CU69=1,'M6'!$F39,"")</f>
        <v/>
      </c>
      <c r="CW69" s="58">
        <f>IF(CU69=1,'M6'!$E39,"")</f>
        <v/>
      </c>
      <c r="CX69" s="58">
        <f>IF(CU69=1,90+CV69*$CU$22,"")</f>
        <v/>
      </c>
      <c r="CY69" s="58">
        <f>IF(CU69=1,574-CW69*$CU$23,"")</f>
        <v/>
      </c>
      <c r="CZ69" s="58">
        <f>IF(CU69=1,'M6'!$I39,"")</f>
        <v/>
      </c>
      <c r="DA69" s="58">
        <f>IF(CU69=1,IF(CZ69="Motriz","#2A3439",IF(CZ69="Enlace","#6699CC",IF(CZ69="Resultado","#FFFFFF","#F5F5F5"))),"")</f>
        <v/>
      </c>
      <c r="DB69" s="58">
        <f>IF(CU69=1,IF(SUMPRODUCT((CV$39:CV68=CV69)*(CW$39:CW68=CW69))=0,1,0),0)</f>
        <v/>
      </c>
      <c r="DC69" s="58">
        <f>IF(DB69=1,30&amp;IF(AND(CV70=CV69,CW70=CW69),","&amp;31,"")&amp;IF(AND(CV71=CV69,CW71=CW69),","&amp;32,"")&amp;IF(AND(CV72=CV69,CW72=CW69),","&amp;33,"")&amp;IF(AND(CV73=CV69,CW73=CW69),","&amp;34,"")&amp;IF(AND(CV74=CV69,CW74=CW69),","&amp;35,"")&amp;IF(AND(CV75=CV69,CW75=CW69),","&amp;36,"")&amp;IF(AND(CV76=CV69,CW76=CW69),","&amp;37,"")&amp;IF(AND(CV77=CV69,CW77=CW69),","&amp;38,"")&amp;IF(AND(CV78=CV69,CW78=CW69),","&amp;39,"")&amp;IF(AND(CV79=CV69,CW79=CW69),","&amp;40,""),"")</f>
        <v/>
      </c>
      <c r="DD69" s="58">
        <f>IF(DB69=1,IF(CZ69="Motriz","&lt;circle cx='"&amp;SUBSTITUTE(ROUND(CX69,1),",",".")&amp;"' cy='"&amp;SUBSTITUTE(ROUND(CY69,1),",",".")&amp;"' r='6' fill='#2A3439' stroke='#2A3439' stroke-width='1.3'/&gt;",IF(CZ69="Enlace","&lt;rect x='"&amp;SUBSTITUTE(ROUND((CX69)-5.52,1),",",".")&amp;"' y='"&amp;SUBSTITUTE(ROUND((CY69)-5.52,1),",",".")&amp;"' width='11.04' height='11.04' fill='#6699CC' stroke='#2A3439' stroke-width='1.3'/&gt;",IF(CZ69="Resultado","&lt;path d='M"&amp;SUBSTITUTE(ROUND(CX69,1),",",".")&amp;" "&amp;SUBSTITUTE(ROUND((CY69)-6.9,1),",",".")&amp;"L"&amp;SUBSTITUTE(ROUND((CX69)+6.3,1),",",".")&amp;" "&amp;SUBSTITUTE(ROUND((CY69)+5.1,1),",",".")&amp;"L"&amp;SUBSTITUTE(ROUND((CX69)-6.3,1),",",".")&amp;" "&amp;SUBSTITUTE(ROUND((CY69)+5.1,1),",",".")&amp;"Z' fill='#FFFFFF' stroke='#2A3439' stroke-width='1.3'/&gt;","&lt;path d='M"&amp;SUBSTITUTE(ROUND(CX69,1),",",".")&amp;" "&amp;SUBSTITUTE(ROUND((CY69)-7.5,1),",",".")&amp;"L"&amp;SUBSTITUTE(ROUND((CX69)+7.5,1),",",".")&amp;" "&amp;SUBSTITUTE(ROUND(CY69,1),",",".")&amp;"L"&amp;SUBSTITUTE(ROUND(CX69,1),",",".")&amp;" "&amp;SUBSTITUTE(ROUND((CY69)+7.5,1),",",".")&amp;"L"&amp;SUBSTITUTE(ROUND((CX69)-7.5,1),",",".")&amp;" "&amp;SUBSTITUTE(ROUND(CY69,1),",",".")&amp;"Z' fill='#F5F5F5' stroke='#2A3439' stroke-width='1.3'/&gt;")))&amp;"&lt;text x='"&amp;SUBSTITUTE(ROUND(CX69+9,1),",",".")&amp;"' y='"&amp;SUBSTITUTE(ROUND(CY69-8,1),",",".")&amp;"'&gt;"&amp;DC69&amp;"&lt;/text&gt;","")</f>
        <v/>
      </c>
      <c r="DE69" s="58">
        <f>IF(CU69=1,IF(CZ69="Motriz","&lt;circle cx='"&amp;SUBSTITUTE(ROUND(728,1),",",".")&amp;"' cy='"&amp;SUBSTITUTE(ROUND(531.8,1),",",".")&amp;"' r='4.3' fill='#2A3439' stroke='#2A3439' stroke-width='1.3'/&gt;",IF(CZ69="Enlace","&lt;rect x='"&amp;SUBSTITUTE(ROUND((728)-3.96,1),",",".")&amp;"' y='"&amp;SUBSTITUTE(ROUND((531.8)-3.96,1),",",".")&amp;"' width='7.92' height='7.92' fill='#6699CC' stroke='#2A3439' stroke-width='1.3'/&gt;",IF(CZ69="Resultado","&lt;path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DL69" s="58" t="n">
        <v>18</v>
      </c>
      <c r="DM69" s="58">
        <f>IF(AND($DM$4=1,DL69&lt;=nVariables),IF('M6'!$I27="Resultado","E",IF('M6'!$I27="Enlace","L",IF('M6'!$I27="Motriz","R",IF('M6'!$I27="Autónoma","A","")))),"")</f>
        <v/>
      </c>
      <c r="DN69" s="58">
        <f>IF(DM69&lt;&gt;"",COUNTIF($DM$52:DM69,DM69),"")</f>
        <v/>
      </c>
      <c r="DO69" s="58">
        <f>IF(DM69&lt;&gt;"",SUBSTITUTE(SUBSTITUTE(SUBSTITUTE(SUBSTITUTE(SUBSTITUTE(SUBSTITUTE(SUBSTITUTE(TRIM(CLEAN(IF(LEN(18&amp;" · "&amp;$D57)&gt;30,LEFT(18&amp;" · "&amp;$D57,29)&amp;"…",18&amp;" · "&amp;$D57))),"&amp;","&amp;amp;"),"&lt;","&amp;lt;"),"&gt;","&amp;gt;"),CHAR(34),"&amp;quot;"),CHAR(10)," "),CHAR(9)," "),CHAR(13)," "),"")</f>
        <v/>
      </c>
      <c r="DP69" s="58">
        <f>IF(DM69&lt;&gt;"",IF($E57&lt;&gt;"",$E57,IF(DM69="E","(efecto · indicador de resultado)",IF(DM69="L","(causa directa · riesgo)",IF(DM69="R","CAUSA RAÍZ · componente del proyecto","(fuera del alcance)")))),"")</f>
        <v/>
      </c>
      <c r="DQ69" s="58">
        <f>IF(DM69&lt;&gt;"",IF(LEN(DP69)&gt;74,LEFT(DP69,73)&amp;"…",DP69),"")</f>
        <v/>
      </c>
      <c r="DR69" s="58">
        <f>IF(DM69&lt;&gt;"",IF(LEN(DQ69)&lt;=37,LEN(DQ69)+1,IFERROR(FIND("~",SUBSTITUTE(LEFT(DQ69,38)," ","~",LEN(LEFT(DQ69,38))-LEN(SUBSTITUTE(LEFT(DQ69,38)," ","")))),38)),"")</f>
        <v/>
      </c>
      <c r="DS69" s="58">
        <f>IF(DM69&lt;&gt;"",SUBSTITUTE(SUBSTITUTE(SUBSTITUTE(SUBSTITUTE(SUBSTITUTE(SUBSTITUTE(SUBSTITUTE(TRIM(CLEAN(TRIM(LEFT(DQ69,DR69-1)))),"&amp;","&amp;amp;"),"&lt;","&amp;lt;"),"&gt;","&amp;gt;"),CHAR(34),"&amp;quot;"),CHAR(10)," "),CHAR(9)," "),CHAR(13)," "),"")</f>
        <v/>
      </c>
      <c r="DT69" s="58">
        <f>IF(DM69&lt;&gt;"",SUBSTITUTE(SUBSTITUTE(SUBSTITUTE(SUBSTITUTE(SUBSTITUTE(SUBSTITUTE(SUBSTITUTE(TRIM(CLEAN(IF(LEN(TRIM(MID(DQ69,DR69,80)))&gt;37,LEFT(TRIM(MID(DQ69,DR69,80)),36)&amp;"…",TRIM(MID(DQ69,DR69,80))))),"&amp;","&amp;amp;"),"&lt;","&amp;lt;"),"&gt;","&amp;gt;"),CHAR(34),"&amp;quot;"),CHAR(10)," "),CHAR(9)," "),CHAR(13)," "),"")</f>
        <v/>
      </c>
      <c r="DU69" s="58">
        <f>IF(DM69&lt;&gt;"",(1200-(MIN(5,IF(DM69="E",$DM$5,IF(DM69="L",$DM$8,IF(DM69="R",$DM$11,$DM$14)))-INT((DN69-1)/5)*5)*216+(MIN(5,IF(DM69="E",$DM$5,IF(DM69="L",$DM$8,IF(DM69="R",$DM$11,$DM$14)))-INT((DN69-1)/5)*5)-1)*14))/2+MOD(DN69-1,5)*(216+14),"")</f>
        <v/>
      </c>
      <c r="DV69" s="58">
        <f>IF(DM69&lt;&gt;"",IF(DM69="E",$DM$17,IF(DM69="L",$DM$21,IF(DM69="R",$DM$23,$DM$25)))+24+INT((DN69-1)/5)*(64+12),"")</f>
        <v/>
      </c>
      <c r="DW69" s="58">
        <f>IF(DM69&lt;&gt;"","&lt;rect x='"&amp;SUBSTITUTE(ROUND(DU69,1),",",".")&amp;"' y='"&amp;SUBSTITUTE(ROUND(DV69,1),",",".")&amp;"' width='216' height='64' rx='9' fill='"&amp;IF(DM69="E","#B9D9EB",IF(DM69="L","#9EB9D4",IF(DM69="R","#6699CC","#F5F5F5")))&amp;"' stroke='#2A3439' stroke-width='1'"&amp;IF(DM69="A"," stroke-dasharray='5 3'","")&amp;"/&gt;"&amp;"&lt;text x='"&amp;SUBSTITUTE(ROUND((DU69+108),1),",",".")&amp;"' y='"&amp;SUBSTITUTE(ROUND(DV69+20,1),",",".")&amp;"' font-size='12' font-weight='bold'&gt;"&amp;DO69&amp;"&lt;/text&gt;"&amp;"&lt;text x='"&amp;SUBSTITUTE(ROUND((DU69+108),1),",",".")&amp;"' y='"&amp;SUBSTITUTE(ROUND(DV69+38,1),",",".")&amp;"' font-size='10'&gt;"&amp;DS69&amp;"&lt;/text&gt;"&amp;"&lt;text x='"&amp;SUBSTITUTE(ROUND((DU69+108),1),",",".")&amp;"' y='"&amp;SUBSTITUTE(ROUND(DV69+53,1),",",".")&amp;"' font-size='10'&gt;"&amp;DT69&amp;"&lt;/text&gt;","")</f>
        <v/>
      </c>
    </row>
    <row r="70">
      <c r="A70" s="58" t="n">
        <v>31</v>
      </c>
      <c r="B70" s="58">
        <f>IF($A70&lt;=nVariables,SUBSTITUTE(SUBSTITUTE(SUBSTITUTE(SUBSTITUTE(SUBSTITUTE(SUBSTITUTE(SUBSTITUTE(TRIM(CLEAN(IF(LEN(TRIM(M!$B40))&gt;46,LEFT(TRIM(M!$B40),45)&amp;"…",TRIM(M!$B40)))),"&amp;","&amp;amp;"),"&lt;","&amp;lt;"),"&gt;","&amp;gt;"),CHAR(34),"&amp;quot;"),CHAR(10)," "),CHAR(9)," "),CHAR(13)," "),"")</f>
        <v/>
      </c>
      <c r="C70" s="58">
        <f>IF($A70&lt;=nVariables,$A70&amp;". "&amp;B70,"")</f>
        <v/>
      </c>
      <c r="D70" s="58">
        <f>IF($A70&lt;=nVariables,IF(TRIM(M!$C40)&lt;&gt;"",TRIM(M!$C40),IF(LEN(TRIM(M!$B40))&gt;24,LEFT(TRIM(M!$B40),23)&amp;"…",TRIM(M!$B40))),"")</f>
        <v/>
      </c>
      <c r="E70" s="58">
        <f>IF($A70&lt;=nVariables,TRIM('Árbol de Problemas'!$F49),"")</f>
        <v/>
      </c>
      <c r="H70" s="58" t="n">
        <v>31</v>
      </c>
      <c r="I70" s="58">
        <f>IF(AND($I$4=1,H70&lt;=nVariables),1,0)</f>
        <v/>
      </c>
      <c r="J70" s="58">
        <f>IF(I70=1,'M1'!$F40,"")</f>
        <v/>
      </c>
      <c r="K70" s="58">
        <f>IF(I70=1,'M1'!$E40,"")</f>
        <v/>
      </c>
      <c r="L70" s="58">
        <f>IF(I70=1,90+J70*$I$22,"")</f>
        <v/>
      </c>
      <c r="M70" s="58">
        <f>IF(I70=1,574-K70*$I$23,"")</f>
        <v/>
      </c>
      <c r="N70" s="58">
        <f>IF(I70=1,'M1'!$I40,"")</f>
        <v/>
      </c>
      <c r="O70" s="58">
        <f>IF(I70=1,IF(N70="Motriz","#2A3439",IF(N70="Enlace","#6699CC",IF(N70="Resultado","#FFFFFF","#F5F5F5"))),"")</f>
        <v/>
      </c>
      <c r="P70" s="58">
        <f>IF(I70=1,IF(SUMPRODUCT((J$39:J69=J70)*(K$39:K69=K70))=0,1,0),0)</f>
        <v/>
      </c>
      <c r="Q70" s="58">
        <f>IF(P70=1,31&amp;IF(AND(J71=J70,K71=K70),","&amp;32,"")&amp;IF(AND(J72=J70,K72=K70),","&amp;33,"")&amp;IF(AND(J73=J70,K73=K70),","&amp;34,"")&amp;IF(AND(J74=J70,K74=K70),","&amp;35,"")&amp;IF(AND(J75=J70,K75=K70),","&amp;36,"")&amp;IF(AND(J76=J70,K76=K70),","&amp;37,"")&amp;IF(AND(J77=J70,K77=K70),","&amp;38,"")&amp;IF(AND(J78=J70,K78=K70),","&amp;39,"")&amp;IF(AND(J79=J70,K79=K70),","&amp;40,""),"")</f>
        <v/>
      </c>
      <c r="R70" s="58">
        <f>IF(P70=1,IF(N70="Motriz","&lt;circle cx='"&amp;SUBSTITUTE(ROUND(L70,1),",",".")&amp;"' cy='"&amp;SUBSTITUTE(ROUND(M70,1),",",".")&amp;"' r='6' fill='#2A3439' stroke='#2A3439' stroke-width='1.3'/&gt;",IF(N70="Enlace","&lt;rect x='"&amp;SUBSTITUTE(ROUND((L70)-5.52,1),",",".")&amp;"' y='"&amp;SUBSTITUTE(ROUND((M70)-5.52,1),",",".")&amp;"' width='11.04' height='11.04' fill='#6699CC' stroke='#2A3439' stroke-width='1.3'/&gt;",IF(N70="Resultado","&lt;path d='M"&amp;SUBSTITUTE(ROUND(L70,1),",",".")&amp;" "&amp;SUBSTITUTE(ROUND((M70)-6.9,1),",",".")&amp;"L"&amp;SUBSTITUTE(ROUND((L70)+6.3,1),",",".")&amp;" "&amp;SUBSTITUTE(ROUND((M70)+5.1,1),",",".")&amp;"L"&amp;SUBSTITUTE(ROUND((L70)-6.3,1),",",".")&amp;" "&amp;SUBSTITUTE(ROUND((M70)+5.1,1),",",".")&amp;"Z' fill='#FFFFFF' stroke='#2A3439' stroke-width='1.3'/&gt;","&lt;path d='M"&amp;SUBSTITUTE(ROUND(L70,1),",",".")&amp;" "&amp;SUBSTITUTE(ROUND((M70)-7.5,1),",",".")&amp;"L"&amp;SUBSTITUTE(ROUND((L70)+7.5,1),",",".")&amp;" "&amp;SUBSTITUTE(ROUND(M70,1),",",".")&amp;"L"&amp;SUBSTITUTE(ROUND(L70,1),",",".")&amp;" "&amp;SUBSTITUTE(ROUND((M70)+7.5,1),",",".")&amp;"L"&amp;SUBSTITUTE(ROUND((L70)-7.5,1),",",".")&amp;" "&amp;SUBSTITUTE(ROUND(M70,1),",",".")&amp;"Z' fill='#F5F5F5' stroke='#2A3439' stroke-width='1.3'/&gt;")))&amp;"&lt;text x='"&amp;SUBSTITUTE(ROUND(L70+9,1),",",".")&amp;"' y='"&amp;SUBSTITUTE(ROUND(M70-8,1),",",".")&amp;"'&gt;"&amp;Q70&amp;"&lt;/text&gt;","")</f>
        <v/>
      </c>
      <c r="S70" s="58">
        <f>IF(I70=1,IF(N70="Motriz","&lt;circle cx='"&amp;SUBSTITUTE(ROUND(728,1),",",".")&amp;"' cy='"&amp;SUBSTITUTE(ROUND(546,1),",",".")&amp;"' r='4.3' fill='#2A3439' stroke='#2A3439' stroke-width='1.3'/&gt;",IF(N70="Enlace","&lt;rect x='"&amp;SUBSTITUTE(ROUND((728)-3.96,1),",",".")&amp;"' y='"&amp;SUBSTITUTE(ROUND((546)-3.96,1),",",".")&amp;"' width='7.92' height='7.92' fill='#6699CC' stroke='#2A3439' stroke-width='1.3'/&gt;",IF(N70="Resultado","&lt;path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Z70" s="58" t="n">
        <v>31</v>
      </c>
      <c r="AA70" s="58">
        <f>IF(AND($AA$4=1,Z70&lt;=nVariables),1,0)</f>
        <v/>
      </c>
      <c r="AB70" s="58">
        <f>IF(AA70=1,'M2'!$F40,"")</f>
        <v/>
      </c>
      <c r="AC70" s="58">
        <f>IF(AA70=1,'M2'!$E40,"")</f>
        <v/>
      </c>
      <c r="AD70" s="58">
        <f>IF(AA70=1,90+AB70*$AA$22,"")</f>
        <v/>
      </c>
      <c r="AE70" s="58">
        <f>IF(AA70=1,574-AC70*$AA$23,"")</f>
        <v/>
      </c>
      <c r="AF70" s="58">
        <f>IF(AA70=1,'M2'!$I40,"")</f>
        <v/>
      </c>
      <c r="AG70" s="58">
        <f>IF(AA70=1,IF(AF70="Motriz","#2A3439",IF(AF70="Enlace","#6699CC",IF(AF70="Resultado","#FFFFFF","#F5F5F5"))),"")</f>
        <v/>
      </c>
      <c r="AH70" s="58">
        <f>IF(AA70=1,IF(SUMPRODUCT((AB$39:AB69=AB70)*(AC$39:AC69=AC70))=0,1,0),0)</f>
        <v/>
      </c>
      <c r="AI70" s="58">
        <f>IF(AH70=1,31&amp;IF(AND(AB71=AB70,AC71=AC70),","&amp;32,"")&amp;IF(AND(AB72=AB70,AC72=AC70),","&amp;33,"")&amp;IF(AND(AB73=AB70,AC73=AC70),","&amp;34,"")&amp;IF(AND(AB74=AB70,AC74=AC70),","&amp;35,"")&amp;IF(AND(AB75=AB70,AC75=AC70),","&amp;36,"")&amp;IF(AND(AB76=AB70,AC76=AC70),","&amp;37,"")&amp;IF(AND(AB77=AB70,AC77=AC70),","&amp;38,"")&amp;IF(AND(AB78=AB70,AC78=AC70),","&amp;39,"")&amp;IF(AND(AB79=AB70,AC79=AC70),","&amp;40,""),"")</f>
        <v/>
      </c>
      <c r="AJ70" s="58">
        <f>IF(AH70=1,IF(AF70="Motriz","&lt;circle cx='"&amp;SUBSTITUTE(ROUND(AD70,1),",",".")&amp;"' cy='"&amp;SUBSTITUTE(ROUND(AE70,1),",",".")&amp;"' r='6' fill='#2A3439' stroke='#2A3439' stroke-width='1.3'/&gt;",IF(AF70="Enlace","&lt;rect x='"&amp;SUBSTITUTE(ROUND((AD70)-5.52,1),",",".")&amp;"' y='"&amp;SUBSTITUTE(ROUND((AE70)-5.52,1),",",".")&amp;"' width='11.04' height='11.04' fill='#6699CC' stroke='#2A3439' stroke-width='1.3'/&gt;",IF(AF70="Resultado","&lt;path d='M"&amp;SUBSTITUTE(ROUND(AD70,1),",",".")&amp;" "&amp;SUBSTITUTE(ROUND((AE70)-6.9,1),",",".")&amp;"L"&amp;SUBSTITUTE(ROUND((AD70)+6.3,1),",",".")&amp;" "&amp;SUBSTITUTE(ROUND((AE70)+5.1,1),",",".")&amp;"L"&amp;SUBSTITUTE(ROUND((AD70)-6.3,1),",",".")&amp;" "&amp;SUBSTITUTE(ROUND((AE70)+5.1,1),",",".")&amp;"Z' fill='#FFFFFF' stroke='#2A3439' stroke-width='1.3'/&gt;","&lt;path d='M"&amp;SUBSTITUTE(ROUND(AD70,1),",",".")&amp;" "&amp;SUBSTITUTE(ROUND((AE70)-7.5,1),",",".")&amp;"L"&amp;SUBSTITUTE(ROUND((AD70)+7.5,1),",",".")&amp;" "&amp;SUBSTITUTE(ROUND(AE70,1),",",".")&amp;"L"&amp;SUBSTITUTE(ROUND(AD70,1),",",".")&amp;" "&amp;SUBSTITUTE(ROUND((AE70)+7.5,1),",",".")&amp;"L"&amp;SUBSTITUTE(ROUND((AD70)-7.5,1),",",".")&amp;" "&amp;SUBSTITUTE(ROUND(AE70,1),",",".")&amp;"Z' fill='#F5F5F5' stroke='#2A3439' stroke-width='1.3'/&gt;")))&amp;"&lt;text x='"&amp;SUBSTITUTE(ROUND(AD70+9,1),",",".")&amp;"' y='"&amp;SUBSTITUTE(ROUND(AE70-8,1),",",".")&amp;"'&gt;"&amp;AI70&amp;"&lt;/text&gt;","")</f>
        <v/>
      </c>
      <c r="AK70" s="58">
        <f>IF(AA70=1,IF(AF70="Motriz","&lt;circle cx='"&amp;SUBSTITUTE(ROUND(728,1),",",".")&amp;"' cy='"&amp;SUBSTITUTE(ROUND(546,1),",",".")&amp;"' r='4.3' fill='#2A3439' stroke='#2A3439' stroke-width='1.3'/&gt;",IF(AF70="Enlace","&lt;rect x='"&amp;SUBSTITUTE(ROUND((728)-3.96,1),",",".")&amp;"' y='"&amp;SUBSTITUTE(ROUND((546)-3.96,1),",",".")&amp;"' width='7.92' height='7.92' fill='#6699CC' stroke='#2A3439' stroke-width='1.3'/&gt;",IF(AF70="Resultado","&lt;path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AR70" s="58" t="n">
        <v>31</v>
      </c>
      <c r="AS70" s="58">
        <f>IF(AND($AS$4=1,AR70&lt;=nVariables),1,0)</f>
        <v/>
      </c>
      <c r="AT70" s="58">
        <f>IF(AS70=1,'M3'!$F40,"")</f>
        <v/>
      </c>
      <c r="AU70" s="58">
        <f>IF(AS70=1,'M3'!$E40,"")</f>
        <v/>
      </c>
      <c r="AV70" s="58">
        <f>IF(AS70=1,90+AT70*$AS$22,"")</f>
        <v/>
      </c>
      <c r="AW70" s="58">
        <f>IF(AS70=1,574-AU70*$AS$23,"")</f>
        <v/>
      </c>
      <c r="AX70" s="58">
        <f>IF(AS70=1,'M3'!$I40,"")</f>
        <v/>
      </c>
      <c r="AY70" s="58">
        <f>IF(AS70=1,IF(AX70="Motriz","#2A3439",IF(AX70="Enlace","#6699CC",IF(AX70="Resultado","#FFFFFF","#F5F5F5"))),"")</f>
        <v/>
      </c>
      <c r="AZ70" s="58">
        <f>IF(AS70=1,IF(SUMPRODUCT((AT$39:AT69=AT70)*(AU$39:AU69=AU70))=0,1,0),0)</f>
        <v/>
      </c>
      <c r="BA70" s="58">
        <f>IF(AZ70=1,31&amp;IF(AND(AT71=AT70,AU71=AU70),","&amp;32,"")&amp;IF(AND(AT72=AT70,AU72=AU70),","&amp;33,"")&amp;IF(AND(AT73=AT70,AU73=AU70),","&amp;34,"")&amp;IF(AND(AT74=AT70,AU74=AU70),","&amp;35,"")&amp;IF(AND(AT75=AT70,AU75=AU70),","&amp;36,"")&amp;IF(AND(AT76=AT70,AU76=AU70),","&amp;37,"")&amp;IF(AND(AT77=AT70,AU77=AU70),","&amp;38,"")&amp;IF(AND(AT78=AT70,AU78=AU70),","&amp;39,"")&amp;IF(AND(AT79=AT70,AU79=AU70),","&amp;40,""),"")</f>
        <v/>
      </c>
      <c r="BB70" s="58">
        <f>IF(AZ70=1,IF(AX70="Motriz","&lt;circle cx='"&amp;SUBSTITUTE(ROUND(AV70,1),",",".")&amp;"' cy='"&amp;SUBSTITUTE(ROUND(AW70,1),",",".")&amp;"' r='6' fill='#2A3439' stroke='#2A3439' stroke-width='1.3'/&gt;",IF(AX70="Enlace","&lt;rect x='"&amp;SUBSTITUTE(ROUND((AV70)-5.52,1),",",".")&amp;"' y='"&amp;SUBSTITUTE(ROUND((AW70)-5.52,1),",",".")&amp;"' width='11.04' height='11.04' fill='#6699CC' stroke='#2A3439' stroke-width='1.3'/&gt;",IF(AX70="Resultado","&lt;path d='M"&amp;SUBSTITUTE(ROUND(AV70,1),",",".")&amp;" "&amp;SUBSTITUTE(ROUND((AW70)-6.9,1),",",".")&amp;"L"&amp;SUBSTITUTE(ROUND((AV70)+6.3,1),",",".")&amp;" "&amp;SUBSTITUTE(ROUND((AW70)+5.1,1),",",".")&amp;"L"&amp;SUBSTITUTE(ROUND((AV70)-6.3,1),",",".")&amp;" "&amp;SUBSTITUTE(ROUND((AW70)+5.1,1),",",".")&amp;"Z' fill='#FFFFFF' stroke='#2A3439' stroke-width='1.3'/&gt;","&lt;path d='M"&amp;SUBSTITUTE(ROUND(AV70,1),",",".")&amp;" "&amp;SUBSTITUTE(ROUND((AW70)-7.5,1),",",".")&amp;"L"&amp;SUBSTITUTE(ROUND((AV70)+7.5,1),",",".")&amp;" "&amp;SUBSTITUTE(ROUND(AW70,1),",",".")&amp;"L"&amp;SUBSTITUTE(ROUND(AV70,1),",",".")&amp;" "&amp;SUBSTITUTE(ROUND((AW70)+7.5,1),",",".")&amp;"L"&amp;SUBSTITUTE(ROUND((AV70)-7.5,1),",",".")&amp;" "&amp;SUBSTITUTE(ROUND(AW70,1),",",".")&amp;"Z' fill='#F5F5F5' stroke='#2A3439' stroke-width='1.3'/&gt;")))&amp;"&lt;text x='"&amp;SUBSTITUTE(ROUND(AV70+9,1),",",".")&amp;"' y='"&amp;SUBSTITUTE(ROUND(AW70-8,1),",",".")&amp;"'&gt;"&amp;BA70&amp;"&lt;/text&gt;","")</f>
        <v/>
      </c>
      <c r="BC70" s="58">
        <f>IF(AS70=1,IF(AX70="Motriz","&lt;circle cx='"&amp;SUBSTITUTE(ROUND(728,1),",",".")&amp;"' cy='"&amp;SUBSTITUTE(ROUND(546,1),",",".")&amp;"' r='4.3' fill='#2A3439' stroke='#2A3439' stroke-width='1.3'/&gt;",IF(AX70="Enlace","&lt;rect x='"&amp;SUBSTITUTE(ROUND((728)-3.96,1),",",".")&amp;"' y='"&amp;SUBSTITUTE(ROUND((546)-3.96,1),",",".")&amp;"' width='7.92' height='7.92' fill='#6699CC' stroke='#2A3439' stroke-width='1.3'/&gt;",IF(AX70="Resultado","&lt;path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BJ70" s="58" t="n">
        <v>31</v>
      </c>
      <c r="BK70" s="58">
        <f>IF(AND($BK$4=1,BJ70&lt;=nVariables),1,0)</f>
        <v/>
      </c>
      <c r="BL70" s="58">
        <f>IF(BK70=1,'M4'!$F40,"")</f>
        <v/>
      </c>
      <c r="BM70" s="58">
        <f>IF(BK70=1,'M4'!$E40,"")</f>
        <v/>
      </c>
      <c r="BN70" s="58">
        <f>IF(BK70=1,90+BL70*$BK$22,"")</f>
        <v/>
      </c>
      <c r="BO70" s="58">
        <f>IF(BK70=1,574-BM70*$BK$23,"")</f>
        <v/>
      </c>
      <c r="BP70" s="58">
        <f>IF(BK70=1,'M4'!$I40,"")</f>
        <v/>
      </c>
      <c r="BQ70" s="58">
        <f>IF(BK70=1,IF(BP70="Motriz","#2A3439",IF(BP70="Enlace","#6699CC",IF(BP70="Resultado","#FFFFFF","#F5F5F5"))),"")</f>
        <v/>
      </c>
      <c r="BR70" s="58">
        <f>IF(BK70=1,IF(SUMPRODUCT((BL$39:BL69=BL70)*(BM$39:BM69=BM70))=0,1,0),0)</f>
        <v/>
      </c>
      <c r="BS70" s="58">
        <f>IF(BR70=1,31&amp;IF(AND(BL71=BL70,BM71=BM70),","&amp;32,"")&amp;IF(AND(BL72=BL70,BM72=BM70),","&amp;33,"")&amp;IF(AND(BL73=BL70,BM73=BM70),","&amp;34,"")&amp;IF(AND(BL74=BL70,BM74=BM70),","&amp;35,"")&amp;IF(AND(BL75=BL70,BM75=BM70),","&amp;36,"")&amp;IF(AND(BL76=BL70,BM76=BM70),","&amp;37,"")&amp;IF(AND(BL77=BL70,BM77=BM70),","&amp;38,"")&amp;IF(AND(BL78=BL70,BM78=BM70),","&amp;39,"")&amp;IF(AND(BL79=BL70,BM79=BM70),","&amp;40,""),"")</f>
        <v/>
      </c>
      <c r="BT70" s="58">
        <f>IF(BR70=1,IF(BP70="Motriz","&lt;circle cx='"&amp;SUBSTITUTE(ROUND(BN70,1),",",".")&amp;"' cy='"&amp;SUBSTITUTE(ROUND(BO70,1),",",".")&amp;"' r='6' fill='#2A3439' stroke='#2A3439' stroke-width='1.3'/&gt;",IF(BP70="Enlace","&lt;rect x='"&amp;SUBSTITUTE(ROUND((BN70)-5.52,1),",",".")&amp;"' y='"&amp;SUBSTITUTE(ROUND((BO70)-5.52,1),",",".")&amp;"' width='11.04' height='11.04' fill='#6699CC' stroke='#2A3439' stroke-width='1.3'/&gt;",IF(BP70="Resultado","&lt;path d='M"&amp;SUBSTITUTE(ROUND(BN70,1),",",".")&amp;" "&amp;SUBSTITUTE(ROUND((BO70)-6.9,1),",",".")&amp;"L"&amp;SUBSTITUTE(ROUND((BN70)+6.3,1),",",".")&amp;" "&amp;SUBSTITUTE(ROUND((BO70)+5.1,1),",",".")&amp;"L"&amp;SUBSTITUTE(ROUND((BN70)-6.3,1),",",".")&amp;" "&amp;SUBSTITUTE(ROUND((BO70)+5.1,1),",",".")&amp;"Z' fill='#FFFFFF' stroke='#2A3439' stroke-width='1.3'/&gt;","&lt;path d='M"&amp;SUBSTITUTE(ROUND(BN70,1),",",".")&amp;" "&amp;SUBSTITUTE(ROUND((BO70)-7.5,1),",",".")&amp;"L"&amp;SUBSTITUTE(ROUND((BN70)+7.5,1),",",".")&amp;" "&amp;SUBSTITUTE(ROUND(BO70,1),",",".")&amp;"L"&amp;SUBSTITUTE(ROUND(BN70,1),",",".")&amp;" "&amp;SUBSTITUTE(ROUND((BO70)+7.5,1),",",".")&amp;"L"&amp;SUBSTITUTE(ROUND((BN70)-7.5,1),",",".")&amp;" "&amp;SUBSTITUTE(ROUND(BO70,1),",",".")&amp;"Z' fill='#F5F5F5' stroke='#2A3439' stroke-width='1.3'/&gt;")))&amp;"&lt;text x='"&amp;SUBSTITUTE(ROUND(BN70+9,1),",",".")&amp;"' y='"&amp;SUBSTITUTE(ROUND(BO70-8,1),",",".")&amp;"'&gt;"&amp;BS70&amp;"&lt;/text&gt;","")</f>
        <v/>
      </c>
      <c r="BU70" s="58">
        <f>IF(BK70=1,IF(BP70="Motriz","&lt;circle cx='"&amp;SUBSTITUTE(ROUND(728,1),",",".")&amp;"' cy='"&amp;SUBSTITUTE(ROUND(546,1),",",".")&amp;"' r='4.3' fill='#2A3439' stroke='#2A3439' stroke-width='1.3'/&gt;",IF(BP70="Enlace","&lt;rect x='"&amp;SUBSTITUTE(ROUND((728)-3.96,1),",",".")&amp;"' y='"&amp;SUBSTITUTE(ROUND((546)-3.96,1),",",".")&amp;"' width='7.92' height='7.92' fill='#6699CC' stroke='#2A3439' stroke-width='1.3'/&gt;",IF(BP70="Resultado","&lt;path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CB70" s="58" t="n">
        <v>31</v>
      </c>
      <c r="CC70" s="58">
        <f>IF(AND($CC$4=1,CB70&lt;=nVariables),1,0)</f>
        <v/>
      </c>
      <c r="CD70" s="58">
        <f>IF(CC70=1,'M5'!$F40,"")</f>
        <v/>
      </c>
      <c r="CE70" s="58">
        <f>IF(CC70=1,'M5'!$E40,"")</f>
        <v/>
      </c>
      <c r="CF70" s="58">
        <f>IF(CC70=1,90+CD70*$CC$22,"")</f>
        <v/>
      </c>
      <c r="CG70" s="58">
        <f>IF(CC70=1,574-CE70*$CC$23,"")</f>
        <v/>
      </c>
      <c r="CH70" s="58">
        <f>IF(CC70=1,'M5'!$I40,"")</f>
        <v/>
      </c>
      <c r="CI70" s="58">
        <f>IF(CC70=1,IF(CH70="Motriz","#2A3439",IF(CH70="Enlace","#6699CC",IF(CH70="Resultado","#FFFFFF","#F5F5F5"))),"")</f>
        <v/>
      </c>
      <c r="CJ70" s="58">
        <f>IF(CC70=1,IF(SUMPRODUCT((CD$39:CD69=CD70)*(CE$39:CE69=CE70))=0,1,0),0)</f>
        <v/>
      </c>
      <c r="CK70" s="58">
        <f>IF(CJ70=1,31&amp;IF(AND(CD71=CD70,CE71=CE70),","&amp;32,"")&amp;IF(AND(CD72=CD70,CE72=CE70),","&amp;33,"")&amp;IF(AND(CD73=CD70,CE73=CE70),","&amp;34,"")&amp;IF(AND(CD74=CD70,CE74=CE70),","&amp;35,"")&amp;IF(AND(CD75=CD70,CE75=CE70),","&amp;36,"")&amp;IF(AND(CD76=CD70,CE76=CE70),","&amp;37,"")&amp;IF(AND(CD77=CD70,CE77=CE70),","&amp;38,"")&amp;IF(AND(CD78=CD70,CE78=CE70),","&amp;39,"")&amp;IF(AND(CD79=CD70,CE79=CE70),","&amp;40,""),"")</f>
        <v/>
      </c>
      <c r="CL70" s="58">
        <f>IF(CJ70=1,IF(CH70="Motriz","&lt;circle cx='"&amp;SUBSTITUTE(ROUND(CF70,1),",",".")&amp;"' cy='"&amp;SUBSTITUTE(ROUND(CG70,1),",",".")&amp;"' r='6' fill='#2A3439' stroke='#2A3439' stroke-width='1.3'/&gt;",IF(CH70="Enlace","&lt;rect x='"&amp;SUBSTITUTE(ROUND((CF70)-5.52,1),",",".")&amp;"' y='"&amp;SUBSTITUTE(ROUND((CG70)-5.52,1),",",".")&amp;"' width='11.04' height='11.04' fill='#6699CC' stroke='#2A3439' stroke-width='1.3'/&gt;",IF(CH70="Resultado","&lt;path d='M"&amp;SUBSTITUTE(ROUND(CF70,1),",",".")&amp;" "&amp;SUBSTITUTE(ROUND((CG70)-6.9,1),",",".")&amp;"L"&amp;SUBSTITUTE(ROUND((CF70)+6.3,1),",",".")&amp;" "&amp;SUBSTITUTE(ROUND((CG70)+5.1,1),",",".")&amp;"L"&amp;SUBSTITUTE(ROUND((CF70)-6.3,1),",",".")&amp;" "&amp;SUBSTITUTE(ROUND((CG70)+5.1,1),",",".")&amp;"Z' fill='#FFFFFF' stroke='#2A3439' stroke-width='1.3'/&gt;","&lt;path d='M"&amp;SUBSTITUTE(ROUND(CF70,1),",",".")&amp;" "&amp;SUBSTITUTE(ROUND((CG70)-7.5,1),",",".")&amp;"L"&amp;SUBSTITUTE(ROUND((CF70)+7.5,1),",",".")&amp;" "&amp;SUBSTITUTE(ROUND(CG70,1),",",".")&amp;"L"&amp;SUBSTITUTE(ROUND(CF70,1),",",".")&amp;" "&amp;SUBSTITUTE(ROUND((CG70)+7.5,1),",",".")&amp;"L"&amp;SUBSTITUTE(ROUND((CF70)-7.5,1),",",".")&amp;" "&amp;SUBSTITUTE(ROUND(CG70,1),",",".")&amp;"Z' fill='#F5F5F5' stroke='#2A3439' stroke-width='1.3'/&gt;")))&amp;"&lt;text x='"&amp;SUBSTITUTE(ROUND(CF70+9,1),",",".")&amp;"' y='"&amp;SUBSTITUTE(ROUND(CG70-8,1),",",".")&amp;"'&gt;"&amp;CK70&amp;"&lt;/text&gt;","")</f>
        <v/>
      </c>
      <c r="CM70" s="58">
        <f>IF(CC70=1,IF(CH70="Motriz","&lt;circle cx='"&amp;SUBSTITUTE(ROUND(728,1),",",".")&amp;"' cy='"&amp;SUBSTITUTE(ROUND(546,1),",",".")&amp;"' r='4.3' fill='#2A3439' stroke='#2A3439' stroke-width='1.3'/&gt;",IF(CH70="Enlace","&lt;rect x='"&amp;SUBSTITUTE(ROUND((728)-3.96,1),",",".")&amp;"' y='"&amp;SUBSTITUTE(ROUND((546)-3.96,1),",",".")&amp;"' width='7.92' height='7.92' fill='#6699CC' stroke='#2A3439' stroke-width='1.3'/&gt;",IF(CH70="Resultado","&lt;path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CT70" s="58" t="n">
        <v>31</v>
      </c>
      <c r="CU70" s="58">
        <f>IF(AND($CU$4=1,CT70&lt;=nVariables),1,0)</f>
        <v/>
      </c>
      <c r="CV70" s="58">
        <f>IF(CU70=1,'M6'!$F40,"")</f>
        <v/>
      </c>
      <c r="CW70" s="58">
        <f>IF(CU70=1,'M6'!$E40,"")</f>
        <v/>
      </c>
      <c r="CX70" s="58">
        <f>IF(CU70=1,90+CV70*$CU$22,"")</f>
        <v/>
      </c>
      <c r="CY70" s="58">
        <f>IF(CU70=1,574-CW70*$CU$23,"")</f>
        <v/>
      </c>
      <c r="CZ70" s="58">
        <f>IF(CU70=1,'M6'!$I40,"")</f>
        <v/>
      </c>
      <c r="DA70" s="58">
        <f>IF(CU70=1,IF(CZ70="Motriz","#2A3439",IF(CZ70="Enlace","#6699CC",IF(CZ70="Resultado","#FFFFFF","#F5F5F5"))),"")</f>
        <v/>
      </c>
      <c r="DB70" s="58">
        <f>IF(CU70=1,IF(SUMPRODUCT((CV$39:CV69=CV70)*(CW$39:CW69=CW70))=0,1,0),0)</f>
        <v/>
      </c>
      <c r="DC70" s="58">
        <f>IF(DB70=1,31&amp;IF(AND(CV71=CV70,CW71=CW70),","&amp;32,"")&amp;IF(AND(CV72=CV70,CW72=CW70),","&amp;33,"")&amp;IF(AND(CV73=CV70,CW73=CW70),","&amp;34,"")&amp;IF(AND(CV74=CV70,CW74=CW70),","&amp;35,"")&amp;IF(AND(CV75=CV70,CW75=CW70),","&amp;36,"")&amp;IF(AND(CV76=CV70,CW76=CW70),","&amp;37,"")&amp;IF(AND(CV77=CV70,CW77=CW70),","&amp;38,"")&amp;IF(AND(CV78=CV70,CW78=CW70),","&amp;39,"")&amp;IF(AND(CV79=CV70,CW79=CW70),","&amp;40,""),"")</f>
        <v/>
      </c>
      <c r="DD70" s="58">
        <f>IF(DB70=1,IF(CZ70="Motriz","&lt;circle cx='"&amp;SUBSTITUTE(ROUND(CX70,1),",",".")&amp;"' cy='"&amp;SUBSTITUTE(ROUND(CY70,1),",",".")&amp;"' r='6' fill='#2A3439' stroke='#2A3439' stroke-width='1.3'/&gt;",IF(CZ70="Enlace","&lt;rect x='"&amp;SUBSTITUTE(ROUND((CX70)-5.52,1),",",".")&amp;"' y='"&amp;SUBSTITUTE(ROUND((CY70)-5.52,1),",",".")&amp;"' width='11.04' height='11.04' fill='#6699CC' stroke='#2A3439' stroke-width='1.3'/&gt;",IF(CZ70="Resultado","&lt;path d='M"&amp;SUBSTITUTE(ROUND(CX70,1),",",".")&amp;" "&amp;SUBSTITUTE(ROUND((CY70)-6.9,1),",",".")&amp;"L"&amp;SUBSTITUTE(ROUND((CX70)+6.3,1),",",".")&amp;" "&amp;SUBSTITUTE(ROUND((CY70)+5.1,1),",",".")&amp;"L"&amp;SUBSTITUTE(ROUND((CX70)-6.3,1),",",".")&amp;" "&amp;SUBSTITUTE(ROUND((CY70)+5.1,1),",",".")&amp;"Z' fill='#FFFFFF' stroke='#2A3439' stroke-width='1.3'/&gt;","&lt;path d='M"&amp;SUBSTITUTE(ROUND(CX70,1),",",".")&amp;" "&amp;SUBSTITUTE(ROUND((CY70)-7.5,1),",",".")&amp;"L"&amp;SUBSTITUTE(ROUND((CX70)+7.5,1),",",".")&amp;" "&amp;SUBSTITUTE(ROUND(CY70,1),",",".")&amp;"L"&amp;SUBSTITUTE(ROUND(CX70,1),",",".")&amp;" "&amp;SUBSTITUTE(ROUND((CY70)+7.5,1),",",".")&amp;"L"&amp;SUBSTITUTE(ROUND((CX70)-7.5,1),",",".")&amp;" "&amp;SUBSTITUTE(ROUND(CY70,1),",",".")&amp;"Z' fill='#F5F5F5' stroke='#2A3439' stroke-width='1.3'/&gt;")))&amp;"&lt;text x='"&amp;SUBSTITUTE(ROUND(CX70+9,1),",",".")&amp;"' y='"&amp;SUBSTITUTE(ROUND(CY70-8,1),",",".")&amp;"'&gt;"&amp;DC70&amp;"&lt;/text&gt;","")</f>
        <v/>
      </c>
      <c r="DE70" s="58">
        <f>IF(CU70=1,IF(CZ70="Motriz","&lt;circle cx='"&amp;SUBSTITUTE(ROUND(728,1),",",".")&amp;"' cy='"&amp;SUBSTITUTE(ROUND(546,1),",",".")&amp;"' r='4.3' fill='#2A3439' stroke='#2A3439' stroke-width='1.3'/&gt;",IF(CZ70="Enlace","&lt;rect x='"&amp;SUBSTITUTE(ROUND((728)-3.96,1),",",".")&amp;"' y='"&amp;SUBSTITUTE(ROUND((546)-3.96,1),",",".")&amp;"' width='7.92' height='7.92' fill='#6699CC' stroke='#2A3439' stroke-width='1.3'/&gt;",IF(CZ70="Resultado","&lt;path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DL70" s="58" t="n">
        <v>19</v>
      </c>
      <c r="DM70" s="58">
        <f>IF(AND($DM$4=1,DL70&lt;=nVariables),IF('M6'!$I28="Resultado","E",IF('M6'!$I28="Enlace","L",IF('M6'!$I28="Motriz","R",IF('M6'!$I28="Autónoma","A","")))),"")</f>
        <v/>
      </c>
      <c r="DN70" s="58">
        <f>IF(DM70&lt;&gt;"",COUNTIF($DM$52:DM70,DM70),"")</f>
        <v/>
      </c>
      <c r="DO70" s="58">
        <f>IF(DM70&lt;&gt;"",SUBSTITUTE(SUBSTITUTE(SUBSTITUTE(SUBSTITUTE(SUBSTITUTE(SUBSTITUTE(SUBSTITUTE(TRIM(CLEAN(IF(LEN(19&amp;" · "&amp;$D58)&gt;30,LEFT(19&amp;" · "&amp;$D58,29)&amp;"…",19&amp;" · "&amp;$D58))),"&amp;","&amp;amp;"),"&lt;","&amp;lt;"),"&gt;","&amp;gt;"),CHAR(34),"&amp;quot;"),CHAR(10)," "),CHAR(9)," "),CHAR(13)," "),"")</f>
        <v/>
      </c>
      <c r="DP70" s="58">
        <f>IF(DM70&lt;&gt;"",IF($E58&lt;&gt;"",$E58,IF(DM70="E","(efecto · indicador de resultado)",IF(DM70="L","(causa directa · riesgo)",IF(DM70="R","CAUSA RAÍZ · componente del proyecto","(fuera del alcance)")))),"")</f>
        <v/>
      </c>
      <c r="DQ70" s="58">
        <f>IF(DM70&lt;&gt;"",IF(LEN(DP70)&gt;74,LEFT(DP70,73)&amp;"…",DP70),"")</f>
        <v/>
      </c>
      <c r="DR70" s="58">
        <f>IF(DM70&lt;&gt;"",IF(LEN(DQ70)&lt;=37,LEN(DQ70)+1,IFERROR(FIND("~",SUBSTITUTE(LEFT(DQ70,38)," ","~",LEN(LEFT(DQ70,38))-LEN(SUBSTITUTE(LEFT(DQ70,38)," ","")))),38)),"")</f>
        <v/>
      </c>
      <c r="DS70" s="58">
        <f>IF(DM70&lt;&gt;"",SUBSTITUTE(SUBSTITUTE(SUBSTITUTE(SUBSTITUTE(SUBSTITUTE(SUBSTITUTE(SUBSTITUTE(TRIM(CLEAN(TRIM(LEFT(DQ70,DR70-1)))),"&amp;","&amp;amp;"),"&lt;","&amp;lt;"),"&gt;","&amp;gt;"),CHAR(34),"&amp;quot;"),CHAR(10)," "),CHAR(9)," "),CHAR(13)," "),"")</f>
        <v/>
      </c>
      <c r="DT70" s="58">
        <f>IF(DM70&lt;&gt;"",SUBSTITUTE(SUBSTITUTE(SUBSTITUTE(SUBSTITUTE(SUBSTITUTE(SUBSTITUTE(SUBSTITUTE(TRIM(CLEAN(IF(LEN(TRIM(MID(DQ70,DR70,80)))&gt;37,LEFT(TRIM(MID(DQ70,DR70,80)),36)&amp;"…",TRIM(MID(DQ70,DR70,80))))),"&amp;","&amp;amp;"),"&lt;","&amp;lt;"),"&gt;","&amp;gt;"),CHAR(34),"&amp;quot;"),CHAR(10)," "),CHAR(9)," "),CHAR(13)," "),"")</f>
        <v/>
      </c>
      <c r="DU70" s="58">
        <f>IF(DM70&lt;&gt;"",(1200-(MIN(5,IF(DM70="E",$DM$5,IF(DM70="L",$DM$8,IF(DM70="R",$DM$11,$DM$14)))-INT((DN70-1)/5)*5)*216+(MIN(5,IF(DM70="E",$DM$5,IF(DM70="L",$DM$8,IF(DM70="R",$DM$11,$DM$14)))-INT((DN70-1)/5)*5)-1)*14))/2+MOD(DN70-1,5)*(216+14),"")</f>
        <v/>
      </c>
      <c r="DV70" s="58">
        <f>IF(DM70&lt;&gt;"",IF(DM70="E",$DM$17,IF(DM70="L",$DM$21,IF(DM70="R",$DM$23,$DM$25)))+24+INT((DN70-1)/5)*(64+12),"")</f>
        <v/>
      </c>
      <c r="DW70" s="58">
        <f>IF(DM70&lt;&gt;"","&lt;rect x='"&amp;SUBSTITUTE(ROUND(DU70,1),",",".")&amp;"' y='"&amp;SUBSTITUTE(ROUND(DV70,1),",",".")&amp;"' width='216' height='64' rx='9' fill='"&amp;IF(DM70="E","#B9D9EB",IF(DM70="L","#9EB9D4",IF(DM70="R","#6699CC","#F5F5F5")))&amp;"' stroke='#2A3439' stroke-width='1'"&amp;IF(DM70="A"," stroke-dasharray='5 3'","")&amp;"/&gt;"&amp;"&lt;text x='"&amp;SUBSTITUTE(ROUND((DU70+108),1),",",".")&amp;"' y='"&amp;SUBSTITUTE(ROUND(DV70+20,1),",",".")&amp;"' font-size='12' font-weight='bold'&gt;"&amp;DO70&amp;"&lt;/text&gt;"&amp;"&lt;text x='"&amp;SUBSTITUTE(ROUND((DU70+108),1),",",".")&amp;"' y='"&amp;SUBSTITUTE(ROUND(DV70+38,1),",",".")&amp;"' font-size='10'&gt;"&amp;DS70&amp;"&lt;/text&gt;"&amp;"&lt;text x='"&amp;SUBSTITUTE(ROUND((DU70+108),1),",",".")&amp;"' y='"&amp;SUBSTITUTE(ROUND(DV70+53,1),",",".")&amp;"' font-size='10'&gt;"&amp;DT70&amp;"&lt;/text&gt;","")</f>
        <v/>
      </c>
    </row>
    <row r="71">
      <c r="A71" s="58" t="n">
        <v>32</v>
      </c>
      <c r="B71" s="58">
        <f>IF($A71&lt;=nVariables,SUBSTITUTE(SUBSTITUTE(SUBSTITUTE(SUBSTITUTE(SUBSTITUTE(SUBSTITUTE(SUBSTITUTE(TRIM(CLEAN(IF(LEN(TRIM(M!$B41))&gt;46,LEFT(TRIM(M!$B41),45)&amp;"…",TRIM(M!$B41)))),"&amp;","&amp;amp;"),"&lt;","&amp;lt;"),"&gt;","&amp;gt;"),CHAR(34),"&amp;quot;"),CHAR(10)," "),CHAR(9)," "),CHAR(13)," "),"")</f>
        <v/>
      </c>
      <c r="C71" s="58">
        <f>IF($A71&lt;=nVariables,$A71&amp;". "&amp;B71,"")</f>
        <v/>
      </c>
      <c r="D71" s="58">
        <f>IF($A71&lt;=nVariables,IF(TRIM(M!$C41)&lt;&gt;"",TRIM(M!$C41),IF(LEN(TRIM(M!$B41))&gt;24,LEFT(TRIM(M!$B41),23)&amp;"…",TRIM(M!$B41))),"")</f>
        <v/>
      </c>
      <c r="E71" s="58">
        <f>IF($A71&lt;=nVariables,TRIM('Árbol de Problemas'!$F50),"")</f>
        <v/>
      </c>
      <c r="H71" s="58" t="n">
        <v>32</v>
      </c>
      <c r="I71" s="58">
        <f>IF(AND($I$4=1,H71&lt;=nVariables),1,0)</f>
        <v/>
      </c>
      <c r="J71" s="58">
        <f>IF(I71=1,'M1'!$F41,"")</f>
        <v/>
      </c>
      <c r="K71" s="58">
        <f>IF(I71=1,'M1'!$E41,"")</f>
        <v/>
      </c>
      <c r="L71" s="58">
        <f>IF(I71=1,90+J71*$I$22,"")</f>
        <v/>
      </c>
      <c r="M71" s="58">
        <f>IF(I71=1,574-K71*$I$23,"")</f>
        <v/>
      </c>
      <c r="N71" s="58">
        <f>IF(I71=1,'M1'!$I41,"")</f>
        <v/>
      </c>
      <c r="O71" s="58">
        <f>IF(I71=1,IF(N71="Motriz","#2A3439",IF(N71="Enlace","#6699CC",IF(N71="Resultado","#FFFFFF","#F5F5F5"))),"")</f>
        <v/>
      </c>
      <c r="P71" s="58">
        <f>IF(I71=1,IF(SUMPRODUCT((J$39:J70=J71)*(K$39:K70=K71))=0,1,0),0)</f>
        <v/>
      </c>
      <c r="Q71" s="58">
        <f>IF(P71=1,32&amp;IF(AND(J72=J71,K72=K71),","&amp;33,"")&amp;IF(AND(J73=J71,K73=K71),","&amp;34,"")&amp;IF(AND(J74=J71,K74=K71),","&amp;35,"")&amp;IF(AND(J75=J71,K75=K71),","&amp;36,"")&amp;IF(AND(J76=J71,K76=K71),","&amp;37,"")&amp;IF(AND(J77=J71,K77=K71),","&amp;38,"")&amp;IF(AND(J78=J71,K78=K71),","&amp;39,"")&amp;IF(AND(J79=J71,K79=K71),","&amp;40,""),"")</f>
        <v/>
      </c>
      <c r="R71" s="58">
        <f>IF(P71=1,IF(N71="Motriz","&lt;circle cx='"&amp;SUBSTITUTE(ROUND(L71,1),",",".")&amp;"' cy='"&amp;SUBSTITUTE(ROUND(M71,1),",",".")&amp;"' r='6' fill='#2A3439' stroke='#2A3439' stroke-width='1.3'/&gt;",IF(N71="Enlace","&lt;rect x='"&amp;SUBSTITUTE(ROUND((L71)-5.52,1),",",".")&amp;"' y='"&amp;SUBSTITUTE(ROUND((M71)-5.52,1),",",".")&amp;"' width='11.04' height='11.04' fill='#6699CC' stroke='#2A3439' stroke-width='1.3'/&gt;",IF(N71="Resultado","&lt;path d='M"&amp;SUBSTITUTE(ROUND(L71,1),",",".")&amp;" "&amp;SUBSTITUTE(ROUND((M71)-6.9,1),",",".")&amp;"L"&amp;SUBSTITUTE(ROUND((L71)+6.3,1),",",".")&amp;" "&amp;SUBSTITUTE(ROUND((M71)+5.1,1),",",".")&amp;"L"&amp;SUBSTITUTE(ROUND((L71)-6.3,1),",",".")&amp;" "&amp;SUBSTITUTE(ROUND((M71)+5.1,1),",",".")&amp;"Z' fill='#FFFFFF' stroke='#2A3439' stroke-width='1.3'/&gt;","&lt;path d='M"&amp;SUBSTITUTE(ROUND(L71,1),",",".")&amp;" "&amp;SUBSTITUTE(ROUND((M71)-7.5,1),",",".")&amp;"L"&amp;SUBSTITUTE(ROUND((L71)+7.5,1),",",".")&amp;" "&amp;SUBSTITUTE(ROUND(M71,1),",",".")&amp;"L"&amp;SUBSTITUTE(ROUND(L71,1),",",".")&amp;" "&amp;SUBSTITUTE(ROUND((M71)+7.5,1),",",".")&amp;"L"&amp;SUBSTITUTE(ROUND((L71)-7.5,1),",",".")&amp;" "&amp;SUBSTITUTE(ROUND(M71,1),",",".")&amp;"Z' fill='#F5F5F5' stroke='#2A3439' stroke-width='1.3'/&gt;")))&amp;"&lt;text x='"&amp;SUBSTITUTE(ROUND(L71+9,1),",",".")&amp;"' y='"&amp;SUBSTITUTE(ROUND(M71-8,1),",",".")&amp;"'&gt;"&amp;Q71&amp;"&lt;/text&gt;","")</f>
        <v/>
      </c>
      <c r="S71" s="58">
        <f>IF(I71=1,IF(N71="Motriz","&lt;circle cx='"&amp;SUBSTITUTE(ROUND(728,1),",",".")&amp;"' cy='"&amp;SUBSTITUTE(ROUND(560.2,1),",",".")&amp;"' r='4.3' fill='#2A3439' stroke='#2A3439' stroke-width='1.3'/&gt;",IF(N71="Enlace","&lt;rect x='"&amp;SUBSTITUTE(ROUND((728)-3.96,1),",",".")&amp;"' y='"&amp;SUBSTITUTE(ROUND((560.2)-3.96,1),",",".")&amp;"' width='7.92' height='7.92' fill='#6699CC' stroke='#2A3439' stroke-width='1.3'/&gt;",IF(N71="Resultado","&lt;path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Z71" s="58" t="n">
        <v>32</v>
      </c>
      <c r="AA71" s="58">
        <f>IF(AND($AA$4=1,Z71&lt;=nVariables),1,0)</f>
        <v/>
      </c>
      <c r="AB71" s="58">
        <f>IF(AA71=1,'M2'!$F41,"")</f>
        <v/>
      </c>
      <c r="AC71" s="58">
        <f>IF(AA71=1,'M2'!$E41,"")</f>
        <v/>
      </c>
      <c r="AD71" s="58">
        <f>IF(AA71=1,90+AB71*$AA$22,"")</f>
        <v/>
      </c>
      <c r="AE71" s="58">
        <f>IF(AA71=1,574-AC71*$AA$23,"")</f>
        <v/>
      </c>
      <c r="AF71" s="58">
        <f>IF(AA71=1,'M2'!$I41,"")</f>
        <v/>
      </c>
      <c r="AG71" s="58">
        <f>IF(AA71=1,IF(AF71="Motriz","#2A3439",IF(AF71="Enlace","#6699CC",IF(AF71="Resultado","#FFFFFF","#F5F5F5"))),"")</f>
        <v/>
      </c>
      <c r="AH71" s="58">
        <f>IF(AA71=1,IF(SUMPRODUCT((AB$39:AB70=AB71)*(AC$39:AC70=AC71))=0,1,0),0)</f>
        <v/>
      </c>
      <c r="AI71" s="58">
        <f>IF(AH71=1,32&amp;IF(AND(AB72=AB71,AC72=AC71),","&amp;33,"")&amp;IF(AND(AB73=AB71,AC73=AC71),","&amp;34,"")&amp;IF(AND(AB74=AB71,AC74=AC71),","&amp;35,"")&amp;IF(AND(AB75=AB71,AC75=AC71),","&amp;36,"")&amp;IF(AND(AB76=AB71,AC76=AC71),","&amp;37,"")&amp;IF(AND(AB77=AB71,AC77=AC71),","&amp;38,"")&amp;IF(AND(AB78=AB71,AC78=AC71),","&amp;39,"")&amp;IF(AND(AB79=AB71,AC79=AC71),","&amp;40,""),"")</f>
        <v/>
      </c>
      <c r="AJ71" s="58">
        <f>IF(AH71=1,IF(AF71="Motriz","&lt;circle cx='"&amp;SUBSTITUTE(ROUND(AD71,1),",",".")&amp;"' cy='"&amp;SUBSTITUTE(ROUND(AE71,1),",",".")&amp;"' r='6' fill='#2A3439' stroke='#2A3439' stroke-width='1.3'/&gt;",IF(AF71="Enlace","&lt;rect x='"&amp;SUBSTITUTE(ROUND((AD71)-5.52,1),",",".")&amp;"' y='"&amp;SUBSTITUTE(ROUND((AE71)-5.52,1),",",".")&amp;"' width='11.04' height='11.04' fill='#6699CC' stroke='#2A3439' stroke-width='1.3'/&gt;",IF(AF71="Resultado","&lt;path d='M"&amp;SUBSTITUTE(ROUND(AD71,1),",",".")&amp;" "&amp;SUBSTITUTE(ROUND((AE71)-6.9,1),",",".")&amp;"L"&amp;SUBSTITUTE(ROUND((AD71)+6.3,1),",",".")&amp;" "&amp;SUBSTITUTE(ROUND((AE71)+5.1,1),",",".")&amp;"L"&amp;SUBSTITUTE(ROUND((AD71)-6.3,1),",",".")&amp;" "&amp;SUBSTITUTE(ROUND((AE71)+5.1,1),",",".")&amp;"Z' fill='#FFFFFF' stroke='#2A3439' stroke-width='1.3'/&gt;","&lt;path d='M"&amp;SUBSTITUTE(ROUND(AD71,1),",",".")&amp;" "&amp;SUBSTITUTE(ROUND((AE71)-7.5,1),",",".")&amp;"L"&amp;SUBSTITUTE(ROUND((AD71)+7.5,1),",",".")&amp;" "&amp;SUBSTITUTE(ROUND(AE71,1),",",".")&amp;"L"&amp;SUBSTITUTE(ROUND(AD71,1),",",".")&amp;" "&amp;SUBSTITUTE(ROUND((AE71)+7.5,1),",",".")&amp;"L"&amp;SUBSTITUTE(ROUND((AD71)-7.5,1),",",".")&amp;" "&amp;SUBSTITUTE(ROUND(AE71,1),",",".")&amp;"Z' fill='#F5F5F5' stroke='#2A3439' stroke-width='1.3'/&gt;")))&amp;"&lt;text x='"&amp;SUBSTITUTE(ROUND(AD71+9,1),",",".")&amp;"' y='"&amp;SUBSTITUTE(ROUND(AE71-8,1),",",".")&amp;"'&gt;"&amp;AI71&amp;"&lt;/text&gt;","")</f>
        <v/>
      </c>
      <c r="AK71" s="58">
        <f>IF(AA71=1,IF(AF71="Motriz","&lt;circle cx='"&amp;SUBSTITUTE(ROUND(728,1),",",".")&amp;"' cy='"&amp;SUBSTITUTE(ROUND(560.2,1),",",".")&amp;"' r='4.3' fill='#2A3439' stroke='#2A3439' stroke-width='1.3'/&gt;",IF(AF71="Enlace","&lt;rect x='"&amp;SUBSTITUTE(ROUND((728)-3.96,1),",",".")&amp;"' y='"&amp;SUBSTITUTE(ROUND((560.2)-3.96,1),",",".")&amp;"' width='7.92' height='7.92' fill='#6699CC' stroke='#2A3439' stroke-width='1.3'/&gt;",IF(AF71="Resultado","&lt;path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AR71" s="58" t="n">
        <v>32</v>
      </c>
      <c r="AS71" s="58">
        <f>IF(AND($AS$4=1,AR71&lt;=nVariables),1,0)</f>
        <v/>
      </c>
      <c r="AT71" s="58">
        <f>IF(AS71=1,'M3'!$F41,"")</f>
        <v/>
      </c>
      <c r="AU71" s="58">
        <f>IF(AS71=1,'M3'!$E41,"")</f>
        <v/>
      </c>
      <c r="AV71" s="58">
        <f>IF(AS71=1,90+AT71*$AS$22,"")</f>
        <v/>
      </c>
      <c r="AW71" s="58">
        <f>IF(AS71=1,574-AU71*$AS$23,"")</f>
        <v/>
      </c>
      <c r="AX71" s="58">
        <f>IF(AS71=1,'M3'!$I41,"")</f>
        <v/>
      </c>
      <c r="AY71" s="58">
        <f>IF(AS71=1,IF(AX71="Motriz","#2A3439",IF(AX71="Enlace","#6699CC",IF(AX71="Resultado","#FFFFFF","#F5F5F5"))),"")</f>
        <v/>
      </c>
      <c r="AZ71" s="58">
        <f>IF(AS71=1,IF(SUMPRODUCT((AT$39:AT70=AT71)*(AU$39:AU70=AU71))=0,1,0),0)</f>
        <v/>
      </c>
      <c r="BA71" s="58">
        <f>IF(AZ71=1,32&amp;IF(AND(AT72=AT71,AU72=AU71),","&amp;33,"")&amp;IF(AND(AT73=AT71,AU73=AU71),","&amp;34,"")&amp;IF(AND(AT74=AT71,AU74=AU71),","&amp;35,"")&amp;IF(AND(AT75=AT71,AU75=AU71),","&amp;36,"")&amp;IF(AND(AT76=AT71,AU76=AU71),","&amp;37,"")&amp;IF(AND(AT77=AT71,AU77=AU71),","&amp;38,"")&amp;IF(AND(AT78=AT71,AU78=AU71),","&amp;39,"")&amp;IF(AND(AT79=AT71,AU79=AU71),","&amp;40,""),"")</f>
        <v/>
      </c>
      <c r="BB71" s="58">
        <f>IF(AZ71=1,IF(AX71="Motriz","&lt;circle cx='"&amp;SUBSTITUTE(ROUND(AV71,1),",",".")&amp;"' cy='"&amp;SUBSTITUTE(ROUND(AW71,1),",",".")&amp;"' r='6' fill='#2A3439' stroke='#2A3439' stroke-width='1.3'/&gt;",IF(AX71="Enlace","&lt;rect x='"&amp;SUBSTITUTE(ROUND((AV71)-5.52,1),",",".")&amp;"' y='"&amp;SUBSTITUTE(ROUND((AW71)-5.52,1),",",".")&amp;"' width='11.04' height='11.04' fill='#6699CC' stroke='#2A3439' stroke-width='1.3'/&gt;",IF(AX71="Resultado","&lt;path d='M"&amp;SUBSTITUTE(ROUND(AV71,1),",",".")&amp;" "&amp;SUBSTITUTE(ROUND((AW71)-6.9,1),",",".")&amp;"L"&amp;SUBSTITUTE(ROUND((AV71)+6.3,1),",",".")&amp;" "&amp;SUBSTITUTE(ROUND((AW71)+5.1,1),",",".")&amp;"L"&amp;SUBSTITUTE(ROUND((AV71)-6.3,1),",",".")&amp;" "&amp;SUBSTITUTE(ROUND((AW71)+5.1,1),",",".")&amp;"Z' fill='#FFFFFF' stroke='#2A3439' stroke-width='1.3'/&gt;","&lt;path d='M"&amp;SUBSTITUTE(ROUND(AV71,1),",",".")&amp;" "&amp;SUBSTITUTE(ROUND((AW71)-7.5,1),",",".")&amp;"L"&amp;SUBSTITUTE(ROUND((AV71)+7.5,1),",",".")&amp;" "&amp;SUBSTITUTE(ROUND(AW71,1),",",".")&amp;"L"&amp;SUBSTITUTE(ROUND(AV71,1),",",".")&amp;" "&amp;SUBSTITUTE(ROUND((AW71)+7.5,1),",",".")&amp;"L"&amp;SUBSTITUTE(ROUND((AV71)-7.5,1),",",".")&amp;" "&amp;SUBSTITUTE(ROUND(AW71,1),",",".")&amp;"Z' fill='#F5F5F5' stroke='#2A3439' stroke-width='1.3'/&gt;")))&amp;"&lt;text x='"&amp;SUBSTITUTE(ROUND(AV71+9,1),",",".")&amp;"' y='"&amp;SUBSTITUTE(ROUND(AW71-8,1),",",".")&amp;"'&gt;"&amp;BA71&amp;"&lt;/text&gt;","")</f>
        <v/>
      </c>
      <c r="BC71" s="58">
        <f>IF(AS71=1,IF(AX71="Motriz","&lt;circle cx='"&amp;SUBSTITUTE(ROUND(728,1),",",".")&amp;"' cy='"&amp;SUBSTITUTE(ROUND(560.2,1),",",".")&amp;"' r='4.3' fill='#2A3439' stroke='#2A3439' stroke-width='1.3'/&gt;",IF(AX71="Enlace","&lt;rect x='"&amp;SUBSTITUTE(ROUND((728)-3.96,1),",",".")&amp;"' y='"&amp;SUBSTITUTE(ROUND((560.2)-3.96,1),",",".")&amp;"' width='7.92' height='7.92' fill='#6699CC' stroke='#2A3439' stroke-width='1.3'/&gt;",IF(AX71="Resultado","&lt;path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BJ71" s="58" t="n">
        <v>32</v>
      </c>
      <c r="BK71" s="58">
        <f>IF(AND($BK$4=1,BJ71&lt;=nVariables),1,0)</f>
        <v/>
      </c>
      <c r="BL71" s="58">
        <f>IF(BK71=1,'M4'!$F41,"")</f>
        <v/>
      </c>
      <c r="BM71" s="58">
        <f>IF(BK71=1,'M4'!$E41,"")</f>
        <v/>
      </c>
      <c r="BN71" s="58">
        <f>IF(BK71=1,90+BL71*$BK$22,"")</f>
        <v/>
      </c>
      <c r="BO71" s="58">
        <f>IF(BK71=1,574-BM71*$BK$23,"")</f>
        <v/>
      </c>
      <c r="BP71" s="58">
        <f>IF(BK71=1,'M4'!$I41,"")</f>
        <v/>
      </c>
      <c r="BQ71" s="58">
        <f>IF(BK71=1,IF(BP71="Motriz","#2A3439",IF(BP71="Enlace","#6699CC",IF(BP71="Resultado","#FFFFFF","#F5F5F5"))),"")</f>
        <v/>
      </c>
      <c r="BR71" s="58">
        <f>IF(BK71=1,IF(SUMPRODUCT((BL$39:BL70=BL71)*(BM$39:BM70=BM71))=0,1,0),0)</f>
        <v/>
      </c>
      <c r="BS71" s="58">
        <f>IF(BR71=1,32&amp;IF(AND(BL72=BL71,BM72=BM71),","&amp;33,"")&amp;IF(AND(BL73=BL71,BM73=BM71),","&amp;34,"")&amp;IF(AND(BL74=BL71,BM74=BM71),","&amp;35,"")&amp;IF(AND(BL75=BL71,BM75=BM71),","&amp;36,"")&amp;IF(AND(BL76=BL71,BM76=BM71),","&amp;37,"")&amp;IF(AND(BL77=BL71,BM77=BM71),","&amp;38,"")&amp;IF(AND(BL78=BL71,BM78=BM71),","&amp;39,"")&amp;IF(AND(BL79=BL71,BM79=BM71),","&amp;40,""),"")</f>
        <v/>
      </c>
      <c r="BT71" s="58">
        <f>IF(BR71=1,IF(BP71="Motriz","&lt;circle cx='"&amp;SUBSTITUTE(ROUND(BN71,1),",",".")&amp;"' cy='"&amp;SUBSTITUTE(ROUND(BO71,1),",",".")&amp;"' r='6' fill='#2A3439' stroke='#2A3439' stroke-width='1.3'/&gt;",IF(BP71="Enlace","&lt;rect x='"&amp;SUBSTITUTE(ROUND((BN71)-5.52,1),",",".")&amp;"' y='"&amp;SUBSTITUTE(ROUND((BO71)-5.52,1),",",".")&amp;"' width='11.04' height='11.04' fill='#6699CC' stroke='#2A3439' stroke-width='1.3'/&gt;",IF(BP71="Resultado","&lt;path d='M"&amp;SUBSTITUTE(ROUND(BN71,1),",",".")&amp;" "&amp;SUBSTITUTE(ROUND((BO71)-6.9,1),",",".")&amp;"L"&amp;SUBSTITUTE(ROUND((BN71)+6.3,1),",",".")&amp;" "&amp;SUBSTITUTE(ROUND((BO71)+5.1,1),",",".")&amp;"L"&amp;SUBSTITUTE(ROUND((BN71)-6.3,1),",",".")&amp;" "&amp;SUBSTITUTE(ROUND((BO71)+5.1,1),",",".")&amp;"Z' fill='#FFFFFF' stroke='#2A3439' stroke-width='1.3'/&gt;","&lt;path d='M"&amp;SUBSTITUTE(ROUND(BN71,1),",",".")&amp;" "&amp;SUBSTITUTE(ROUND((BO71)-7.5,1),",",".")&amp;"L"&amp;SUBSTITUTE(ROUND((BN71)+7.5,1),",",".")&amp;" "&amp;SUBSTITUTE(ROUND(BO71,1),",",".")&amp;"L"&amp;SUBSTITUTE(ROUND(BN71,1),",",".")&amp;" "&amp;SUBSTITUTE(ROUND((BO71)+7.5,1),",",".")&amp;"L"&amp;SUBSTITUTE(ROUND((BN71)-7.5,1),",",".")&amp;" "&amp;SUBSTITUTE(ROUND(BO71,1),",",".")&amp;"Z' fill='#F5F5F5' stroke='#2A3439' stroke-width='1.3'/&gt;")))&amp;"&lt;text x='"&amp;SUBSTITUTE(ROUND(BN71+9,1),",",".")&amp;"' y='"&amp;SUBSTITUTE(ROUND(BO71-8,1),",",".")&amp;"'&gt;"&amp;BS71&amp;"&lt;/text&gt;","")</f>
        <v/>
      </c>
      <c r="BU71" s="58">
        <f>IF(BK71=1,IF(BP71="Motriz","&lt;circle cx='"&amp;SUBSTITUTE(ROUND(728,1),",",".")&amp;"' cy='"&amp;SUBSTITUTE(ROUND(560.2,1),",",".")&amp;"' r='4.3' fill='#2A3439' stroke='#2A3439' stroke-width='1.3'/&gt;",IF(BP71="Enlace","&lt;rect x='"&amp;SUBSTITUTE(ROUND((728)-3.96,1),",",".")&amp;"' y='"&amp;SUBSTITUTE(ROUND((560.2)-3.96,1),",",".")&amp;"' width='7.92' height='7.92' fill='#6699CC' stroke='#2A3439' stroke-width='1.3'/&gt;",IF(BP71="Resultado","&lt;path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CB71" s="58" t="n">
        <v>32</v>
      </c>
      <c r="CC71" s="58">
        <f>IF(AND($CC$4=1,CB71&lt;=nVariables),1,0)</f>
        <v/>
      </c>
      <c r="CD71" s="58">
        <f>IF(CC71=1,'M5'!$F41,"")</f>
        <v/>
      </c>
      <c r="CE71" s="58">
        <f>IF(CC71=1,'M5'!$E41,"")</f>
        <v/>
      </c>
      <c r="CF71" s="58">
        <f>IF(CC71=1,90+CD71*$CC$22,"")</f>
        <v/>
      </c>
      <c r="CG71" s="58">
        <f>IF(CC71=1,574-CE71*$CC$23,"")</f>
        <v/>
      </c>
      <c r="CH71" s="58">
        <f>IF(CC71=1,'M5'!$I41,"")</f>
        <v/>
      </c>
      <c r="CI71" s="58">
        <f>IF(CC71=1,IF(CH71="Motriz","#2A3439",IF(CH71="Enlace","#6699CC",IF(CH71="Resultado","#FFFFFF","#F5F5F5"))),"")</f>
        <v/>
      </c>
      <c r="CJ71" s="58">
        <f>IF(CC71=1,IF(SUMPRODUCT((CD$39:CD70=CD71)*(CE$39:CE70=CE71))=0,1,0),0)</f>
        <v/>
      </c>
      <c r="CK71" s="58">
        <f>IF(CJ71=1,32&amp;IF(AND(CD72=CD71,CE72=CE71),","&amp;33,"")&amp;IF(AND(CD73=CD71,CE73=CE71),","&amp;34,"")&amp;IF(AND(CD74=CD71,CE74=CE71),","&amp;35,"")&amp;IF(AND(CD75=CD71,CE75=CE71),","&amp;36,"")&amp;IF(AND(CD76=CD71,CE76=CE71),","&amp;37,"")&amp;IF(AND(CD77=CD71,CE77=CE71),","&amp;38,"")&amp;IF(AND(CD78=CD71,CE78=CE71),","&amp;39,"")&amp;IF(AND(CD79=CD71,CE79=CE71),","&amp;40,""),"")</f>
        <v/>
      </c>
      <c r="CL71" s="58">
        <f>IF(CJ71=1,IF(CH71="Motriz","&lt;circle cx='"&amp;SUBSTITUTE(ROUND(CF71,1),",",".")&amp;"' cy='"&amp;SUBSTITUTE(ROUND(CG71,1),",",".")&amp;"' r='6' fill='#2A3439' stroke='#2A3439' stroke-width='1.3'/&gt;",IF(CH71="Enlace","&lt;rect x='"&amp;SUBSTITUTE(ROUND((CF71)-5.52,1),",",".")&amp;"' y='"&amp;SUBSTITUTE(ROUND((CG71)-5.52,1),",",".")&amp;"' width='11.04' height='11.04' fill='#6699CC' stroke='#2A3439' stroke-width='1.3'/&gt;",IF(CH71="Resultado","&lt;path d='M"&amp;SUBSTITUTE(ROUND(CF71,1),",",".")&amp;" "&amp;SUBSTITUTE(ROUND((CG71)-6.9,1),",",".")&amp;"L"&amp;SUBSTITUTE(ROUND((CF71)+6.3,1),",",".")&amp;" "&amp;SUBSTITUTE(ROUND((CG71)+5.1,1),",",".")&amp;"L"&amp;SUBSTITUTE(ROUND((CF71)-6.3,1),",",".")&amp;" "&amp;SUBSTITUTE(ROUND((CG71)+5.1,1),",",".")&amp;"Z' fill='#FFFFFF' stroke='#2A3439' stroke-width='1.3'/&gt;","&lt;path d='M"&amp;SUBSTITUTE(ROUND(CF71,1),",",".")&amp;" "&amp;SUBSTITUTE(ROUND((CG71)-7.5,1),",",".")&amp;"L"&amp;SUBSTITUTE(ROUND((CF71)+7.5,1),",",".")&amp;" "&amp;SUBSTITUTE(ROUND(CG71,1),",",".")&amp;"L"&amp;SUBSTITUTE(ROUND(CF71,1),",",".")&amp;" "&amp;SUBSTITUTE(ROUND((CG71)+7.5,1),",",".")&amp;"L"&amp;SUBSTITUTE(ROUND((CF71)-7.5,1),",",".")&amp;" "&amp;SUBSTITUTE(ROUND(CG71,1),",",".")&amp;"Z' fill='#F5F5F5' stroke='#2A3439' stroke-width='1.3'/&gt;")))&amp;"&lt;text x='"&amp;SUBSTITUTE(ROUND(CF71+9,1),",",".")&amp;"' y='"&amp;SUBSTITUTE(ROUND(CG71-8,1),",",".")&amp;"'&gt;"&amp;CK71&amp;"&lt;/text&gt;","")</f>
        <v/>
      </c>
      <c r="CM71" s="58">
        <f>IF(CC71=1,IF(CH71="Motriz","&lt;circle cx='"&amp;SUBSTITUTE(ROUND(728,1),",",".")&amp;"' cy='"&amp;SUBSTITUTE(ROUND(560.2,1),",",".")&amp;"' r='4.3' fill='#2A3439' stroke='#2A3439' stroke-width='1.3'/&gt;",IF(CH71="Enlace","&lt;rect x='"&amp;SUBSTITUTE(ROUND((728)-3.96,1),",",".")&amp;"' y='"&amp;SUBSTITUTE(ROUND((560.2)-3.96,1),",",".")&amp;"' width='7.92' height='7.92' fill='#6699CC' stroke='#2A3439' stroke-width='1.3'/&gt;",IF(CH71="Resultado","&lt;path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CT71" s="58" t="n">
        <v>32</v>
      </c>
      <c r="CU71" s="58">
        <f>IF(AND($CU$4=1,CT71&lt;=nVariables),1,0)</f>
        <v/>
      </c>
      <c r="CV71" s="58">
        <f>IF(CU71=1,'M6'!$F41,"")</f>
        <v/>
      </c>
      <c r="CW71" s="58">
        <f>IF(CU71=1,'M6'!$E41,"")</f>
        <v/>
      </c>
      <c r="CX71" s="58">
        <f>IF(CU71=1,90+CV71*$CU$22,"")</f>
        <v/>
      </c>
      <c r="CY71" s="58">
        <f>IF(CU71=1,574-CW71*$CU$23,"")</f>
        <v/>
      </c>
      <c r="CZ71" s="58">
        <f>IF(CU71=1,'M6'!$I41,"")</f>
        <v/>
      </c>
      <c r="DA71" s="58">
        <f>IF(CU71=1,IF(CZ71="Motriz","#2A3439",IF(CZ71="Enlace","#6699CC",IF(CZ71="Resultado","#FFFFFF","#F5F5F5"))),"")</f>
        <v/>
      </c>
      <c r="DB71" s="58">
        <f>IF(CU71=1,IF(SUMPRODUCT((CV$39:CV70=CV71)*(CW$39:CW70=CW71))=0,1,0),0)</f>
        <v/>
      </c>
      <c r="DC71" s="58">
        <f>IF(DB71=1,32&amp;IF(AND(CV72=CV71,CW72=CW71),","&amp;33,"")&amp;IF(AND(CV73=CV71,CW73=CW71),","&amp;34,"")&amp;IF(AND(CV74=CV71,CW74=CW71),","&amp;35,"")&amp;IF(AND(CV75=CV71,CW75=CW71),","&amp;36,"")&amp;IF(AND(CV76=CV71,CW76=CW71),","&amp;37,"")&amp;IF(AND(CV77=CV71,CW77=CW71),","&amp;38,"")&amp;IF(AND(CV78=CV71,CW78=CW71),","&amp;39,"")&amp;IF(AND(CV79=CV71,CW79=CW71),","&amp;40,""),"")</f>
        <v/>
      </c>
      <c r="DD71" s="58">
        <f>IF(DB71=1,IF(CZ71="Motriz","&lt;circle cx='"&amp;SUBSTITUTE(ROUND(CX71,1),",",".")&amp;"' cy='"&amp;SUBSTITUTE(ROUND(CY71,1),",",".")&amp;"' r='6' fill='#2A3439' stroke='#2A3439' stroke-width='1.3'/&gt;",IF(CZ71="Enlace","&lt;rect x='"&amp;SUBSTITUTE(ROUND((CX71)-5.52,1),",",".")&amp;"' y='"&amp;SUBSTITUTE(ROUND((CY71)-5.52,1),",",".")&amp;"' width='11.04' height='11.04' fill='#6699CC' stroke='#2A3439' stroke-width='1.3'/&gt;",IF(CZ71="Resultado","&lt;path d='M"&amp;SUBSTITUTE(ROUND(CX71,1),",",".")&amp;" "&amp;SUBSTITUTE(ROUND((CY71)-6.9,1),",",".")&amp;"L"&amp;SUBSTITUTE(ROUND((CX71)+6.3,1),",",".")&amp;" "&amp;SUBSTITUTE(ROUND((CY71)+5.1,1),",",".")&amp;"L"&amp;SUBSTITUTE(ROUND((CX71)-6.3,1),",",".")&amp;" "&amp;SUBSTITUTE(ROUND((CY71)+5.1,1),",",".")&amp;"Z' fill='#FFFFFF' stroke='#2A3439' stroke-width='1.3'/&gt;","&lt;path d='M"&amp;SUBSTITUTE(ROUND(CX71,1),",",".")&amp;" "&amp;SUBSTITUTE(ROUND((CY71)-7.5,1),",",".")&amp;"L"&amp;SUBSTITUTE(ROUND((CX71)+7.5,1),",",".")&amp;" "&amp;SUBSTITUTE(ROUND(CY71,1),",",".")&amp;"L"&amp;SUBSTITUTE(ROUND(CX71,1),",",".")&amp;" "&amp;SUBSTITUTE(ROUND((CY71)+7.5,1),",",".")&amp;"L"&amp;SUBSTITUTE(ROUND((CX71)-7.5,1),",",".")&amp;" "&amp;SUBSTITUTE(ROUND(CY71,1),",",".")&amp;"Z' fill='#F5F5F5' stroke='#2A3439' stroke-width='1.3'/&gt;")))&amp;"&lt;text x='"&amp;SUBSTITUTE(ROUND(CX71+9,1),",",".")&amp;"' y='"&amp;SUBSTITUTE(ROUND(CY71-8,1),",",".")&amp;"'&gt;"&amp;DC71&amp;"&lt;/text&gt;","")</f>
        <v/>
      </c>
      <c r="DE71" s="58">
        <f>IF(CU71=1,IF(CZ71="Motriz","&lt;circle cx='"&amp;SUBSTITUTE(ROUND(728,1),",",".")&amp;"' cy='"&amp;SUBSTITUTE(ROUND(560.2,1),",",".")&amp;"' r='4.3' fill='#2A3439' stroke='#2A3439' stroke-width='1.3'/&gt;",IF(CZ71="Enlace","&lt;rect x='"&amp;SUBSTITUTE(ROUND((728)-3.96,1),",",".")&amp;"' y='"&amp;SUBSTITUTE(ROUND((560.2)-3.96,1),",",".")&amp;"' width='7.92' height='7.92' fill='#6699CC' stroke='#2A3439' stroke-width='1.3'/&gt;",IF(CZ71="Resultado","&lt;path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DL71" s="58" t="n">
        <v>20</v>
      </c>
      <c r="DM71" s="58">
        <f>IF(AND($DM$4=1,DL71&lt;=nVariables),IF('M6'!$I29="Resultado","E",IF('M6'!$I29="Enlace","L",IF('M6'!$I29="Motriz","R",IF('M6'!$I29="Autónoma","A","")))),"")</f>
        <v/>
      </c>
      <c r="DN71" s="58">
        <f>IF(DM71&lt;&gt;"",COUNTIF($DM$52:DM71,DM71),"")</f>
        <v/>
      </c>
      <c r="DO71" s="58">
        <f>IF(DM71&lt;&gt;"",SUBSTITUTE(SUBSTITUTE(SUBSTITUTE(SUBSTITUTE(SUBSTITUTE(SUBSTITUTE(SUBSTITUTE(TRIM(CLEAN(IF(LEN(20&amp;" · "&amp;$D59)&gt;30,LEFT(20&amp;" · "&amp;$D59,29)&amp;"…",20&amp;" · "&amp;$D59))),"&amp;","&amp;amp;"),"&lt;","&amp;lt;"),"&gt;","&amp;gt;"),CHAR(34),"&amp;quot;"),CHAR(10)," "),CHAR(9)," "),CHAR(13)," "),"")</f>
        <v/>
      </c>
      <c r="DP71" s="58">
        <f>IF(DM71&lt;&gt;"",IF($E59&lt;&gt;"",$E59,IF(DM71="E","(efecto · indicador de resultado)",IF(DM71="L","(causa directa · riesgo)",IF(DM71="R","CAUSA RAÍZ · componente del proyecto","(fuera del alcance)")))),"")</f>
        <v/>
      </c>
      <c r="DQ71" s="58">
        <f>IF(DM71&lt;&gt;"",IF(LEN(DP71)&gt;74,LEFT(DP71,73)&amp;"…",DP71),"")</f>
        <v/>
      </c>
      <c r="DR71" s="58">
        <f>IF(DM71&lt;&gt;"",IF(LEN(DQ71)&lt;=37,LEN(DQ71)+1,IFERROR(FIND("~",SUBSTITUTE(LEFT(DQ71,38)," ","~",LEN(LEFT(DQ71,38))-LEN(SUBSTITUTE(LEFT(DQ71,38)," ","")))),38)),"")</f>
        <v/>
      </c>
      <c r="DS71" s="58">
        <f>IF(DM71&lt;&gt;"",SUBSTITUTE(SUBSTITUTE(SUBSTITUTE(SUBSTITUTE(SUBSTITUTE(SUBSTITUTE(SUBSTITUTE(TRIM(CLEAN(TRIM(LEFT(DQ71,DR71-1)))),"&amp;","&amp;amp;"),"&lt;","&amp;lt;"),"&gt;","&amp;gt;"),CHAR(34),"&amp;quot;"),CHAR(10)," "),CHAR(9)," "),CHAR(13)," "),"")</f>
        <v/>
      </c>
      <c r="DT71" s="58">
        <f>IF(DM71&lt;&gt;"",SUBSTITUTE(SUBSTITUTE(SUBSTITUTE(SUBSTITUTE(SUBSTITUTE(SUBSTITUTE(SUBSTITUTE(TRIM(CLEAN(IF(LEN(TRIM(MID(DQ71,DR71,80)))&gt;37,LEFT(TRIM(MID(DQ71,DR71,80)),36)&amp;"…",TRIM(MID(DQ71,DR71,80))))),"&amp;","&amp;amp;"),"&lt;","&amp;lt;"),"&gt;","&amp;gt;"),CHAR(34),"&amp;quot;"),CHAR(10)," "),CHAR(9)," "),CHAR(13)," "),"")</f>
        <v/>
      </c>
      <c r="DU71" s="58">
        <f>IF(DM71&lt;&gt;"",(1200-(MIN(5,IF(DM71="E",$DM$5,IF(DM71="L",$DM$8,IF(DM71="R",$DM$11,$DM$14)))-INT((DN71-1)/5)*5)*216+(MIN(5,IF(DM71="E",$DM$5,IF(DM71="L",$DM$8,IF(DM71="R",$DM$11,$DM$14)))-INT((DN71-1)/5)*5)-1)*14))/2+MOD(DN71-1,5)*(216+14),"")</f>
        <v/>
      </c>
      <c r="DV71" s="58">
        <f>IF(DM71&lt;&gt;"",IF(DM71="E",$DM$17,IF(DM71="L",$DM$21,IF(DM71="R",$DM$23,$DM$25)))+24+INT((DN71-1)/5)*(64+12),"")</f>
        <v/>
      </c>
      <c r="DW71" s="58">
        <f>IF(DM71&lt;&gt;"","&lt;rect x='"&amp;SUBSTITUTE(ROUND(DU71,1),",",".")&amp;"' y='"&amp;SUBSTITUTE(ROUND(DV71,1),",",".")&amp;"' width='216' height='64' rx='9' fill='"&amp;IF(DM71="E","#B9D9EB",IF(DM71="L","#9EB9D4",IF(DM71="R","#6699CC","#F5F5F5")))&amp;"' stroke='#2A3439' stroke-width='1'"&amp;IF(DM71="A"," stroke-dasharray='5 3'","")&amp;"/&gt;"&amp;"&lt;text x='"&amp;SUBSTITUTE(ROUND((DU71+108),1),",",".")&amp;"' y='"&amp;SUBSTITUTE(ROUND(DV71+20,1),",",".")&amp;"' font-size='12' font-weight='bold'&gt;"&amp;DO71&amp;"&lt;/text&gt;"&amp;"&lt;text x='"&amp;SUBSTITUTE(ROUND((DU71+108),1),",",".")&amp;"' y='"&amp;SUBSTITUTE(ROUND(DV71+38,1),",",".")&amp;"' font-size='10'&gt;"&amp;DS71&amp;"&lt;/text&gt;"&amp;"&lt;text x='"&amp;SUBSTITUTE(ROUND((DU71+108),1),",",".")&amp;"' y='"&amp;SUBSTITUTE(ROUND(DV71+53,1),",",".")&amp;"' font-size='10'&gt;"&amp;DT71&amp;"&lt;/text&gt;","")</f>
        <v/>
      </c>
    </row>
    <row r="72">
      <c r="A72" s="58" t="n">
        <v>33</v>
      </c>
      <c r="B72" s="58">
        <f>IF($A72&lt;=nVariables,SUBSTITUTE(SUBSTITUTE(SUBSTITUTE(SUBSTITUTE(SUBSTITUTE(SUBSTITUTE(SUBSTITUTE(TRIM(CLEAN(IF(LEN(TRIM(M!$B42))&gt;46,LEFT(TRIM(M!$B42),45)&amp;"…",TRIM(M!$B42)))),"&amp;","&amp;amp;"),"&lt;","&amp;lt;"),"&gt;","&amp;gt;"),CHAR(34),"&amp;quot;"),CHAR(10)," "),CHAR(9)," "),CHAR(13)," "),"")</f>
        <v/>
      </c>
      <c r="C72" s="58">
        <f>IF($A72&lt;=nVariables,$A72&amp;". "&amp;B72,"")</f>
        <v/>
      </c>
      <c r="D72" s="58">
        <f>IF($A72&lt;=nVariables,IF(TRIM(M!$C42)&lt;&gt;"",TRIM(M!$C42),IF(LEN(TRIM(M!$B42))&gt;24,LEFT(TRIM(M!$B42),23)&amp;"…",TRIM(M!$B42))),"")</f>
        <v/>
      </c>
      <c r="E72" s="58">
        <f>IF($A72&lt;=nVariables,TRIM('Árbol de Problemas'!$F51),"")</f>
        <v/>
      </c>
      <c r="H72" s="58" t="n">
        <v>33</v>
      </c>
      <c r="I72" s="58">
        <f>IF(AND($I$4=1,H72&lt;=nVariables),1,0)</f>
        <v/>
      </c>
      <c r="J72" s="58">
        <f>IF(I72=1,'M1'!$F42,"")</f>
        <v/>
      </c>
      <c r="K72" s="58">
        <f>IF(I72=1,'M1'!$E42,"")</f>
        <v/>
      </c>
      <c r="L72" s="58">
        <f>IF(I72=1,90+J72*$I$22,"")</f>
        <v/>
      </c>
      <c r="M72" s="58">
        <f>IF(I72=1,574-K72*$I$23,"")</f>
        <v/>
      </c>
      <c r="N72" s="58">
        <f>IF(I72=1,'M1'!$I42,"")</f>
        <v/>
      </c>
      <c r="O72" s="58">
        <f>IF(I72=1,IF(N72="Motriz","#2A3439",IF(N72="Enlace","#6699CC",IF(N72="Resultado","#FFFFFF","#F5F5F5"))),"")</f>
        <v/>
      </c>
      <c r="P72" s="58">
        <f>IF(I72=1,IF(SUMPRODUCT((J$39:J71=J72)*(K$39:K71=K72))=0,1,0),0)</f>
        <v/>
      </c>
      <c r="Q72" s="58">
        <f>IF(P72=1,33&amp;IF(AND(J73=J72,K73=K72),","&amp;34,"")&amp;IF(AND(J74=J72,K74=K72),","&amp;35,"")&amp;IF(AND(J75=J72,K75=K72),","&amp;36,"")&amp;IF(AND(J76=J72,K76=K72),","&amp;37,"")&amp;IF(AND(J77=J72,K77=K72),","&amp;38,"")&amp;IF(AND(J78=J72,K78=K72),","&amp;39,"")&amp;IF(AND(J79=J72,K79=K72),","&amp;40,""),"")</f>
        <v/>
      </c>
      <c r="R72" s="58">
        <f>IF(P72=1,IF(N72="Motriz","&lt;circle cx='"&amp;SUBSTITUTE(ROUND(L72,1),",",".")&amp;"' cy='"&amp;SUBSTITUTE(ROUND(M72,1),",",".")&amp;"' r='6' fill='#2A3439' stroke='#2A3439' stroke-width='1.3'/&gt;",IF(N72="Enlace","&lt;rect x='"&amp;SUBSTITUTE(ROUND((L72)-5.52,1),",",".")&amp;"' y='"&amp;SUBSTITUTE(ROUND((M72)-5.52,1),",",".")&amp;"' width='11.04' height='11.04' fill='#6699CC' stroke='#2A3439' stroke-width='1.3'/&gt;",IF(N72="Resultado","&lt;path d='M"&amp;SUBSTITUTE(ROUND(L72,1),",",".")&amp;" "&amp;SUBSTITUTE(ROUND((M72)-6.9,1),",",".")&amp;"L"&amp;SUBSTITUTE(ROUND((L72)+6.3,1),",",".")&amp;" "&amp;SUBSTITUTE(ROUND((M72)+5.1,1),",",".")&amp;"L"&amp;SUBSTITUTE(ROUND((L72)-6.3,1),",",".")&amp;" "&amp;SUBSTITUTE(ROUND((M72)+5.1,1),",",".")&amp;"Z' fill='#FFFFFF' stroke='#2A3439' stroke-width='1.3'/&gt;","&lt;path d='M"&amp;SUBSTITUTE(ROUND(L72,1),",",".")&amp;" "&amp;SUBSTITUTE(ROUND((M72)-7.5,1),",",".")&amp;"L"&amp;SUBSTITUTE(ROUND((L72)+7.5,1),",",".")&amp;" "&amp;SUBSTITUTE(ROUND(M72,1),",",".")&amp;"L"&amp;SUBSTITUTE(ROUND(L72,1),",",".")&amp;" "&amp;SUBSTITUTE(ROUND((M72)+7.5,1),",",".")&amp;"L"&amp;SUBSTITUTE(ROUND((L72)-7.5,1),",",".")&amp;" "&amp;SUBSTITUTE(ROUND(M72,1),",",".")&amp;"Z' fill='#F5F5F5' stroke='#2A3439' stroke-width='1.3'/&gt;")))&amp;"&lt;text x='"&amp;SUBSTITUTE(ROUND(L72+9,1),",",".")&amp;"' y='"&amp;SUBSTITUTE(ROUND(M72-8,1),",",".")&amp;"'&gt;"&amp;Q72&amp;"&lt;/text&gt;","")</f>
        <v/>
      </c>
      <c r="S72" s="58">
        <f>IF(I72=1,IF(N72="Motriz","&lt;circle cx='"&amp;SUBSTITUTE(ROUND(728,1),",",".")&amp;"' cy='"&amp;SUBSTITUTE(ROUND(574.4,1),",",".")&amp;"' r='4.3' fill='#2A3439' stroke='#2A3439' stroke-width='1.3'/&gt;",IF(N72="Enlace","&lt;rect x='"&amp;SUBSTITUTE(ROUND((728)-3.96,1),",",".")&amp;"' y='"&amp;SUBSTITUTE(ROUND((574.4)-3.96,1),",",".")&amp;"' width='7.92' height='7.92' fill='#6699CC' stroke='#2A3439' stroke-width='1.3'/&gt;",IF(N72="Resultado","&lt;path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Z72" s="58" t="n">
        <v>33</v>
      </c>
      <c r="AA72" s="58">
        <f>IF(AND($AA$4=1,Z72&lt;=nVariables),1,0)</f>
        <v/>
      </c>
      <c r="AB72" s="58">
        <f>IF(AA72=1,'M2'!$F42,"")</f>
        <v/>
      </c>
      <c r="AC72" s="58">
        <f>IF(AA72=1,'M2'!$E42,"")</f>
        <v/>
      </c>
      <c r="AD72" s="58">
        <f>IF(AA72=1,90+AB72*$AA$22,"")</f>
        <v/>
      </c>
      <c r="AE72" s="58">
        <f>IF(AA72=1,574-AC72*$AA$23,"")</f>
        <v/>
      </c>
      <c r="AF72" s="58">
        <f>IF(AA72=1,'M2'!$I42,"")</f>
        <v/>
      </c>
      <c r="AG72" s="58">
        <f>IF(AA72=1,IF(AF72="Motriz","#2A3439",IF(AF72="Enlace","#6699CC",IF(AF72="Resultado","#FFFFFF","#F5F5F5"))),"")</f>
        <v/>
      </c>
      <c r="AH72" s="58">
        <f>IF(AA72=1,IF(SUMPRODUCT((AB$39:AB71=AB72)*(AC$39:AC71=AC72))=0,1,0),0)</f>
        <v/>
      </c>
      <c r="AI72" s="58">
        <f>IF(AH72=1,33&amp;IF(AND(AB73=AB72,AC73=AC72),","&amp;34,"")&amp;IF(AND(AB74=AB72,AC74=AC72),","&amp;35,"")&amp;IF(AND(AB75=AB72,AC75=AC72),","&amp;36,"")&amp;IF(AND(AB76=AB72,AC76=AC72),","&amp;37,"")&amp;IF(AND(AB77=AB72,AC77=AC72),","&amp;38,"")&amp;IF(AND(AB78=AB72,AC78=AC72),","&amp;39,"")&amp;IF(AND(AB79=AB72,AC79=AC72),","&amp;40,""),"")</f>
        <v/>
      </c>
      <c r="AJ72" s="58">
        <f>IF(AH72=1,IF(AF72="Motriz","&lt;circle cx='"&amp;SUBSTITUTE(ROUND(AD72,1),",",".")&amp;"' cy='"&amp;SUBSTITUTE(ROUND(AE72,1),",",".")&amp;"' r='6' fill='#2A3439' stroke='#2A3439' stroke-width='1.3'/&gt;",IF(AF72="Enlace","&lt;rect x='"&amp;SUBSTITUTE(ROUND((AD72)-5.52,1),",",".")&amp;"' y='"&amp;SUBSTITUTE(ROUND((AE72)-5.52,1),",",".")&amp;"' width='11.04' height='11.04' fill='#6699CC' stroke='#2A3439' stroke-width='1.3'/&gt;",IF(AF72="Resultado","&lt;path d='M"&amp;SUBSTITUTE(ROUND(AD72,1),",",".")&amp;" "&amp;SUBSTITUTE(ROUND((AE72)-6.9,1),",",".")&amp;"L"&amp;SUBSTITUTE(ROUND((AD72)+6.3,1),",",".")&amp;" "&amp;SUBSTITUTE(ROUND((AE72)+5.1,1),",",".")&amp;"L"&amp;SUBSTITUTE(ROUND((AD72)-6.3,1),",",".")&amp;" "&amp;SUBSTITUTE(ROUND((AE72)+5.1,1),",",".")&amp;"Z' fill='#FFFFFF' stroke='#2A3439' stroke-width='1.3'/&gt;","&lt;path d='M"&amp;SUBSTITUTE(ROUND(AD72,1),",",".")&amp;" "&amp;SUBSTITUTE(ROUND((AE72)-7.5,1),",",".")&amp;"L"&amp;SUBSTITUTE(ROUND((AD72)+7.5,1),",",".")&amp;" "&amp;SUBSTITUTE(ROUND(AE72,1),",",".")&amp;"L"&amp;SUBSTITUTE(ROUND(AD72,1),",",".")&amp;" "&amp;SUBSTITUTE(ROUND((AE72)+7.5,1),",",".")&amp;"L"&amp;SUBSTITUTE(ROUND((AD72)-7.5,1),",",".")&amp;" "&amp;SUBSTITUTE(ROUND(AE72,1),",",".")&amp;"Z' fill='#F5F5F5' stroke='#2A3439' stroke-width='1.3'/&gt;")))&amp;"&lt;text x='"&amp;SUBSTITUTE(ROUND(AD72+9,1),",",".")&amp;"' y='"&amp;SUBSTITUTE(ROUND(AE72-8,1),",",".")&amp;"'&gt;"&amp;AI72&amp;"&lt;/text&gt;","")</f>
        <v/>
      </c>
      <c r="AK72" s="58">
        <f>IF(AA72=1,IF(AF72="Motriz","&lt;circle cx='"&amp;SUBSTITUTE(ROUND(728,1),",",".")&amp;"' cy='"&amp;SUBSTITUTE(ROUND(574.4,1),",",".")&amp;"' r='4.3' fill='#2A3439' stroke='#2A3439' stroke-width='1.3'/&gt;",IF(AF72="Enlace","&lt;rect x='"&amp;SUBSTITUTE(ROUND((728)-3.96,1),",",".")&amp;"' y='"&amp;SUBSTITUTE(ROUND((574.4)-3.96,1),",",".")&amp;"' width='7.92' height='7.92' fill='#6699CC' stroke='#2A3439' stroke-width='1.3'/&gt;",IF(AF72="Resultado","&lt;path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AR72" s="58" t="n">
        <v>33</v>
      </c>
      <c r="AS72" s="58">
        <f>IF(AND($AS$4=1,AR72&lt;=nVariables),1,0)</f>
        <v/>
      </c>
      <c r="AT72" s="58">
        <f>IF(AS72=1,'M3'!$F42,"")</f>
        <v/>
      </c>
      <c r="AU72" s="58">
        <f>IF(AS72=1,'M3'!$E42,"")</f>
        <v/>
      </c>
      <c r="AV72" s="58">
        <f>IF(AS72=1,90+AT72*$AS$22,"")</f>
        <v/>
      </c>
      <c r="AW72" s="58">
        <f>IF(AS72=1,574-AU72*$AS$23,"")</f>
        <v/>
      </c>
      <c r="AX72" s="58">
        <f>IF(AS72=1,'M3'!$I42,"")</f>
        <v/>
      </c>
      <c r="AY72" s="58">
        <f>IF(AS72=1,IF(AX72="Motriz","#2A3439",IF(AX72="Enlace","#6699CC",IF(AX72="Resultado","#FFFFFF","#F5F5F5"))),"")</f>
        <v/>
      </c>
      <c r="AZ72" s="58">
        <f>IF(AS72=1,IF(SUMPRODUCT((AT$39:AT71=AT72)*(AU$39:AU71=AU72))=0,1,0),0)</f>
        <v/>
      </c>
      <c r="BA72" s="58">
        <f>IF(AZ72=1,33&amp;IF(AND(AT73=AT72,AU73=AU72),","&amp;34,"")&amp;IF(AND(AT74=AT72,AU74=AU72),","&amp;35,"")&amp;IF(AND(AT75=AT72,AU75=AU72),","&amp;36,"")&amp;IF(AND(AT76=AT72,AU76=AU72),","&amp;37,"")&amp;IF(AND(AT77=AT72,AU77=AU72),","&amp;38,"")&amp;IF(AND(AT78=AT72,AU78=AU72),","&amp;39,"")&amp;IF(AND(AT79=AT72,AU79=AU72),","&amp;40,""),"")</f>
        <v/>
      </c>
      <c r="BB72" s="58">
        <f>IF(AZ72=1,IF(AX72="Motriz","&lt;circle cx='"&amp;SUBSTITUTE(ROUND(AV72,1),",",".")&amp;"' cy='"&amp;SUBSTITUTE(ROUND(AW72,1),",",".")&amp;"' r='6' fill='#2A3439' stroke='#2A3439' stroke-width='1.3'/&gt;",IF(AX72="Enlace","&lt;rect x='"&amp;SUBSTITUTE(ROUND((AV72)-5.52,1),",",".")&amp;"' y='"&amp;SUBSTITUTE(ROUND((AW72)-5.52,1),",",".")&amp;"' width='11.04' height='11.04' fill='#6699CC' stroke='#2A3439' stroke-width='1.3'/&gt;",IF(AX72="Resultado","&lt;path d='M"&amp;SUBSTITUTE(ROUND(AV72,1),",",".")&amp;" "&amp;SUBSTITUTE(ROUND((AW72)-6.9,1),",",".")&amp;"L"&amp;SUBSTITUTE(ROUND((AV72)+6.3,1),",",".")&amp;" "&amp;SUBSTITUTE(ROUND((AW72)+5.1,1),",",".")&amp;"L"&amp;SUBSTITUTE(ROUND((AV72)-6.3,1),",",".")&amp;" "&amp;SUBSTITUTE(ROUND((AW72)+5.1,1),",",".")&amp;"Z' fill='#FFFFFF' stroke='#2A3439' stroke-width='1.3'/&gt;","&lt;path d='M"&amp;SUBSTITUTE(ROUND(AV72,1),",",".")&amp;" "&amp;SUBSTITUTE(ROUND((AW72)-7.5,1),",",".")&amp;"L"&amp;SUBSTITUTE(ROUND((AV72)+7.5,1),",",".")&amp;" "&amp;SUBSTITUTE(ROUND(AW72,1),",",".")&amp;"L"&amp;SUBSTITUTE(ROUND(AV72,1),",",".")&amp;" "&amp;SUBSTITUTE(ROUND((AW72)+7.5,1),",",".")&amp;"L"&amp;SUBSTITUTE(ROUND((AV72)-7.5,1),",",".")&amp;" "&amp;SUBSTITUTE(ROUND(AW72,1),",",".")&amp;"Z' fill='#F5F5F5' stroke='#2A3439' stroke-width='1.3'/&gt;")))&amp;"&lt;text x='"&amp;SUBSTITUTE(ROUND(AV72+9,1),",",".")&amp;"' y='"&amp;SUBSTITUTE(ROUND(AW72-8,1),",",".")&amp;"'&gt;"&amp;BA72&amp;"&lt;/text&gt;","")</f>
        <v/>
      </c>
      <c r="BC72" s="58">
        <f>IF(AS72=1,IF(AX72="Motriz","&lt;circle cx='"&amp;SUBSTITUTE(ROUND(728,1),",",".")&amp;"' cy='"&amp;SUBSTITUTE(ROUND(574.4,1),",",".")&amp;"' r='4.3' fill='#2A3439' stroke='#2A3439' stroke-width='1.3'/&gt;",IF(AX72="Enlace","&lt;rect x='"&amp;SUBSTITUTE(ROUND((728)-3.96,1),",",".")&amp;"' y='"&amp;SUBSTITUTE(ROUND((574.4)-3.96,1),",",".")&amp;"' width='7.92' height='7.92' fill='#6699CC' stroke='#2A3439' stroke-width='1.3'/&gt;",IF(AX72="Resultado","&lt;path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BJ72" s="58" t="n">
        <v>33</v>
      </c>
      <c r="BK72" s="58">
        <f>IF(AND($BK$4=1,BJ72&lt;=nVariables),1,0)</f>
        <v/>
      </c>
      <c r="BL72" s="58">
        <f>IF(BK72=1,'M4'!$F42,"")</f>
        <v/>
      </c>
      <c r="BM72" s="58">
        <f>IF(BK72=1,'M4'!$E42,"")</f>
        <v/>
      </c>
      <c r="BN72" s="58">
        <f>IF(BK72=1,90+BL72*$BK$22,"")</f>
        <v/>
      </c>
      <c r="BO72" s="58">
        <f>IF(BK72=1,574-BM72*$BK$23,"")</f>
        <v/>
      </c>
      <c r="BP72" s="58">
        <f>IF(BK72=1,'M4'!$I42,"")</f>
        <v/>
      </c>
      <c r="BQ72" s="58">
        <f>IF(BK72=1,IF(BP72="Motriz","#2A3439",IF(BP72="Enlace","#6699CC",IF(BP72="Resultado","#FFFFFF","#F5F5F5"))),"")</f>
        <v/>
      </c>
      <c r="BR72" s="58">
        <f>IF(BK72=1,IF(SUMPRODUCT((BL$39:BL71=BL72)*(BM$39:BM71=BM72))=0,1,0),0)</f>
        <v/>
      </c>
      <c r="BS72" s="58">
        <f>IF(BR72=1,33&amp;IF(AND(BL73=BL72,BM73=BM72),","&amp;34,"")&amp;IF(AND(BL74=BL72,BM74=BM72),","&amp;35,"")&amp;IF(AND(BL75=BL72,BM75=BM72),","&amp;36,"")&amp;IF(AND(BL76=BL72,BM76=BM72),","&amp;37,"")&amp;IF(AND(BL77=BL72,BM77=BM72),","&amp;38,"")&amp;IF(AND(BL78=BL72,BM78=BM72),","&amp;39,"")&amp;IF(AND(BL79=BL72,BM79=BM72),","&amp;40,""),"")</f>
        <v/>
      </c>
      <c r="BT72" s="58">
        <f>IF(BR72=1,IF(BP72="Motriz","&lt;circle cx='"&amp;SUBSTITUTE(ROUND(BN72,1),",",".")&amp;"' cy='"&amp;SUBSTITUTE(ROUND(BO72,1),",",".")&amp;"' r='6' fill='#2A3439' stroke='#2A3439' stroke-width='1.3'/&gt;",IF(BP72="Enlace","&lt;rect x='"&amp;SUBSTITUTE(ROUND((BN72)-5.52,1),",",".")&amp;"' y='"&amp;SUBSTITUTE(ROUND((BO72)-5.52,1),",",".")&amp;"' width='11.04' height='11.04' fill='#6699CC' stroke='#2A3439' stroke-width='1.3'/&gt;",IF(BP72="Resultado","&lt;path d='M"&amp;SUBSTITUTE(ROUND(BN72,1),",",".")&amp;" "&amp;SUBSTITUTE(ROUND((BO72)-6.9,1),",",".")&amp;"L"&amp;SUBSTITUTE(ROUND((BN72)+6.3,1),",",".")&amp;" "&amp;SUBSTITUTE(ROUND((BO72)+5.1,1),",",".")&amp;"L"&amp;SUBSTITUTE(ROUND((BN72)-6.3,1),",",".")&amp;" "&amp;SUBSTITUTE(ROUND((BO72)+5.1,1),",",".")&amp;"Z' fill='#FFFFFF' stroke='#2A3439' stroke-width='1.3'/&gt;","&lt;path d='M"&amp;SUBSTITUTE(ROUND(BN72,1),",",".")&amp;" "&amp;SUBSTITUTE(ROUND((BO72)-7.5,1),",",".")&amp;"L"&amp;SUBSTITUTE(ROUND((BN72)+7.5,1),",",".")&amp;" "&amp;SUBSTITUTE(ROUND(BO72,1),",",".")&amp;"L"&amp;SUBSTITUTE(ROUND(BN72,1),",",".")&amp;" "&amp;SUBSTITUTE(ROUND((BO72)+7.5,1),",",".")&amp;"L"&amp;SUBSTITUTE(ROUND((BN72)-7.5,1),",",".")&amp;" "&amp;SUBSTITUTE(ROUND(BO72,1),",",".")&amp;"Z' fill='#F5F5F5' stroke='#2A3439' stroke-width='1.3'/&gt;")))&amp;"&lt;text x='"&amp;SUBSTITUTE(ROUND(BN72+9,1),",",".")&amp;"' y='"&amp;SUBSTITUTE(ROUND(BO72-8,1),",",".")&amp;"'&gt;"&amp;BS72&amp;"&lt;/text&gt;","")</f>
        <v/>
      </c>
      <c r="BU72" s="58">
        <f>IF(BK72=1,IF(BP72="Motriz","&lt;circle cx='"&amp;SUBSTITUTE(ROUND(728,1),",",".")&amp;"' cy='"&amp;SUBSTITUTE(ROUND(574.4,1),",",".")&amp;"' r='4.3' fill='#2A3439' stroke='#2A3439' stroke-width='1.3'/&gt;",IF(BP72="Enlace","&lt;rect x='"&amp;SUBSTITUTE(ROUND((728)-3.96,1),",",".")&amp;"' y='"&amp;SUBSTITUTE(ROUND((574.4)-3.96,1),",",".")&amp;"' width='7.92' height='7.92' fill='#6699CC' stroke='#2A3439' stroke-width='1.3'/&gt;",IF(BP72="Resultado","&lt;path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CB72" s="58" t="n">
        <v>33</v>
      </c>
      <c r="CC72" s="58">
        <f>IF(AND($CC$4=1,CB72&lt;=nVariables),1,0)</f>
        <v/>
      </c>
      <c r="CD72" s="58">
        <f>IF(CC72=1,'M5'!$F42,"")</f>
        <v/>
      </c>
      <c r="CE72" s="58">
        <f>IF(CC72=1,'M5'!$E42,"")</f>
        <v/>
      </c>
      <c r="CF72" s="58">
        <f>IF(CC72=1,90+CD72*$CC$22,"")</f>
        <v/>
      </c>
      <c r="CG72" s="58">
        <f>IF(CC72=1,574-CE72*$CC$23,"")</f>
        <v/>
      </c>
      <c r="CH72" s="58">
        <f>IF(CC72=1,'M5'!$I42,"")</f>
        <v/>
      </c>
      <c r="CI72" s="58">
        <f>IF(CC72=1,IF(CH72="Motriz","#2A3439",IF(CH72="Enlace","#6699CC",IF(CH72="Resultado","#FFFFFF","#F5F5F5"))),"")</f>
        <v/>
      </c>
      <c r="CJ72" s="58">
        <f>IF(CC72=1,IF(SUMPRODUCT((CD$39:CD71=CD72)*(CE$39:CE71=CE72))=0,1,0),0)</f>
        <v/>
      </c>
      <c r="CK72" s="58">
        <f>IF(CJ72=1,33&amp;IF(AND(CD73=CD72,CE73=CE72),","&amp;34,"")&amp;IF(AND(CD74=CD72,CE74=CE72),","&amp;35,"")&amp;IF(AND(CD75=CD72,CE75=CE72),","&amp;36,"")&amp;IF(AND(CD76=CD72,CE76=CE72),","&amp;37,"")&amp;IF(AND(CD77=CD72,CE77=CE72),","&amp;38,"")&amp;IF(AND(CD78=CD72,CE78=CE72),","&amp;39,"")&amp;IF(AND(CD79=CD72,CE79=CE72),","&amp;40,""),"")</f>
        <v/>
      </c>
      <c r="CL72" s="58">
        <f>IF(CJ72=1,IF(CH72="Motriz","&lt;circle cx='"&amp;SUBSTITUTE(ROUND(CF72,1),",",".")&amp;"' cy='"&amp;SUBSTITUTE(ROUND(CG72,1),",",".")&amp;"' r='6' fill='#2A3439' stroke='#2A3439' stroke-width='1.3'/&gt;",IF(CH72="Enlace","&lt;rect x='"&amp;SUBSTITUTE(ROUND((CF72)-5.52,1),",",".")&amp;"' y='"&amp;SUBSTITUTE(ROUND((CG72)-5.52,1),",",".")&amp;"' width='11.04' height='11.04' fill='#6699CC' stroke='#2A3439' stroke-width='1.3'/&gt;",IF(CH72="Resultado","&lt;path d='M"&amp;SUBSTITUTE(ROUND(CF72,1),",",".")&amp;" "&amp;SUBSTITUTE(ROUND((CG72)-6.9,1),",",".")&amp;"L"&amp;SUBSTITUTE(ROUND((CF72)+6.3,1),",",".")&amp;" "&amp;SUBSTITUTE(ROUND((CG72)+5.1,1),",",".")&amp;"L"&amp;SUBSTITUTE(ROUND((CF72)-6.3,1),",",".")&amp;" "&amp;SUBSTITUTE(ROUND((CG72)+5.1,1),",",".")&amp;"Z' fill='#FFFFFF' stroke='#2A3439' stroke-width='1.3'/&gt;","&lt;path d='M"&amp;SUBSTITUTE(ROUND(CF72,1),",",".")&amp;" "&amp;SUBSTITUTE(ROUND((CG72)-7.5,1),",",".")&amp;"L"&amp;SUBSTITUTE(ROUND((CF72)+7.5,1),",",".")&amp;" "&amp;SUBSTITUTE(ROUND(CG72,1),",",".")&amp;"L"&amp;SUBSTITUTE(ROUND(CF72,1),",",".")&amp;" "&amp;SUBSTITUTE(ROUND((CG72)+7.5,1),",",".")&amp;"L"&amp;SUBSTITUTE(ROUND((CF72)-7.5,1),",",".")&amp;" "&amp;SUBSTITUTE(ROUND(CG72,1),",",".")&amp;"Z' fill='#F5F5F5' stroke='#2A3439' stroke-width='1.3'/&gt;")))&amp;"&lt;text x='"&amp;SUBSTITUTE(ROUND(CF72+9,1),",",".")&amp;"' y='"&amp;SUBSTITUTE(ROUND(CG72-8,1),",",".")&amp;"'&gt;"&amp;CK72&amp;"&lt;/text&gt;","")</f>
        <v/>
      </c>
      <c r="CM72" s="58">
        <f>IF(CC72=1,IF(CH72="Motriz","&lt;circle cx='"&amp;SUBSTITUTE(ROUND(728,1),",",".")&amp;"' cy='"&amp;SUBSTITUTE(ROUND(574.4,1),",",".")&amp;"' r='4.3' fill='#2A3439' stroke='#2A3439' stroke-width='1.3'/&gt;",IF(CH72="Enlace","&lt;rect x='"&amp;SUBSTITUTE(ROUND((728)-3.96,1),",",".")&amp;"' y='"&amp;SUBSTITUTE(ROUND((574.4)-3.96,1),",",".")&amp;"' width='7.92' height='7.92' fill='#6699CC' stroke='#2A3439' stroke-width='1.3'/&gt;",IF(CH72="Resultado","&lt;path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CT72" s="58" t="n">
        <v>33</v>
      </c>
      <c r="CU72" s="58">
        <f>IF(AND($CU$4=1,CT72&lt;=nVariables),1,0)</f>
        <v/>
      </c>
      <c r="CV72" s="58">
        <f>IF(CU72=1,'M6'!$F42,"")</f>
        <v/>
      </c>
      <c r="CW72" s="58">
        <f>IF(CU72=1,'M6'!$E42,"")</f>
        <v/>
      </c>
      <c r="CX72" s="58">
        <f>IF(CU72=1,90+CV72*$CU$22,"")</f>
        <v/>
      </c>
      <c r="CY72" s="58">
        <f>IF(CU72=1,574-CW72*$CU$23,"")</f>
        <v/>
      </c>
      <c r="CZ72" s="58">
        <f>IF(CU72=1,'M6'!$I42,"")</f>
        <v/>
      </c>
      <c r="DA72" s="58">
        <f>IF(CU72=1,IF(CZ72="Motriz","#2A3439",IF(CZ72="Enlace","#6699CC",IF(CZ72="Resultado","#FFFFFF","#F5F5F5"))),"")</f>
        <v/>
      </c>
      <c r="DB72" s="58">
        <f>IF(CU72=1,IF(SUMPRODUCT((CV$39:CV71=CV72)*(CW$39:CW71=CW72))=0,1,0),0)</f>
        <v/>
      </c>
      <c r="DC72" s="58">
        <f>IF(DB72=1,33&amp;IF(AND(CV73=CV72,CW73=CW72),","&amp;34,"")&amp;IF(AND(CV74=CV72,CW74=CW72),","&amp;35,"")&amp;IF(AND(CV75=CV72,CW75=CW72),","&amp;36,"")&amp;IF(AND(CV76=CV72,CW76=CW72),","&amp;37,"")&amp;IF(AND(CV77=CV72,CW77=CW72),","&amp;38,"")&amp;IF(AND(CV78=CV72,CW78=CW72),","&amp;39,"")&amp;IF(AND(CV79=CV72,CW79=CW72),","&amp;40,""),"")</f>
        <v/>
      </c>
      <c r="DD72" s="58">
        <f>IF(DB72=1,IF(CZ72="Motriz","&lt;circle cx='"&amp;SUBSTITUTE(ROUND(CX72,1),",",".")&amp;"' cy='"&amp;SUBSTITUTE(ROUND(CY72,1),",",".")&amp;"' r='6' fill='#2A3439' stroke='#2A3439' stroke-width='1.3'/&gt;",IF(CZ72="Enlace","&lt;rect x='"&amp;SUBSTITUTE(ROUND((CX72)-5.52,1),",",".")&amp;"' y='"&amp;SUBSTITUTE(ROUND((CY72)-5.52,1),",",".")&amp;"' width='11.04' height='11.04' fill='#6699CC' stroke='#2A3439' stroke-width='1.3'/&gt;",IF(CZ72="Resultado","&lt;path d='M"&amp;SUBSTITUTE(ROUND(CX72,1),",",".")&amp;" "&amp;SUBSTITUTE(ROUND((CY72)-6.9,1),",",".")&amp;"L"&amp;SUBSTITUTE(ROUND((CX72)+6.3,1),",",".")&amp;" "&amp;SUBSTITUTE(ROUND((CY72)+5.1,1),",",".")&amp;"L"&amp;SUBSTITUTE(ROUND((CX72)-6.3,1),",",".")&amp;" "&amp;SUBSTITUTE(ROUND((CY72)+5.1,1),",",".")&amp;"Z' fill='#FFFFFF' stroke='#2A3439' stroke-width='1.3'/&gt;","&lt;path d='M"&amp;SUBSTITUTE(ROUND(CX72,1),",",".")&amp;" "&amp;SUBSTITUTE(ROUND((CY72)-7.5,1),",",".")&amp;"L"&amp;SUBSTITUTE(ROUND((CX72)+7.5,1),",",".")&amp;" "&amp;SUBSTITUTE(ROUND(CY72,1),",",".")&amp;"L"&amp;SUBSTITUTE(ROUND(CX72,1),",",".")&amp;" "&amp;SUBSTITUTE(ROUND((CY72)+7.5,1),",",".")&amp;"L"&amp;SUBSTITUTE(ROUND((CX72)-7.5,1),",",".")&amp;" "&amp;SUBSTITUTE(ROUND(CY72,1),",",".")&amp;"Z' fill='#F5F5F5' stroke='#2A3439' stroke-width='1.3'/&gt;")))&amp;"&lt;text x='"&amp;SUBSTITUTE(ROUND(CX72+9,1),",",".")&amp;"' y='"&amp;SUBSTITUTE(ROUND(CY72-8,1),",",".")&amp;"'&gt;"&amp;DC72&amp;"&lt;/text&gt;","")</f>
        <v/>
      </c>
      <c r="DE72" s="58">
        <f>IF(CU72=1,IF(CZ72="Motriz","&lt;circle cx='"&amp;SUBSTITUTE(ROUND(728,1),",",".")&amp;"' cy='"&amp;SUBSTITUTE(ROUND(574.4,1),",",".")&amp;"' r='4.3' fill='#2A3439' stroke='#2A3439' stroke-width='1.3'/&gt;",IF(CZ72="Enlace","&lt;rect x='"&amp;SUBSTITUTE(ROUND((728)-3.96,1),",",".")&amp;"' y='"&amp;SUBSTITUTE(ROUND((574.4)-3.96,1),",",".")&amp;"' width='7.92' height='7.92' fill='#6699CC' stroke='#2A3439' stroke-width='1.3'/&gt;",IF(CZ72="Resultado","&lt;path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DL72" s="58" t="n">
        <v>21</v>
      </c>
      <c r="DM72" s="58">
        <f>IF(AND($DM$4=1,DL72&lt;=nVariables),IF('M6'!$I30="Resultado","E",IF('M6'!$I30="Enlace","L",IF('M6'!$I30="Motriz","R",IF('M6'!$I30="Autónoma","A","")))),"")</f>
        <v/>
      </c>
      <c r="DN72" s="58">
        <f>IF(DM72&lt;&gt;"",COUNTIF($DM$52:DM72,DM72),"")</f>
        <v/>
      </c>
      <c r="DO72" s="58">
        <f>IF(DM72&lt;&gt;"",SUBSTITUTE(SUBSTITUTE(SUBSTITUTE(SUBSTITUTE(SUBSTITUTE(SUBSTITUTE(SUBSTITUTE(TRIM(CLEAN(IF(LEN(21&amp;" · "&amp;$D60)&gt;30,LEFT(21&amp;" · "&amp;$D60,29)&amp;"…",21&amp;" · "&amp;$D60))),"&amp;","&amp;amp;"),"&lt;","&amp;lt;"),"&gt;","&amp;gt;"),CHAR(34),"&amp;quot;"),CHAR(10)," "),CHAR(9)," "),CHAR(13)," "),"")</f>
        <v/>
      </c>
      <c r="DP72" s="58">
        <f>IF(DM72&lt;&gt;"",IF($E60&lt;&gt;"",$E60,IF(DM72="E","(efecto · indicador de resultado)",IF(DM72="L","(causa directa · riesgo)",IF(DM72="R","CAUSA RAÍZ · componente del proyecto","(fuera del alcance)")))),"")</f>
        <v/>
      </c>
      <c r="DQ72" s="58">
        <f>IF(DM72&lt;&gt;"",IF(LEN(DP72)&gt;74,LEFT(DP72,73)&amp;"…",DP72),"")</f>
        <v/>
      </c>
      <c r="DR72" s="58">
        <f>IF(DM72&lt;&gt;"",IF(LEN(DQ72)&lt;=37,LEN(DQ72)+1,IFERROR(FIND("~",SUBSTITUTE(LEFT(DQ72,38)," ","~",LEN(LEFT(DQ72,38))-LEN(SUBSTITUTE(LEFT(DQ72,38)," ","")))),38)),"")</f>
        <v/>
      </c>
      <c r="DS72" s="58">
        <f>IF(DM72&lt;&gt;"",SUBSTITUTE(SUBSTITUTE(SUBSTITUTE(SUBSTITUTE(SUBSTITUTE(SUBSTITUTE(SUBSTITUTE(TRIM(CLEAN(TRIM(LEFT(DQ72,DR72-1)))),"&amp;","&amp;amp;"),"&lt;","&amp;lt;"),"&gt;","&amp;gt;"),CHAR(34),"&amp;quot;"),CHAR(10)," "),CHAR(9)," "),CHAR(13)," "),"")</f>
        <v/>
      </c>
      <c r="DT72" s="58">
        <f>IF(DM72&lt;&gt;"",SUBSTITUTE(SUBSTITUTE(SUBSTITUTE(SUBSTITUTE(SUBSTITUTE(SUBSTITUTE(SUBSTITUTE(TRIM(CLEAN(IF(LEN(TRIM(MID(DQ72,DR72,80)))&gt;37,LEFT(TRIM(MID(DQ72,DR72,80)),36)&amp;"…",TRIM(MID(DQ72,DR72,80))))),"&amp;","&amp;amp;"),"&lt;","&amp;lt;"),"&gt;","&amp;gt;"),CHAR(34),"&amp;quot;"),CHAR(10)," "),CHAR(9)," "),CHAR(13)," "),"")</f>
        <v/>
      </c>
      <c r="DU72" s="58">
        <f>IF(DM72&lt;&gt;"",(1200-(MIN(5,IF(DM72="E",$DM$5,IF(DM72="L",$DM$8,IF(DM72="R",$DM$11,$DM$14)))-INT((DN72-1)/5)*5)*216+(MIN(5,IF(DM72="E",$DM$5,IF(DM72="L",$DM$8,IF(DM72="R",$DM$11,$DM$14)))-INT((DN72-1)/5)*5)-1)*14))/2+MOD(DN72-1,5)*(216+14),"")</f>
        <v/>
      </c>
      <c r="DV72" s="58">
        <f>IF(DM72&lt;&gt;"",IF(DM72="E",$DM$17,IF(DM72="L",$DM$21,IF(DM72="R",$DM$23,$DM$25)))+24+INT((DN72-1)/5)*(64+12),"")</f>
        <v/>
      </c>
      <c r="DW72" s="58">
        <f>IF(DM72&lt;&gt;"","&lt;rect x='"&amp;SUBSTITUTE(ROUND(DU72,1),",",".")&amp;"' y='"&amp;SUBSTITUTE(ROUND(DV72,1),",",".")&amp;"' width='216' height='64' rx='9' fill='"&amp;IF(DM72="E","#B9D9EB",IF(DM72="L","#9EB9D4",IF(DM72="R","#6699CC","#F5F5F5")))&amp;"' stroke='#2A3439' stroke-width='1'"&amp;IF(DM72="A"," stroke-dasharray='5 3'","")&amp;"/&gt;"&amp;"&lt;text x='"&amp;SUBSTITUTE(ROUND((DU72+108),1),",",".")&amp;"' y='"&amp;SUBSTITUTE(ROUND(DV72+20,1),",",".")&amp;"' font-size='12' font-weight='bold'&gt;"&amp;DO72&amp;"&lt;/text&gt;"&amp;"&lt;text x='"&amp;SUBSTITUTE(ROUND((DU72+108),1),",",".")&amp;"' y='"&amp;SUBSTITUTE(ROUND(DV72+38,1),",",".")&amp;"' font-size='10'&gt;"&amp;DS72&amp;"&lt;/text&gt;"&amp;"&lt;text x='"&amp;SUBSTITUTE(ROUND((DU72+108),1),",",".")&amp;"' y='"&amp;SUBSTITUTE(ROUND(DV72+53,1),",",".")&amp;"' font-size='10'&gt;"&amp;DT72&amp;"&lt;/text&gt;","")</f>
        <v/>
      </c>
    </row>
    <row r="73">
      <c r="A73" s="58" t="n">
        <v>34</v>
      </c>
      <c r="B73" s="58">
        <f>IF($A73&lt;=nVariables,SUBSTITUTE(SUBSTITUTE(SUBSTITUTE(SUBSTITUTE(SUBSTITUTE(SUBSTITUTE(SUBSTITUTE(TRIM(CLEAN(IF(LEN(TRIM(M!$B43))&gt;46,LEFT(TRIM(M!$B43),45)&amp;"…",TRIM(M!$B43)))),"&amp;","&amp;amp;"),"&lt;","&amp;lt;"),"&gt;","&amp;gt;"),CHAR(34),"&amp;quot;"),CHAR(10)," "),CHAR(9)," "),CHAR(13)," "),"")</f>
        <v/>
      </c>
      <c r="C73" s="58">
        <f>IF($A73&lt;=nVariables,$A73&amp;". "&amp;B73,"")</f>
        <v/>
      </c>
      <c r="D73" s="58">
        <f>IF($A73&lt;=nVariables,IF(TRIM(M!$C43)&lt;&gt;"",TRIM(M!$C43),IF(LEN(TRIM(M!$B43))&gt;24,LEFT(TRIM(M!$B43),23)&amp;"…",TRIM(M!$B43))),"")</f>
        <v/>
      </c>
      <c r="E73" s="58">
        <f>IF($A73&lt;=nVariables,TRIM('Árbol de Problemas'!$F52),"")</f>
        <v/>
      </c>
      <c r="H73" s="58" t="n">
        <v>34</v>
      </c>
      <c r="I73" s="58">
        <f>IF(AND($I$4=1,H73&lt;=nVariables),1,0)</f>
        <v/>
      </c>
      <c r="J73" s="58">
        <f>IF(I73=1,'M1'!$F43,"")</f>
        <v/>
      </c>
      <c r="K73" s="58">
        <f>IF(I73=1,'M1'!$E43,"")</f>
        <v/>
      </c>
      <c r="L73" s="58">
        <f>IF(I73=1,90+J73*$I$22,"")</f>
        <v/>
      </c>
      <c r="M73" s="58">
        <f>IF(I73=1,574-K73*$I$23,"")</f>
        <v/>
      </c>
      <c r="N73" s="58">
        <f>IF(I73=1,'M1'!$I43,"")</f>
        <v/>
      </c>
      <c r="O73" s="58">
        <f>IF(I73=1,IF(N73="Motriz","#2A3439",IF(N73="Enlace","#6699CC",IF(N73="Resultado","#FFFFFF","#F5F5F5"))),"")</f>
        <v/>
      </c>
      <c r="P73" s="58">
        <f>IF(I73=1,IF(SUMPRODUCT((J$39:J72=J73)*(K$39:K72=K73))=0,1,0),0)</f>
        <v/>
      </c>
      <c r="Q73" s="58">
        <f>IF(P73=1,34&amp;IF(AND(J74=J73,K74=K73),","&amp;35,"")&amp;IF(AND(J75=J73,K75=K73),","&amp;36,"")&amp;IF(AND(J76=J73,K76=K73),","&amp;37,"")&amp;IF(AND(J77=J73,K77=K73),","&amp;38,"")&amp;IF(AND(J78=J73,K78=K73),","&amp;39,"")&amp;IF(AND(J79=J73,K79=K73),","&amp;40,""),"")</f>
        <v/>
      </c>
      <c r="R73" s="58">
        <f>IF(P73=1,IF(N73="Motriz","&lt;circle cx='"&amp;SUBSTITUTE(ROUND(L73,1),",",".")&amp;"' cy='"&amp;SUBSTITUTE(ROUND(M73,1),",",".")&amp;"' r='6' fill='#2A3439' stroke='#2A3439' stroke-width='1.3'/&gt;",IF(N73="Enlace","&lt;rect x='"&amp;SUBSTITUTE(ROUND((L73)-5.52,1),",",".")&amp;"' y='"&amp;SUBSTITUTE(ROUND((M73)-5.52,1),",",".")&amp;"' width='11.04' height='11.04' fill='#6699CC' stroke='#2A3439' stroke-width='1.3'/&gt;",IF(N73="Resultado","&lt;path d='M"&amp;SUBSTITUTE(ROUND(L73,1),",",".")&amp;" "&amp;SUBSTITUTE(ROUND((M73)-6.9,1),",",".")&amp;"L"&amp;SUBSTITUTE(ROUND((L73)+6.3,1),",",".")&amp;" "&amp;SUBSTITUTE(ROUND((M73)+5.1,1),",",".")&amp;"L"&amp;SUBSTITUTE(ROUND((L73)-6.3,1),",",".")&amp;" "&amp;SUBSTITUTE(ROUND((M73)+5.1,1),",",".")&amp;"Z' fill='#FFFFFF' stroke='#2A3439' stroke-width='1.3'/&gt;","&lt;path d='M"&amp;SUBSTITUTE(ROUND(L73,1),",",".")&amp;" "&amp;SUBSTITUTE(ROUND((M73)-7.5,1),",",".")&amp;"L"&amp;SUBSTITUTE(ROUND((L73)+7.5,1),",",".")&amp;" "&amp;SUBSTITUTE(ROUND(M73,1),",",".")&amp;"L"&amp;SUBSTITUTE(ROUND(L73,1),",",".")&amp;" "&amp;SUBSTITUTE(ROUND((M73)+7.5,1),",",".")&amp;"L"&amp;SUBSTITUTE(ROUND((L73)-7.5,1),",",".")&amp;" "&amp;SUBSTITUTE(ROUND(M73,1),",",".")&amp;"Z' fill='#F5F5F5' stroke='#2A3439' stroke-width='1.3'/&gt;")))&amp;"&lt;text x='"&amp;SUBSTITUTE(ROUND(L73+9,1),",",".")&amp;"' y='"&amp;SUBSTITUTE(ROUND(M73-8,1),",",".")&amp;"'&gt;"&amp;Q73&amp;"&lt;/text&gt;","")</f>
        <v/>
      </c>
      <c r="S73" s="58">
        <f>IF(I73=1,IF(N73="Motriz","&lt;circle cx='"&amp;SUBSTITUTE(ROUND(728,1),",",".")&amp;"' cy='"&amp;SUBSTITUTE(ROUND(588.6,1),",",".")&amp;"' r='4.3' fill='#2A3439' stroke='#2A3439' stroke-width='1.3'/&gt;",IF(N73="Enlace","&lt;rect x='"&amp;SUBSTITUTE(ROUND((728)-3.96,1),",",".")&amp;"' y='"&amp;SUBSTITUTE(ROUND((588.6)-3.96,1),",",".")&amp;"' width='7.92' height='7.92' fill='#6699CC' stroke='#2A3439' stroke-width='1.3'/&gt;",IF(N73="Resultado","&lt;path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Z73" s="58" t="n">
        <v>34</v>
      </c>
      <c r="AA73" s="58">
        <f>IF(AND($AA$4=1,Z73&lt;=nVariables),1,0)</f>
        <v/>
      </c>
      <c r="AB73" s="58">
        <f>IF(AA73=1,'M2'!$F43,"")</f>
        <v/>
      </c>
      <c r="AC73" s="58">
        <f>IF(AA73=1,'M2'!$E43,"")</f>
        <v/>
      </c>
      <c r="AD73" s="58">
        <f>IF(AA73=1,90+AB73*$AA$22,"")</f>
        <v/>
      </c>
      <c r="AE73" s="58">
        <f>IF(AA73=1,574-AC73*$AA$23,"")</f>
        <v/>
      </c>
      <c r="AF73" s="58">
        <f>IF(AA73=1,'M2'!$I43,"")</f>
        <v/>
      </c>
      <c r="AG73" s="58">
        <f>IF(AA73=1,IF(AF73="Motriz","#2A3439",IF(AF73="Enlace","#6699CC",IF(AF73="Resultado","#FFFFFF","#F5F5F5"))),"")</f>
        <v/>
      </c>
      <c r="AH73" s="58">
        <f>IF(AA73=1,IF(SUMPRODUCT((AB$39:AB72=AB73)*(AC$39:AC72=AC73))=0,1,0),0)</f>
        <v/>
      </c>
      <c r="AI73" s="58">
        <f>IF(AH73=1,34&amp;IF(AND(AB74=AB73,AC74=AC73),","&amp;35,"")&amp;IF(AND(AB75=AB73,AC75=AC73),","&amp;36,"")&amp;IF(AND(AB76=AB73,AC76=AC73),","&amp;37,"")&amp;IF(AND(AB77=AB73,AC77=AC73),","&amp;38,"")&amp;IF(AND(AB78=AB73,AC78=AC73),","&amp;39,"")&amp;IF(AND(AB79=AB73,AC79=AC73),","&amp;40,""),"")</f>
        <v/>
      </c>
      <c r="AJ73" s="58">
        <f>IF(AH73=1,IF(AF73="Motriz","&lt;circle cx='"&amp;SUBSTITUTE(ROUND(AD73,1),",",".")&amp;"' cy='"&amp;SUBSTITUTE(ROUND(AE73,1),",",".")&amp;"' r='6' fill='#2A3439' stroke='#2A3439' stroke-width='1.3'/&gt;",IF(AF73="Enlace","&lt;rect x='"&amp;SUBSTITUTE(ROUND((AD73)-5.52,1),",",".")&amp;"' y='"&amp;SUBSTITUTE(ROUND((AE73)-5.52,1),",",".")&amp;"' width='11.04' height='11.04' fill='#6699CC' stroke='#2A3439' stroke-width='1.3'/&gt;",IF(AF73="Resultado","&lt;path d='M"&amp;SUBSTITUTE(ROUND(AD73,1),",",".")&amp;" "&amp;SUBSTITUTE(ROUND((AE73)-6.9,1),",",".")&amp;"L"&amp;SUBSTITUTE(ROUND((AD73)+6.3,1),",",".")&amp;" "&amp;SUBSTITUTE(ROUND((AE73)+5.1,1),",",".")&amp;"L"&amp;SUBSTITUTE(ROUND((AD73)-6.3,1),",",".")&amp;" "&amp;SUBSTITUTE(ROUND((AE73)+5.1,1),",",".")&amp;"Z' fill='#FFFFFF' stroke='#2A3439' stroke-width='1.3'/&gt;","&lt;path d='M"&amp;SUBSTITUTE(ROUND(AD73,1),",",".")&amp;" "&amp;SUBSTITUTE(ROUND((AE73)-7.5,1),",",".")&amp;"L"&amp;SUBSTITUTE(ROUND((AD73)+7.5,1),",",".")&amp;" "&amp;SUBSTITUTE(ROUND(AE73,1),",",".")&amp;"L"&amp;SUBSTITUTE(ROUND(AD73,1),",",".")&amp;" "&amp;SUBSTITUTE(ROUND((AE73)+7.5,1),",",".")&amp;"L"&amp;SUBSTITUTE(ROUND((AD73)-7.5,1),",",".")&amp;" "&amp;SUBSTITUTE(ROUND(AE73,1),",",".")&amp;"Z' fill='#F5F5F5' stroke='#2A3439' stroke-width='1.3'/&gt;")))&amp;"&lt;text x='"&amp;SUBSTITUTE(ROUND(AD73+9,1),",",".")&amp;"' y='"&amp;SUBSTITUTE(ROUND(AE73-8,1),",",".")&amp;"'&gt;"&amp;AI73&amp;"&lt;/text&gt;","")</f>
        <v/>
      </c>
      <c r="AK73" s="58">
        <f>IF(AA73=1,IF(AF73="Motriz","&lt;circle cx='"&amp;SUBSTITUTE(ROUND(728,1),",",".")&amp;"' cy='"&amp;SUBSTITUTE(ROUND(588.6,1),",",".")&amp;"' r='4.3' fill='#2A3439' stroke='#2A3439' stroke-width='1.3'/&gt;",IF(AF73="Enlace","&lt;rect x='"&amp;SUBSTITUTE(ROUND((728)-3.96,1),",",".")&amp;"' y='"&amp;SUBSTITUTE(ROUND((588.6)-3.96,1),",",".")&amp;"' width='7.92' height='7.92' fill='#6699CC' stroke='#2A3439' stroke-width='1.3'/&gt;",IF(AF73="Resultado","&lt;path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AR73" s="58" t="n">
        <v>34</v>
      </c>
      <c r="AS73" s="58">
        <f>IF(AND($AS$4=1,AR73&lt;=nVariables),1,0)</f>
        <v/>
      </c>
      <c r="AT73" s="58">
        <f>IF(AS73=1,'M3'!$F43,"")</f>
        <v/>
      </c>
      <c r="AU73" s="58">
        <f>IF(AS73=1,'M3'!$E43,"")</f>
        <v/>
      </c>
      <c r="AV73" s="58">
        <f>IF(AS73=1,90+AT73*$AS$22,"")</f>
        <v/>
      </c>
      <c r="AW73" s="58">
        <f>IF(AS73=1,574-AU73*$AS$23,"")</f>
        <v/>
      </c>
      <c r="AX73" s="58">
        <f>IF(AS73=1,'M3'!$I43,"")</f>
        <v/>
      </c>
      <c r="AY73" s="58">
        <f>IF(AS73=1,IF(AX73="Motriz","#2A3439",IF(AX73="Enlace","#6699CC",IF(AX73="Resultado","#FFFFFF","#F5F5F5"))),"")</f>
        <v/>
      </c>
      <c r="AZ73" s="58">
        <f>IF(AS73=1,IF(SUMPRODUCT((AT$39:AT72=AT73)*(AU$39:AU72=AU73))=0,1,0),0)</f>
        <v/>
      </c>
      <c r="BA73" s="58">
        <f>IF(AZ73=1,34&amp;IF(AND(AT74=AT73,AU74=AU73),","&amp;35,"")&amp;IF(AND(AT75=AT73,AU75=AU73),","&amp;36,"")&amp;IF(AND(AT76=AT73,AU76=AU73),","&amp;37,"")&amp;IF(AND(AT77=AT73,AU77=AU73),","&amp;38,"")&amp;IF(AND(AT78=AT73,AU78=AU73),","&amp;39,"")&amp;IF(AND(AT79=AT73,AU79=AU73),","&amp;40,""),"")</f>
        <v/>
      </c>
      <c r="BB73" s="58">
        <f>IF(AZ73=1,IF(AX73="Motriz","&lt;circle cx='"&amp;SUBSTITUTE(ROUND(AV73,1),",",".")&amp;"' cy='"&amp;SUBSTITUTE(ROUND(AW73,1),",",".")&amp;"' r='6' fill='#2A3439' stroke='#2A3439' stroke-width='1.3'/&gt;",IF(AX73="Enlace","&lt;rect x='"&amp;SUBSTITUTE(ROUND((AV73)-5.52,1),",",".")&amp;"' y='"&amp;SUBSTITUTE(ROUND((AW73)-5.52,1),",",".")&amp;"' width='11.04' height='11.04' fill='#6699CC' stroke='#2A3439' stroke-width='1.3'/&gt;",IF(AX73="Resultado","&lt;path d='M"&amp;SUBSTITUTE(ROUND(AV73,1),",",".")&amp;" "&amp;SUBSTITUTE(ROUND((AW73)-6.9,1),",",".")&amp;"L"&amp;SUBSTITUTE(ROUND((AV73)+6.3,1),",",".")&amp;" "&amp;SUBSTITUTE(ROUND((AW73)+5.1,1),",",".")&amp;"L"&amp;SUBSTITUTE(ROUND((AV73)-6.3,1),",",".")&amp;" "&amp;SUBSTITUTE(ROUND((AW73)+5.1,1),",",".")&amp;"Z' fill='#FFFFFF' stroke='#2A3439' stroke-width='1.3'/&gt;","&lt;path d='M"&amp;SUBSTITUTE(ROUND(AV73,1),",",".")&amp;" "&amp;SUBSTITUTE(ROUND((AW73)-7.5,1),",",".")&amp;"L"&amp;SUBSTITUTE(ROUND((AV73)+7.5,1),",",".")&amp;" "&amp;SUBSTITUTE(ROUND(AW73,1),",",".")&amp;"L"&amp;SUBSTITUTE(ROUND(AV73,1),",",".")&amp;" "&amp;SUBSTITUTE(ROUND((AW73)+7.5,1),",",".")&amp;"L"&amp;SUBSTITUTE(ROUND((AV73)-7.5,1),",",".")&amp;" "&amp;SUBSTITUTE(ROUND(AW73,1),",",".")&amp;"Z' fill='#F5F5F5' stroke='#2A3439' stroke-width='1.3'/&gt;")))&amp;"&lt;text x='"&amp;SUBSTITUTE(ROUND(AV73+9,1),",",".")&amp;"' y='"&amp;SUBSTITUTE(ROUND(AW73-8,1),",",".")&amp;"'&gt;"&amp;BA73&amp;"&lt;/text&gt;","")</f>
        <v/>
      </c>
      <c r="BC73" s="58">
        <f>IF(AS73=1,IF(AX73="Motriz","&lt;circle cx='"&amp;SUBSTITUTE(ROUND(728,1),",",".")&amp;"' cy='"&amp;SUBSTITUTE(ROUND(588.6,1),",",".")&amp;"' r='4.3' fill='#2A3439' stroke='#2A3439' stroke-width='1.3'/&gt;",IF(AX73="Enlace","&lt;rect x='"&amp;SUBSTITUTE(ROUND((728)-3.96,1),",",".")&amp;"' y='"&amp;SUBSTITUTE(ROUND((588.6)-3.96,1),",",".")&amp;"' width='7.92' height='7.92' fill='#6699CC' stroke='#2A3439' stroke-width='1.3'/&gt;",IF(AX73="Resultado","&lt;path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BJ73" s="58" t="n">
        <v>34</v>
      </c>
      <c r="BK73" s="58">
        <f>IF(AND($BK$4=1,BJ73&lt;=nVariables),1,0)</f>
        <v/>
      </c>
      <c r="BL73" s="58">
        <f>IF(BK73=1,'M4'!$F43,"")</f>
        <v/>
      </c>
      <c r="BM73" s="58">
        <f>IF(BK73=1,'M4'!$E43,"")</f>
        <v/>
      </c>
      <c r="BN73" s="58">
        <f>IF(BK73=1,90+BL73*$BK$22,"")</f>
        <v/>
      </c>
      <c r="BO73" s="58">
        <f>IF(BK73=1,574-BM73*$BK$23,"")</f>
        <v/>
      </c>
      <c r="BP73" s="58">
        <f>IF(BK73=1,'M4'!$I43,"")</f>
        <v/>
      </c>
      <c r="BQ73" s="58">
        <f>IF(BK73=1,IF(BP73="Motriz","#2A3439",IF(BP73="Enlace","#6699CC",IF(BP73="Resultado","#FFFFFF","#F5F5F5"))),"")</f>
        <v/>
      </c>
      <c r="BR73" s="58">
        <f>IF(BK73=1,IF(SUMPRODUCT((BL$39:BL72=BL73)*(BM$39:BM72=BM73))=0,1,0),0)</f>
        <v/>
      </c>
      <c r="BS73" s="58">
        <f>IF(BR73=1,34&amp;IF(AND(BL74=BL73,BM74=BM73),","&amp;35,"")&amp;IF(AND(BL75=BL73,BM75=BM73),","&amp;36,"")&amp;IF(AND(BL76=BL73,BM76=BM73),","&amp;37,"")&amp;IF(AND(BL77=BL73,BM77=BM73),","&amp;38,"")&amp;IF(AND(BL78=BL73,BM78=BM73),","&amp;39,"")&amp;IF(AND(BL79=BL73,BM79=BM73),","&amp;40,""),"")</f>
        <v/>
      </c>
      <c r="BT73" s="58">
        <f>IF(BR73=1,IF(BP73="Motriz","&lt;circle cx='"&amp;SUBSTITUTE(ROUND(BN73,1),",",".")&amp;"' cy='"&amp;SUBSTITUTE(ROUND(BO73,1),",",".")&amp;"' r='6' fill='#2A3439' stroke='#2A3439' stroke-width='1.3'/&gt;",IF(BP73="Enlace","&lt;rect x='"&amp;SUBSTITUTE(ROUND((BN73)-5.52,1),",",".")&amp;"' y='"&amp;SUBSTITUTE(ROUND((BO73)-5.52,1),",",".")&amp;"' width='11.04' height='11.04' fill='#6699CC' stroke='#2A3439' stroke-width='1.3'/&gt;",IF(BP73="Resultado","&lt;path d='M"&amp;SUBSTITUTE(ROUND(BN73,1),",",".")&amp;" "&amp;SUBSTITUTE(ROUND((BO73)-6.9,1),",",".")&amp;"L"&amp;SUBSTITUTE(ROUND((BN73)+6.3,1),",",".")&amp;" "&amp;SUBSTITUTE(ROUND((BO73)+5.1,1),",",".")&amp;"L"&amp;SUBSTITUTE(ROUND((BN73)-6.3,1),",",".")&amp;" "&amp;SUBSTITUTE(ROUND((BO73)+5.1,1),",",".")&amp;"Z' fill='#FFFFFF' stroke='#2A3439' stroke-width='1.3'/&gt;","&lt;path d='M"&amp;SUBSTITUTE(ROUND(BN73,1),",",".")&amp;" "&amp;SUBSTITUTE(ROUND((BO73)-7.5,1),",",".")&amp;"L"&amp;SUBSTITUTE(ROUND((BN73)+7.5,1),",",".")&amp;" "&amp;SUBSTITUTE(ROUND(BO73,1),",",".")&amp;"L"&amp;SUBSTITUTE(ROUND(BN73,1),",",".")&amp;" "&amp;SUBSTITUTE(ROUND((BO73)+7.5,1),",",".")&amp;"L"&amp;SUBSTITUTE(ROUND((BN73)-7.5,1),",",".")&amp;" "&amp;SUBSTITUTE(ROUND(BO73,1),",",".")&amp;"Z' fill='#F5F5F5' stroke='#2A3439' stroke-width='1.3'/&gt;")))&amp;"&lt;text x='"&amp;SUBSTITUTE(ROUND(BN73+9,1),",",".")&amp;"' y='"&amp;SUBSTITUTE(ROUND(BO73-8,1),",",".")&amp;"'&gt;"&amp;BS73&amp;"&lt;/text&gt;","")</f>
        <v/>
      </c>
      <c r="BU73" s="58">
        <f>IF(BK73=1,IF(BP73="Motriz","&lt;circle cx='"&amp;SUBSTITUTE(ROUND(728,1),",",".")&amp;"' cy='"&amp;SUBSTITUTE(ROUND(588.6,1),",",".")&amp;"' r='4.3' fill='#2A3439' stroke='#2A3439' stroke-width='1.3'/&gt;",IF(BP73="Enlace","&lt;rect x='"&amp;SUBSTITUTE(ROUND((728)-3.96,1),",",".")&amp;"' y='"&amp;SUBSTITUTE(ROUND((588.6)-3.96,1),",",".")&amp;"' width='7.92' height='7.92' fill='#6699CC' stroke='#2A3439' stroke-width='1.3'/&gt;",IF(BP73="Resultado","&lt;path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CB73" s="58" t="n">
        <v>34</v>
      </c>
      <c r="CC73" s="58">
        <f>IF(AND($CC$4=1,CB73&lt;=nVariables),1,0)</f>
        <v/>
      </c>
      <c r="CD73" s="58">
        <f>IF(CC73=1,'M5'!$F43,"")</f>
        <v/>
      </c>
      <c r="CE73" s="58">
        <f>IF(CC73=1,'M5'!$E43,"")</f>
        <v/>
      </c>
      <c r="CF73" s="58">
        <f>IF(CC73=1,90+CD73*$CC$22,"")</f>
        <v/>
      </c>
      <c r="CG73" s="58">
        <f>IF(CC73=1,574-CE73*$CC$23,"")</f>
        <v/>
      </c>
      <c r="CH73" s="58">
        <f>IF(CC73=1,'M5'!$I43,"")</f>
        <v/>
      </c>
      <c r="CI73" s="58">
        <f>IF(CC73=1,IF(CH73="Motriz","#2A3439",IF(CH73="Enlace","#6699CC",IF(CH73="Resultado","#FFFFFF","#F5F5F5"))),"")</f>
        <v/>
      </c>
      <c r="CJ73" s="58">
        <f>IF(CC73=1,IF(SUMPRODUCT((CD$39:CD72=CD73)*(CE$39:CE72=CE73))=0,1,0),0)</f>
        <v/>
      </c>
      <c r="CK73" s="58">
        <f>IF(CJ73=1,34&amp;IF(AND(CD74=CD73,CE74=CE73),","&amp;35,"")&amp;IF(AND(CD75=CD73,CE75=CE73),","&amp;36,"")&amp;IF(AND(CD76=CD73,CE76=CE73),","&amp;37,"")&amp;IF(AND(CD77=CD73,CE77=CE73),","&amp;38,"")&amp;IF(AND(CD78=CD73,CE78=CE73),","&amp;39,"")&amp;IF(AND(CD79=CD73,CE79=CE73),","&amp;40,""),"")</f>
        <v/>
      </c>
      <c r="CL73" s="58">
        <f>IF(CJ73=1,IF(CH73="Motriz","&lt;circle cx='"&amp;SUBSTITUTE(ROUND(CF73,1),",",".")&amp;"' cy='"&amp;SUBSTITUTE(ROUND(CG73,1),",",".")&amp;"' r='6' fill='#2A3439' stroke='#2A3439' stroke-width='1.3'/&gt;",IF(CH73="Enlace","&lt;rect x='"&amp;SUBSTITUTE(ROUND((CF73)-5.52,1),",",".")&amp;"' y='"&amp;SUBSTITUTE(ROUND((CG73)-5.52,1),",",".")&amp;"' width='11.04' height='11.04' fill='#6699CC' stroke='#2A3439' stroke-width='1.3'/&gt;",IF(CH73="Resultado","&lt;path d='M"&amp;SUBSTITUTE(ROUND(CF73,1),",",".")&amp;" "&amp;SUBSTITUTE(ROUND((CG73)-6.9,1),",",".")&amp;"L"&amp;SUBSTITUTE(ROUND((CF73)+6.3,1),",",".")&amp;" "&amp;SUBSTITUTE(ROUND((CG73)+5.1,1),",",".")&amp;"L"&amp;SUBSTITUTE(ROUND((CF73)-6.3,1),",",".")&amp;" "&amp;SUBSTITUTE(ROUND((CG73)+5.1,1),",",".")&amp;"Z' fill='#FFFFFF' stroke='#2A3439' stroke-width='1.3'/&gt;","&lt;path d='M"&amp;SUBSTITUTE(ROUND(CF73,1),",",".")&amp;" "&amp;SUBSTITUTE(ROUND((CG73)-7.5,1),",",".")&amp;"L"&amp;SUBSTITUTE(ROUND((CF73)+7.5,1),",",".")&amp;" "&amp;SUBSTITUTE(ROUND(CG73,1),",",".")&amp;"L"&amp;SUBSTITUTE(ROUND(CF73,1),",",".")&amp;" "&amp;SUBSTITUTE(ROUND((CG73)+7.5,1),",",".")&amp;"L"&amp;SUBSTITUTE(ROUND((CF73)-7.5,1),",",".")&amp;" "&amp;SUBSTITUTE(ROUND(CG73,1),",",".")&amp;"Z' fill='#F5F5F5' stroke='#2A3439' stroke-width='1.3'/&gt;")))&amp;"&lt;text x='"&amp;SUBSTITUTE(ROUND(CF73+9,1),",",".")&amp;"' y='"&amp;SUBSTITUTE(ROUND(CG73-8,1),",",".")&amp;"'&gt;"&amp;CK73&amp;"&lt;/text&gt;","")</f>
        <v/>
      </c>
      <c r="CM73" s="58">
        <f>IF(CC73=1,IF(CH73="Motriz","&lt;circle cx='"&amp;SUBSTITUTE(ROUND(728,1),",",".")&amp;"' cy='"&amp;SUBSTITUTE(ROUND(588.6,1),",",".")&amp;"' r='4.3' fill='#2A3439' stroke='#2A3439' stroke-width='1.3'/&gt;",IF(CH73="Enlace","&lt;rect x='"&amp;SUBSTITUTE(ROUND((728)-3.96,1),",",".")&amp;"' y='"&amp;SUBSTITUTE(ROUND((588.6)-3.96,1),",",".")&amp;"' width='7.92' height='7.92' fill='#6699CC' stroke='#2A3439' stroke-width='1.3'/&gt;",IF(CH73="Resultado","&lt;path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CT73" s="58" t="n">
        <v>34</v>
      </c>
      <c r="CU73" s="58">
        <f>IF(AND($CU$4=1,CT73&lt;=nVariables),1,0)</f>
        <v/>
      </c>
      <c r="CV73" s="58">
        <f>IF(CU73=1,'M6'!$F43,"")</f>
        <v/>
      </c>
      <c r="CW73" s="58">
        <f>IF(CU73=1,'M6'!$E43,"")</f>
        <v/>
      </c>
      <c r="CX73" s="58">
        <f>IF(CU73=1,90+CV73*$CU$22,"")</f>
        <v/>
      </c>
      <c r="CY73" s="58">
        <f>IF(CU73=1,574-CW73*$CU$23,"")</f>
        <v/>
      </c>
      <c r="CZ73" s="58">
        <f>IF(CU73=1,'M6'!$I43,"")</f>
        <v/>
      </c>
      <c r="DA73" s="58">
        <f>IF(CU73=1,IF(CZ73="Motriz","#2A3439",IF(CZ73="Enlace","#6699CC",IF(CZ73="Resultado","#FFFFFF","#F5F5F5"))),"")</f>
        <v/>
      </c>
      <c r="DB73" s="58">
        <f>IF(CU73=1,IF(SUMPRODUCT((CV$39:CV72=CV73)*(CW$39:CW72=CW73))=0,1,0),0)</f>
        <v/>
      </c>
      <c r="DC73" s="58">
        <f>IF(DB73=1,34&amp;IF(AND(CV74=CV73,CW74=CW73),","&amp;35,"")&amp;IF(AND(CV75=CV73,CW75=CW73),","&amp;36,"")&amp;IF(AND(CV76=CV73,CW76=CW73),","&amp;37,"")&amp;IF(AND(CV77=CV73,CW77=CW73),","&amp;38,"")&amp;IF(AND(CV78=CV73,CW78=CW73),","&amp;39,"")&amp;IF(AND(CV79=CV73,CW79=CW73),","&amp;40,""),"")</f>
        <v/>
      </c>
      <c r="DD73" s="58">
        <f>IF(DB73=1,IF(CZ73="Motriz","&lt;circle cx='"&amp;SUBSTITUTE(ROUND(CX73,1),",",".")&amp;"' cy='"&amp;SUBSTITUTE(ROUND(CY73,1),",",".")&amp;"' r='6' fill='#2A3439' stroke='#2A3439' stroke-width='1.3'/&gt;",IF(CZ73="Enlace","&lt;rect x='"&amp;SUBSTITUTE(ROUND((CX73)-5.52,1),",",".")&amp;"' y='"&amp;SUBSTITUTE(ROUND((CY73)-5.52,1),",",".")&amp;"' width='11.04' height='11.04' fill='#6699CC' stroke='#2A3439' stroke-width='1.3'/&gt;",IF(CZ73="Resultado","&lt;path d='M"&amp;SUBSTITUTE(ROUND(CX73,1),",",".")&amp;" "&amp;SUBSTITUTE(ROUND((CY73)-6.9,1),",",".")&amp;"L"&amp;SUBSTITUTE(ROUND((CX73)+6.3,1),",",".")&amp;" "&amp;SUBSTITUTE(ROUND((CY73)+5.1,1),",",".")&amp;"L"&amp;SUBSTITUTE(ROUND((CX73)-6.3,1),",",".")&amp;" "&amp;SUBSTITUTE(ROUND((CY73)+5.1,1),",",".")&amp;"Z' fill='#FFFFFF' stroke='#2A3439' stroke-width='1.3'/&gt;","&lt;path d='M"&amp;SUBSTITUTE(ROUND(CX73,1),",",".")&amp;" "&amp;SUBSTITUTE(ROUND((CY73)-7.5,1),",",".")&amp;"L"&amp;SUBSTITUTE(ROUND((CX73)+7.5,1),",",".")&amp;" "&amp;SUBSTITUTE(ROUND(CY73,1),",",".")&amp;"L"&amp;SUBSTITUTE(ROUND(CX73,1),",",".")&amp;" "&amp;SUBSTITUTE(ROUND((CY73)+7.5,1),",",".")&amp;"L"&amp;SUBSTITUTE(ROUND((CX73)-7.5,1),",",".")&amp;" "&amp;SUBSTITUTE(ROUND(CY73,1),",",".")&amp;"Z' fill='#F5F5F5' stroke='#2A3439' stroke-width='1.3'/&gt;")))&amp;"&lt;text x='"&amp;SUBSTITUTE(ROUND(CX73+9,1),",",".")&amp;"' y='"&amp;SUBSTITUTE(ROUND(CY73-8,1),",",".")&amp;"'&gt;"&amp;DC73&amp;"&lt;/text&gt;","")</f>
        <v/>
      </c>
      <c r="DE73" s="58">
        <f>IF(CU73=1,IF(CZ73="Motriz","&lt;circle cx='"&amp;SUBSTITUTE(ROUND(728,1),",",".")&amp;"' cy='"&amp;SUBSTITUTE(ROUND(588.6,1),",",".")&amp;"' r='4.3' fill='#2A3439' stroke='#2A3439' stroke-width='1.3'/&gt;",IF(CZ73="Enlace","&lt;rect x='"&amp;SUBSTITUTE(ROUND((728)-3.96,1),",",".")&amp;"' y='"&amp;SUBSTITUTE(ROUND((588.6)-3.96,1),",",".")&amp;"' width='7.92' height='7.92' fill='#6699CC' stroke='#2A3439' stroke-width='1.3'/&gt;",IF(CZ73="Resultado","&lt;path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DL73" s="58" t="n">
        <v>22</v>
      </c>
      <c r="DM73" s="58">
        <f>IF(AND($DM$4=1,DL73&lt;=nVariables),IF('M6'!$I31="Resultado","E",IF('M6'!$I31="Enlace","L",IF('M6'!$I31="Motriz","R",IF('M6'!$I31="Autónoma","A","")))),"")</f>
        <v/>
      </c>
      <c r="DN73" s="58">
        <f>IF(DM73&lt;&gt;"",COUNTIF($DM$52:DM73,DM73),"")</f>
        <v/>
      </c>
      <c r="DO73" s="58">
        <f>IF(DM73&lt;&gt;"",SUBSTITUTE(SUBSTITUTE(SUBSTITUTE(SUBSTITUTE(SUBSTITUTE(SUBSTITUTE(SUBSTITUTE(TRIM(CLEAN(IF(LEN(22&amp;" · "&amp;$D61)&gt;30,LEFT(22&amp;" · "&amp;$D61,29)&amp;"…",22&amp;" · "&amp;$D61))),"&amp;","&amp;amp;"),"&lt;","&amp;lt;"),"&gt;","&amp;gt;"),CHAR(34),"&amp;quot;"),CHAR(10)," "),CHAR(9)," "),CHAR(13)," "),"")</f>
        <v/>
      </c>
      <c r="DP73" s="58">
        <f>IF(DM73&lt;&gt;"",IF($E61&lt;&gt;"",$E61,IF(DM73="E","(efecto · indicador de resultado)",IF(DM73="L","(causa directa · riesgo)",IF(DM73="R","CAUSA RAÍZ · componente del proyecto","(fuera del alcance)")))),"")</f>
        <v/>
      </c>
      <c r="DQ73" s="58">
        <f>IF(DM73&lt;&gt;"",IF(LEN(DP73)&gt;74,LEFT(DP73,73)&amp;"…",DP73),"")</f>
        <v/>
      </c>
      <c r="DR73" s="58">
        <f>IF(DM73&lt;&gt;"",IF(LEN(DQ73)&lt;=37,LEN(DQ73)+1,IFERROR(FIND("~",SUBSTITUTE(LEFT(DQ73,38)," ","~",LEN(LEFT(DQ73,38))-LEN(SUBSTITUTE(LEFT(DQ73,38)," ","")))),38)),"")</f>
        <v/>
      </c>
      <c r="DS73" s="58">
        <f>IF(DM73&lt;&gt;"",SUBSTITUTE(SUBSTITUTE(SUBSTITUTE(SUBSTITUTE(SUBSTITUTE(SUBSTITUTE(SUBSTITUTE(TRIM(CLEAN(TRIM(LEFT(DQ73,DR73-1)))),"&amp;","&amp;amp;"),"&lt;","&amp;lt;"),"&gt;","&amp;gt;"),CHAR(34),"&amp;quot;"),CHAR(10)," "),CHAR(9)," "),CHAR(13)," "),"")</f>
        <v/>
      </c>
      <c r="DT73" s="58">
        <f>IF(DM73&lt;&gt;"",SUBSTITUTE(SUBSTITUTE(SUBSTITUTE(SUBSTITUTE(SUBSTITUTE(SUBSTITUTE(SUBSTITUTE(TRIM(CLEAN(IF(LEN(TRIM(MID(DQ73,DR73,80)))&gt;37,LEFT(TRIM(MID(DQ73,DR73,80)),36)&amp;"…",TRIM(MID(DQ73,DR73,80))))),"&amp;","&amp;amp;"),"&lt;","&amp;lt;"),"&gt;","&amp;gt;"),CHAR(34),"&amp;quot;"),CHAR(10)," "),CHAR(9)," "),CHAR(13)," "),"")</f>
        <v/>
      </c>
      <c r="DU73" s="58">
        <f>IF(DM73&lt;&gt;"",(1200-(MIN(5,IF(DM73="E",$DM$5,IF(DM73="L",$DM$8,IF(DM73="R",$DM$11,$DM$14)))-INT((DN73-1)/5)*5)*216+(MIN(5,IF(DM73="E",$DM$5,IF(DM73="L",$DM$8,IF(DM73="R",$DM$11,$DM$14)))-INT((DN73-1)/5)*5)-1)*14))/2+MOD(DN73-1,5)*(216+14),"")</f>
        <v/>
      </c>
      <c r="DV73" s="58">
        <f>IF(DM73&lt;&gt;"",IF(DM73="E",$DM$17,IF(DM73="L",$DM$21,IF(DM73="R",$DM$23,$DM$25)))+24+INT((DN73-1)/5)*(64+12),"")</f>
        <v/>
      </c>
      <c r="DW73" s="58">
        <f>IF(DM73&lt;&gt;"","&lt;rect x='"&amp;SUBSTITUTE(ROUND(DU73,1),",",".")&amp;"' y='"&amp;SUBSTITUTE(ROUND(DV73,1),",",".")&amp;"' width='216' height='64' rx='9' fill='"&amp;IF(DM73="E","#B9D9EB",IF(DM73="L","#9EB9D4",IF(DM73="R","#6699CC","#F5F5F5")))&amp;"' stroke='#2A3439' stroke-width='1'"&amp;IF(DM73="A"," stroke-dasharray='5 3'","")&amp;"/&gt;"&amp;"&lt;text x='"&amp;SUBSTITUTE(ROUND((DU73+108),1),",",".")&amp;"' y='"&amp;SUBSTITUTE(ROUND(DV73+20,1),",",".")&amp;"' font-size='12' font-weight='bold'&gt;"&amp;DO73&amp;"&lt;/text&gt;"&amp;"&lt;text x='"&amp;SUBSTITUTE(ROUND((DU73+108),1),",",".")&amp;"' y='"&amp;SUBSTITUTE(ROUND(DV73+38,1),",",".")&amp;"' font-size='10'&gt;"&amp;DS73&amp;"&lt;/text&gt;"&amp;"&lt;text x='"&amp;SUBSTITUTE(ROUND((DU73+108),1),",",".")&amp;"' y='"&amp;SUBSTITUTE(ROUND(DV73+53,1),",",".")&amp;"' font-size='10'&gt;"&amp;DT73&amp;"&lt;/text&gt;","")</f>
        <v/>
      </c>
    </row>
    <row r="74">
      <c r="A74" s="58" t="n">
        <v>35</v>
      </c>
      <c r="B74" s="58">
        <f>IF($A74&lt;=nVariables,SUBSTITUTE(SUBSTITUTE(SUBSTITUTE(SUBSTITUTE(SUBSTITUTE(SUBSTITUTE(SUBSTITUTE(TRIM(CLEAN(IF(LEN(TRIM(M!$B44))&gt;46,LEFT(TRIM(M!$B44),45)&amp;"…",TRIM(M!$B44)))),"&amp;","&amp;amp;"),"&lt;","&amp;lt;"),"&gt;","&amp;gt;"),CHAR(34),"&amp;quot;"),CHAR(10)," "),CHAR(9)," "),CHAR(13)," "),"")</f>
        <v/>
      </c>
      <c r="C74" s="58">
        <f>IF($A74&lt;=nVariables,$A74&amp;". "&amp;B74,"")</f>
        <v/>
      </c>
      <c r="D74" s="58">
        <f>IF($A74&lt;=nVariables,IF(TRIM(M!$C44)&lt;&gt;"",TRIM(M!$C44),IF(LEN(TRIM(M!$B44))&gt;24,LEFT(TRIM(M!$B44),23)&amp;"…",TRIM(M!$B44))),"")</f>
        <v/>
      </c>
      <c r="E74" s="58">
        <f>IF($A74&lt;=nVariables,TRIM('Árbol de Problemas'!$F53),"")</f>
        <v/>
      </c>
      <c r="H74" s="58" t="n">
        <v>35</v>
      </c>
      <c r="I74" s="58">
        <f>IF(AND($I$4=1,H74&lt;=nVariables),1,0)</f>
        <v/>
      </c>
      <c r="J74" s="58">
        <f>IF(I74=1,'M1'!$F44,"")</f>
        <v/>
      </c>
      <c r="K74" s="58">
        <f>IF(I74=1,'M1'!$E44,"")</f>
        <v/>
      </c>
      <c r="L74" s="58">
        <f>IF(I74=1,90+J74*$I$22,"")</f>
        <v/>
      </c>
      <c r="M74" s="58">
        <f>IF(I74=1,574-K74*$I$23,"")</f>
        <v/>
      </c>
      <c r="N74" s="58">
        <f>IF(I74=1,'M1'!$I44,"")</f>
        <v/>
      </c>
      <c r="O74" s="58">
        <f>IF(I74=1,IF(N74="Motriz","#2A3439",IF(N74="Enlace","#6699CC",IF(N74="Resultado","#FFFFFF","#F5F5F5"))),"")</f>
        <v/>
      </c>
      <c r="P74" s="58">
        <f>IF(I74=1,IF(SUMPRODUCT((J$39:J73=J74)*(K$39:K73=K74))=0,1,0),0)</f>
        <v/>
      </c>
      <c r="Q74" s="58">
        <f>IF(P74=1,35&amp;IF(AND(J75=J74,K75=K74),","&amp;36,"")&amp;IF(AND(J76=J74,K76=K74),","&amp;37,"")&amp;IF(AND(J77=J74,K77=K74),","&amp;38,"")&amp;IF(AND(J78=J74,K78=K74),","&amp;39,"")&amp;IF(AND(J79=J74,K79=K74),","&amp;40,""),"")</f>
        <v/>
      </c>
      <c r="R74" s="58">
        <f>IF(P74=1,IF(N74="Motriz","&lt;circle cx='"&amp;SUBSTITUTE(ROUND(L74,1),",",".")&amp;"' cy='"&amp;SUBSTITUTE(ROUND(M74,1),",",".")&amp;"' r='6' fill='#2A3439' stroke='#2A3439' stroke-width='1.3'/&gt;",IF(N74="Enlace","&lt;rect x='"&amp;SUBSTITUTE(ROUND((L74)-5.52,1),",",".")&amp;"' y='"&amp;SUBSTITUTE(ROUND((M74)-5.52,1),",",".")&amp;"' width='11.04' height='11.04' fill='#6699CC' stroke='#2A3439' stroke-width='1.3'/&gt;",IF(N74="Resultado","&lt;path d='M"&amp;SUBSTITUTE(ROUND(L74,1),",",".")&amp;" "&amp;SUBSTITUTE(ROUND((M74)-6.9,1),",",".")&amp;"L"&amp;SUBSTITUTE(ROUND((L74)+6.3,1),",",".")&amp;" "&amp;SUBSTITUTE(ROUND((M74)+5.1,1),",",".")&amp;"L"&amp;SUBSTITUTE(ROUND((L74)-6.3,1),",",".")&amp;" "&amp;SUBSTITUTE(ROUND((M74)+5.1,1),",",".")&amp;"Z' fill='#FFFFFF' stroke='#2A3439' stroke-width='1.3'/&gt;","&lt;path d='M"&amp;SUBSTITUTE(ROUND(L74,1),",",".")&amp;" "&amp;SUBSTITUTE(ROUND((M74)-7.5,1),",",".")&amp;"L"&amp;SUBSTITUTE(ROUND((L74)+7.5,1),",",".")&amp;" "&amp;SUBSTITUTE(ROUND(M74,1),",",".")&amp;"L"&amp;SUBSTITUTE(ROUND(L74,1),",",".")&amp;" "&amp;SUBSTITUTE(ROUND((M74)+7.5,1),",",".")&amp;"L"&amp;SUBSTITUTE(ROUND((L74)-7.5,1),",",".")&amp;" "&amp;SUBSTITUTE(ROUND(M74,1),",",".")&amp;"Z' fill='#F5F5F5' stroke='#2A3439' stroke-width='1.3'/&gt;")))&amp;"&lt;text x='"&amp;SUBSTITUTE(ROUND(L74+9,1),",",".")&amp;"' y='"&amp;SUBSTITUTE(ROUND(M74-8,1),",",".")&amp;"'&gt;"&amp;Q74&amp;"&lt;/text&gt;","")</f>
        <v/>
      </c>
      <c r="S74" s="58">
        <f>IF(I74=1,IF(N74="Motriz","&lt;circle cx='"&amp;SUBSTITUTE(ROUND(728,1),",",".")&amp;"' cy='"&amp;SUBSTITUTE(ROUND(602.8,1),",",".")&amp;"' r='4.3' fill='#2A3439' stroke='#2A3439' stroke-width='1.3'/&gt;",IF(N74="Enlace","&lt;rect x='"&amp;SUBSTITUTE(ROUND((728)-3.96,1),",",".")&amp;"' y='"&amp;SUBSTITUTE(ROUND((602.8)-3.96,1),",",".")&amp;"' width='7.92' height='7.92' fill='#6699CC' stroke='#2A3439' stroke-width='1.3'/&gt;",IF(N74="Resultado","&lt;path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Z74" s="58" t="n">
        <v>35</v>
      </c>
      <c r="AA74" s="58">
        <f>IF(AND($AA$4=1,Z74&lt;=nVariables),1,0)</f>
        <v/>
      </c>
      <c r="AB74" s="58">
        <f>IF(AA74=1,'M2'!$F44,"")</f>
        <v/>
      </c>
      <c r="AC74" s="58">
        <f>IF(AA74=1,'M2'!$E44,"")</f>
        <v/>
      </c>
      <c r="AD74" s="58">
        <f>IF(AA74=1,90+AB74*$AA$22,"")</f>
        <v/>
      </c>
      <c r="AE74" s="58">
        <f>IF(AA74=1,574-AC74*$AA$23,"")</f>
        <v/>
      </c>
      <c r="AF74" s="58">
        <f>IF(AA74=1,'M2'!$I44,"")</f>
        <v/>
      </c>
      <c r="AG74" s="58">
        <f>IF(AA74=1,IF(AF74="Motriz","#2A3439",IF(AF74="Enlace","#6699CC",IF(AF74="Resultado","#FFFFFF","#F5F5F5"))),"")</f>
        <v/>
      </c>
      <c r="AH74" s="58">
        <f>IF(AA74=1,IF(SUMPRODUCT((AB$39:AB73=AB74)*(AC$39:AC73=AC74))=0,1,0),0)</f>
        <v/>
      </c>
      <c r="AI74" s="58">
        <f>IF(AH74=1,35&amp;IF(AND(AB75=AB74,AC75=AC74),","&amp;36,"")&amp;IF(AND(AB76=AB74,AC76=AC74),","&amp;37,"")&amp;IF(AND(AB77=AB74,AC77=AC74),","&amp;38,"")&amp;IF(AND(AB78=AB74,AC78=AC74),","&amp;39,"")&amp;IF(AND(AB79=AB74,AC79=AC74),","&amp;40,""),"")</f>
        <v/>
      </c>
      <c r="AJ74" s="58">
        <f>IF(AH74=1,IF(AF74="Motriz","&lt;circle cx='"&amp;SUBSTITUTE(ROUND(AD74,1),",",".")&amp;"' cy='"&amp;SUBSTITUTE(ROUND(AE74,1),",",".")&amp;"' r='6' fill='#2A3439' stroke='#2A3439' stroke-width='1.3'/&gt;",IF(AF74="Enlace","&lt;rect x='"&amp;SUBSTITUTE(ROUND((AD74)-5.52,1),",",".")&amp;"' y='"&amp;SUBSTITUTE(ROUND((AE74)-5.52,1),",",".")&amp;"' width='11.04' height='11.04' fill='#6699CC' stroke='#2A3439' stroke-width='1.3'/&gt;",IF(AF74="Resultado","&lt;path d='M"&amp;SUBSTITUTE(ROUND(AD74,1),",",".")&amp;" "&amp;SUBSTITUTE(ROUND((AE74)-6.9,1),",",".")&amp;"L"&amp;SUBSTITUTE(ROUND((AD74)+6.3,1),",",".")&amp;" "&amp;SUBSTITUTE(ROUND((AE74)+5.1,1),",",".")&amp;"L"&amp;SUBSTITUTE(ROUND((AD74)-6.3,1),",",".")&amp;" "&amp;SUBSTITUTE(ROUND((AE74)+5.1,1),",",".")&amp;"Z' fill='#FFFFFF' stroke='#2A3439' stroke-width='1.3'/&gt;","&lt;path d='M"&amp;SUBSTITUTE(ROUND(AD74,1),",",".")&amp;" "&amp;SUBSTITUTE(ROUND((AE74)-7.5,1),",",".")&amp;"L"&amp;SUBSTITUTE(ROUND((AD74)+7.5,1),",",".")&amp;" "&amp;SUBSTITUTE(ROUND(AE74,1),",",".")&amp;"L"&amp;SUBSTITUTE(ROUND(AD74,1),",",".")&amp;" "&amp;SUBSTITUTE(ROUND((AE74)+7.5,1),",",".")&amp;"L"&amp;SUBSTITUTE(ROUND((AD74)-7.5,1),",",".")&amp;" "&amp;SUBSTITUTE(ROUND(AE74,1),",",".")&amp;"Z' fill='#F5F5F5' stroke='#2A3439' stroke-width='1.3'/&gt;")))&amp;"&lt;text x='"&amp;SUBSTITUTE(ROUND(AD74+9,1),",",".")&amp;"' y='"&amp;SUBSTITUTE(ROUND(AE74-8,1),",",".")&amp;"'&gt;"&amp;AI74&amp;"&lt;/text&gt;","")</f>
        <v/>
      </c>
      <c r="AK74" s="58">
        <f>IF(AA74=1,IF(AF74="Motriz","&lt;circle cx='"&amp;SUBSTITUTE(ROUND(728,1),",",".")&amp;"' cy='"&amp;SUBSTITUTE(ROUND(602.8,1),",",".")&amp;"' r='4.3' fill='#2A3439' stroke='#2A3439' stroke-width='1.3'/&gt;",IF(AF74="Enlace","&lt;rect x='"&amp;SUBSTITUTE(ROUND((728)-3.96,1),",",".")&amp;"' y='"&amp;SUBSTITUTE(ROUND((602.8)-3.96,1),",",".")&amp;"' width='7.92' height='7.92' fill='#6699CC' stroke='#2A3439' stroke-width='1.3'/&gt;",IF(AF74="Resultado","&lt;path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AR74" s="58" t="n">
        <v>35</v>
      </c>
      <c r="AS74" s="58">
        <f>IF(AND($AS$4=1,AR74&lt;=nVariables),1,0)</f>
        <v/>
      </c>
      <c r="AT74" s="58">
        <f>IF(AS74=1,'M3'!$F44,"")</f>
        <v/>
      </c>
      <c r="AU74" s="58">
        <f>IF(AS74=1,'M3'!$E44,"")</f>
        <v/>
      </c>
      <c r="AV74" s="58">
        <f>IF(AS74=1,90+AT74*$AS$22,"")</f>
        <v/>
      </c>
      <c r="AW74" s="58">
        <f>IF(AS74=1,574-AU74*$AS$23,"")</f>
        <v/>
      </c>
      <c r="AX74" s="58">
        <f>IF(AS74=1,'M3'!$I44,"")</f>
        <v/>
      </c>
      <c r="AY74" s="58">
        <f>IF(AS74=1,IF(AX74="Motriz","#2A3439",IF(AX74="Enlace","#6699CC",IF(AX74="Resultado","#FFFFFF","#F5F5F5"))),"")</f>
        <v/>
      </c>
      <c r="AZ74" s="58">
        <f>IF(AS74=1,IF(SUMPRODUCT((AT$39:AT73=AT74)*(AU$39:AU73=AU74))=0,1,0),0)</f>
        <v/>
      </c>
      <c r="BA74" s="58">
        <f>IF(AZ74=1,35&amp;IF(AND(AT75=AT74,AU75=AU74),","&amp;36,"")&amp;IF(AND(AT76=AT74,AU76=AU74),","&amp;37,"")&amp;IF(AND(AT77=AT74,AU77=AU74),","&amp;38,"")&amp;IF(AND(AT78=AT74,AU78=AU74),","&amp;39,"")&amp;IF(AND(AT79=AT74,AU79=AU74),","&amp;40,""),"")</f>
        <v/>
      </c>
      <c r="BB74" s="58">
        <f>IF(AZ74=1,IF(AX74="Motriz","&lt;circle cx='"&amp;SUBSTITUTE(ROUND(AV74,1),",",".")&amp;"' cy='"&amp;SUBSTITUTE(ROUND(AW74,1),",",".")&amp;"' r='6' fill='#2A3439' stroke='#2A3439' stroke-width='1.3'/&gt;",IF(AX74="Enlace","&lt;rect x='"&amp;SUBSTITUTE(ROUND((AV74)-5.52,1),",",".")&amp;"' y='"&amp;SUBSTITUTE(ROUND((AW74)-5.52,1),",",".")&amp;"' width='11.04' height='11.04' fill='#6699CC' stroke='#2A3439' stroke-width='1.3'/&gt;",IF(AX74="Resultado","&lt;path d='M"&amp;SUBSTITUTE(ROUND(AV74,1),",",".")&amp;" "&amp;SUBSTITUTE(ROUND((AW74)-6.9,1),",",".")&amp;"L"&amp;SUBSTITUTE(ROUND((AV74)+6.3,1),",",".")&amp;" "&amp;SUBSTITUTE(ROUND((AW74)+5.1,1),",",".")&amp;"L"&amp;SUBSTITUTE(ROUND((AV74)-6.3,1),",",".")&amp;" "&amp;SUBSTITUTE(ROUND((AW74)+5.1,1),",",".")&amp;"Z' fill='#FFFFFF' stroke='#2A3439' stroke-width='1.3'/&gt;","&lt;path d='M"&amp;SUBSTITUTE(ROUND(AV74,1),",",".")&amp;" "&amp;SUBSTITUTE(ROUND((AW74)-7.5,1),",",".")&amp;"L"&amp;SUBSTITUTE(ROUND((AV74)+7.5,1),",",".")&amp;" "&amp;SUBSTITUTE(ROUND(AW74,1),",",".")&amp;"L"&amp;SUBSTITUTE(ROUND(AV74,1),",",".")&amp;" "&amp;SUBSTITUTE(ROUND((AW74)+7.5,1),",",".")&amp;"L"&amp;SUBSTITUTE(ROUND((AV74)-7.5,1),",",".")&amp;" "&amp;SUBSTITUTE(ROUND(AW74,1),",",".")&amp;"Z' fill='#F5F5F5' stroke='#2A3439' stroke-width='1.3'/&gt;")))&amp;"&lt;text x='"&amp;SUBSTITUTE(ROUND(AV74+9,1),",",".")&amp;"' y='"&amp;SUBSTITUTE(ROUND(AW74-8,1),",",".")&amp;"'&gt;"&amp;BA74&amp;"&lt;/text&gt;","")</f>
        <v/>
      </c>
      <c r="BC74" s="58">
        <f>IF(AS74=1,IF(AX74="Motriz","&lt;circle cx='"&amp;SUBSTITUTE(ROUND(728,1),",",".")&amp;"' cy='"&amp;SUBSTITUTE(ROUND(602.8,1),",",".")&amp;"' r='4.3' fill='#2A3439' stroke='#2A3439' stroke-width='1.3'/&gt;",IF(AX74="Enlace","&lt;rect x='"&amp;SUBSTITUTE(ROUND((728)-3.96,1),",",".")&amp;"' y='"&amp;SUBSTITUTE(ROUND((602.8)-3.96,1),",",".")&amp;"' width='7.92' height='7.92' fill='#6699CC' stroke='#2A3439' stroke-width='1.3'/&gt;",IF(AX74="Resultado","&lt;path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BJ74" s="58" t="n">
        <v>35</v>
      </c>
      <c r="BK74" s="58">
        <f>IF(AND($BK$4=1,BJ74&lt;=nVariables),1,0)</f>
        <v/>
      </c>
      <c r="BL74" s="58">
        <f>IF(BK74=1,'M4'!$F44,"")</f>
        <v/>
      </c>
      <c r="BM74" s="58">
        <f>IF(BK74=1,'M4'!$E44,"")</f>
        <v/>
      </c>
      <c r="BN74" s="58">
        <f>IF(BK74=1,90+BL74*$BK$22,"")</f>
        <v/>
      </c>
      <c r="BO74" s="58">
        <f>IF(BK74=1,574-BM74*$BK$23,"")</f>
        <v/>
      </c>
      <c r="BP74" s="58">
        <f>IF(BK74=1,'M4'!$I44,"")</f>
        <v/>
      </c>
      <c r="BQ74" s="58">
        <f>IF(BK74=1,IF(BP74="Motriz","#2A3439",IF(BP74="Enlace","#6699CC",IF(BP74="Resultado","#FFFFFF","#F5F5F5"))),"")</f>
        <v/>
      </c>
      <c r="BR74" s="58">
        <f>IF(BK74=1,IF(SUMPRODUCT((BL$39:BL73=BL74)*(BM$39:BM73=BM74))=0,1,0),0)</f>
        <v/>
      </c>
      <c r="BS74" s="58">
        <f>IF(BR74=1,35&amp;IF(AND(BL75=BL74,BM75=BM74),","&amp;36,"")&amp;IF(AND(BL76=BL74,BM76=BM74),","&amp;37,"")&amp;IF(AND(BL77=BL74,BM77=BM74),","&amp;38,"")&amp;IF(AND(BL78=BL74,BM78=BM74),","&amp;39,"")&amp;IF(AND(BL79=BL74,BM79=BM74),","&amp;40,""),"")</f>
        <v/>
      </c>
      <c r="BT74" s="58">
        <f>IF(BR74=1,IF(BP74="Motriz","&lt;circle cx='"&amp;SUBSTITUTE(ROUND(BN74,1),",",".")&amp;"' cy='"&amp;SUBSTITUTE(ROUND(BO74,1),",",".")&amp;"' r='6' fill='#2A3439' stroke='#2A3439' stroke-width='1.3'/&gt;",IF(BP74="Enlace","&lt;rect x='"&amp;SUBSTITUTE(ROUND((BN74)-5.52,1),",",".")&amp;"' y='"&amp;SUBSTITUTE(ROUND((BO74)-5.52,1),",",".")&amp;"' width='11.04' height='11.04' fill='#6699CC' stroke='#2A3439' stroke-width='1.3'/&gt;",IF(BP74="Resultado","&lt;path d='M"&amp;SUBSTITUTE(ROUND(BN74,1),",",".")&amp;" "&amp;SUBSTITUTE(ROUND((BO74)-6.9,1),",",".")&amp;"L"&amp;SUBSTITUTE(ROUND((BN74)+6.3,1),",",".")&amp;" "&amp;SUBSTITUTE(ROUND((BO74)+5.1,1),",",".")&amp;"L"&amp;SUBSTITUTE(ROUND((BN74)-6.3,1),",",".")&amp;" "&amp;SUBSTITUTE(ROUND((BO74)+5.1,1),",",".")&amp;"Z' fill='#FFFFFF' stroke='#2A3439' stroke-width='1.3'/&gt;","&lt;path d='M"&amp;SUBSTITUTE(ROUND(BN74,1),",",".")&amp;" "&amp;SUBSTITUTE(ROUND((BO74)-7.5,1),",",".")&amp;"L"&amp;SUBSTITUTE(ROUND((BN74)+7.5,1),",",".")&amp;" "&amp;SUBSTITUTE(ROUND(BO74,1),",",".")&amp;"L"&amp;SUBSTITUTE(ROUND(BN74,1),",",".")&amp;" "&amp;SUBSTITUTE(ROUND((BO74)+7.5,1),",",".")&amp;"L"&amp;SUBSTITUTE(ROUND((BN74)-7.5,1),",",".")&amp;" "&amp;SUBSTITUTE(ROUND(BO74,1),",",".")&amp;"Z' fill='#F5F5F5' stroke='#2A3439' stroke-width='1.3'/&gt;")))&amp;"&lt;text x='"&amp;SUBSTITUTE(ROUND(BN74+9,1),",",".")&amp;"' y='"&amp;SUBSTITUTE(ROUND(BO74-8,1),",",".")&amp;"'&gt;"&amp;BS74&amp;"&lt;/text&gt;","")</f>
        <v/>
      </c>
      <c r="BU74" s="58">
        <f>IF(BK74=1,IF(BP74="Motriz","&lt;circle cx='"&amp;SUBSTITUTE(ROUND(728,1),",",".")&amp;"' cy='"&amp;SUBSTITUTE(ROUND(602.8,1),",",".")&amp;"' r='4.3' fill='#2A3439' stroke='#2A3439' stroke-width='1.3'/&gt;",IF(BP74="Enlace","&lt;rect x='"&amp;SUBSTITUTE(ROUND((728)-3.96,1),",",".")&amp;"' y='"&amp;SUBSTITUTE(ROUND((602.8)-3.96,1),",",".")&amp;"' width='7.92' height='7.92' fill='#6699CC' stroke='#2A3439' stroke-width='1.3'/&gt;",IF(BP74="Resultado","&lt;path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CB74" s="58" t="n">
        <v>35</v>
      </c>
      <c r="CC74" s="58">
        <f>IF(AND($CC$4=1,CB74&lt;=nVariables),1,0)</f>
        <v/>
      </c>
      <c r="CD74" s="58">
        <f>IF(CC74=1,'M5'!$F44,"")</f>
        <v/>
      </c>
      <c r="CE74" s="58">
        <f>IF(CC74=1,'M5'!$E44,"")</f>
        <v/>
      </c>
      <c r="CF74" s="58">
        <f>IF(CC74=1,90+CD74*$CC$22,"")</f>
        <v/>
      </c>
      <c r="CG74" s="58">
        <f>IF(CC74=1,574-CE74*$CC$23,"")</f>
        <v/>
      </c>
      <c r="CH74" s="58">
        <f>IF(CC74=1,'M5'!$I44,"")</f>
        <v/>
      </c>
      <c r="CI74" s="58">
        <f>IF(CC74=1,IF(CH74="Motriz","#2A3439",IF(CH74="Enlace","#6699CC",IF(CH74="Resultado","#FFFFFF","#F5F5F5"))),"")</f>
        <v/>
      </c>
      <c r="CJ74" s="58">
        <f>IF(CC74=1,IF(SUMPRODUCT((CD$39:CD73=CD74)*(CE$39:CE73=CE74))=0,1,0),0)</f>
        <v/>
      </c>
      <c r="CK74" s="58">
        <f>IF(CJ74=1,35&amp;IF(AND(CD75=CD74,CE75=CE74),","&amp;36,"")&amp;IF(AND(CD76=CD74,CE76=CE74),","&amp;37,"")&amp;IF(AND(CD77=CD74,CE77=CE74),","&amp;38,"")&amp;IF(AND(CD78=CD74,CE78=CE74),","&amp;39,"")&amp;IF(AND(CD79=CD74,CE79=CE74),","&amp;40,""),"")</f>
        <v/>
      </c>
      <c r="CL74" s="58">
        <f>IF(CJ74=1,IF(CH74="Motriz","&lt;circle cx='"&amp;SUBSTITUTE(ROUND(CF74,1),",",".")&amp;"' cy='"&amp;SUBSTITUTE(ROUND(CG74,1),",",".")&amp;"' r='6' fill='#2A3439' stroke='#2A3439' stroke-width='1.3'/&gt;",IF(CH74="Enlace","&lt;rect x='"&amp;SUBSTITUTE(ROUND((CF74)-5.52,1),",",".")&amp;"' y='"&amp;SUBSTITUTE(ROUND((CG74)-5.52,1),",",".")&amp;"' width='11.04' height='11.04' fill='#6699CC' stroke='#2A3439' stroke-width='1.3'/&gt;",IF(CH74="Resultado","&lt;path d='M"&amp;SUBSTITUTE(ROUND(CF74,1),",",".")&amp;" "&amp;SUBSTITUTE(ROUND((CG74)-6.9,1),",",".")&amp;"L"&amp;SUBSTITUTE(ROUND((CF74)+6.3,1),",",".")&amp;" "&amp;SUBSTITUTE(ROUND((CG74)+5.1,1),",",".")&amp;"L"&amp;SUBSTITUTE(ROUND((CF74)-6.3,1),",",".")&amp;" "&amp;SUBSTITUTE(ROUND((CG74)+5.1,1),",",".")&amp;"Z' fill='#FFFFFF' stroke='#2A3439' stroke-width='1.3'/&gt;","&lt;path d='M"&amp;SUBSTITUTE(ROUND(CF74,1),",",".")&amp;" "&amp;SUBSTITUTE(ROUND((CG74)-7.5,1),",",".")&amp;"L"&amp;SUBSTITUTE(ROUND((CF74)+7.5,1),",",".")&amp;" "&amp;SUBSTITUTE(ROUND(CG74,1),",",".")&amp;"L"&amp;SUBSTITUTE(ROUND(CF74,1),",",".")&amp;" "&amp;SUBSTITUTE(ROUND((CG74)+7.5,1),",",".")&amp;"L"&amp;SUBSTITUTE(ROUND((CF74)-7.5,1),",",".")&amp;" "&amp;SUBSTITUTE(ROUND(CG74,1),",",".")&amp;"Z' fill='#F5F5F5' stroke='#2A3439' stroke-width='1.3'/&gt;")))&amp;"&lt;text x='"&amp;SUBSTITUTE(ROUND(CF74+9,1),",",".")&amp;"' y='"&amp;SUBSTITUTE(ROUND(CG74-8,1),",",".")&amp;"'&gt;"&amp;CK74&amp;"&lt;/text&gt;","")</f>
        <v/>
      </c>
      <c r="CM74" s="58">
        <f>IF(CC74=1,IF(CH74="Motriz","&lt;circle cx='"&amp;SUBSTITUTE(ROUND(728,1),",",".")&amp;"' cy='"&amp;SUBSTITUTE(ROUND(602.8,1),",",".")&amp;"' r='4.3' fill='#2A3439' stroke='#2A3439' stroke-width='1.3'/&gt;",IF(CH74="Enlace","&lt;rect x='"&amp;SUBSTITUTE(ROUND((728)-3.96,1),",",".")&amp;"' y='"&amp;SUBSTITUTE(ROUND((602.8)-3.96,1),",",".")&amp;"' width='7.92' height='7.92' fill='#6699CC' stroke='#2A3439' stroke-width='1.3'/&gt;",IF(CH74="Resultado","&lt;path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CT74" s="58" t="n">
        <v>35</v>
      </c>
      <c r="CU74" s="58">
        <f>IF(AND($CU$4=1,CT74&lt;=nVariables),1,0)</f>
        <v/>
      </c>
      <c r="CV74" s="58">
        <f>IF(CU74=1,'M6'!$F44,"")</f>
        <v/>
      </c>
      <c r="CW74" s="58">
        <f>IF(CU74=1,'M6'!$E44,"")</f>
        <v/>
      </c>
      <c r="CX74" s="58">
        <f>IF(CU74=1,90+CV74*$CU$22,"")</f>
        <v/>
      </c>
      <c r="CY74" s="58">
        <f>IF(CU74=1,574-CW74*$CU$23,"")</f>
        <v/>
      </c>
      <c r="CZ74" s="58">
        <f>IF(CU74=1,'M6'!$I44,"")</f>
        <v/>
      </c>
      <c r="DA74" s="58">
        <f>IF(CU74=1,IF(CZ74="Motriz","#2A3439",IF(CZ74="Enlace","#6699CC",IF(CZ74="Resultado","#FFFFFF","#F5F5F5"))),"")</f>
        <v/>
      </c>
      <c r="DB74" s="58">
        <f>IF(CU74=1,IF(SUMPRODUCT((CV$39:CV73=CV74)*(CW$39:CW73=CW74))=0,1,0),0)</f>
        <v/>
      </c>
      <c r="DC74" s="58">
        <f>IF(DB74=1,35&amp;IF(AND(CV75=CV74,CW75=CW74),","&amp;36,"")&amp;IF(AND(CV76=CV74,CW76=CW74),","&amp;37,"")&amp;IF(AND(CV77=CV74,CW77=CW74),","&amp;38,"")&amp;IF(AND(CV78=CV74,CW78=CW74),","&amp;39,"")&amp;IF(AND(CV79=CV74,CW79=CW74),","&amp;40,""),"")</f>
        <v/>
      </c>
      <c r="DD74" s="58">
        <f>IF(DB74=1,IF(CZ74="Motriz","&lt;circle cx='"&amp;SUBSTITUTE(ROUND(CX74,1),",",".")&amp;"' cy='"&amp;SUBSTITUTE(ROUND(CY74,1),",",".")&amp;"' r='6' fill='#2A3439' stroke='#2A3439' stroke-width='1.3'/&gt;",IF(CZ74="Enlace","&lt;rect x='"&amp;SUBSTITUTE(ROUND((CX74)-5.52,1),",",".")&amp;"' y='"&amp;SUBSTITUTE(ROUND((CY74)-5.52,1),",",".")&amp;"' width='11.04' height='11.04' fill='#6699CC' stroke='#2A3439' stroke-width='1.3'/&gt;",IF(CZ74="Resultado","&lt;path d='M"&amp;SUBSTITUTE(ROUND(CX74,1),",",".")&amp;" "&amp;SUBSTITUTE(ROUND((CY74)-6.9,1),",",".")&amp;"L"&amp;SUBSTITUTE(ROUND((CX74)+6.3,1),",",".")&amp;" "&amp;SUBSTITUTE(ROUND((CY74)+5.1,1),",",".")&amp;"L"&amp;SUBSTITUTE(ROUND((CX74)-6.3,1),",",".")&amp;" "&amp;SUBSTITUTE(ROUND((CY74)+5.1,1),",",".")&amp;"Z' fill='#FFFFFF' stroke='#2A3439' stroke-width='1.3'/&gt;","&lt;path d='M"&amp;SUBSTITUTE(ROUND(CX74,1),",",".")&amp;" "&amp;SUBSTITUTE(ROUND((CY74)-7.5,1),",",".")&amp;"L"&amp;SUBSTITUTE(ROUND((CX74)+7.5,1),",",".")&amp;" "&amp;SUBSTITUTE(ROUND(CY74,1),",",".")&amp;"L"&amp;SUBSTITUTE(ROUND(CX74,1),",",".")&amp;" "&amp;SUBSTITUTE(ROUND((CY74)+7.5,1),",",".")&amp;"L"&amp;SUBSTITUTE(ROUND((CX74)-7.5,1),",",".")&amp;" "&amp;SUBSTITUTE(ROUND(CY74,1),",",".")&amp;"Z' fill='#F5F5F5' stroke='#2A3439' stroke-width='1.3'/&gt;")))&amp;"&lt;text x='"&amp;SUBSTITUTE(ROUND(CX74+9,1),",",".")&amp;"' y='"&amp;SUBSTITUTE(ROUND(CY74-8,1),",",".")&amp;"'&gt;"&amp;DC74&amp;"&lt;/text&gt;","")</f>
        <v/>
      </c>
      <c r="DE74" s="58">
        <f>IF(CU74=1,IF(CZ74="Motriz","&lt;circle cx='"&amp;SUBSTITUTE(ROUND(728,1),",",".")&amp;"' cy='"&amp;SUBSTITUTE(ROUND(602.8,1),",",".")&amp;"' r='4.3' fill='#2A3439' stroke='#2A3439' stroke-width='1.3'/&gt;",IF(CZ74="Enlace","&lt;rect x='"&amp;SUBSTITUTE(ROUND((728)-3.96,1),",",".")&amp;"' y='"&amp;SUBSTITUTE(ROUND((602.8)-3.96,1),",",".")&amp;"' width='7.92' height='7.92' fill='#6699CC' stroke='#2A3439' stroke-width='1.3'/&gt;",IF(CZ74="Resultado","&lt;path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DL74" s="58" t="n">
        <v>23</v>
      </c>
      <c r="DM74" s="58">
        <f>IF(AND($DM$4=1,DL74&lt;=nVariables),IF('M6'!$I32="Resultado","E",IF('M6'!$I32="Enlace","L",IF('M6'!$I32="Motriz","R",IF('M6'!$I32="Autónoma","A","")))),"")</f>
        <v/>
      </c>
      <c r="DN74" s="58">
        <f>IF(DM74&lt;&gt;"",COUNTIF($DM$52:DM74,DM74),"")</f>
        <v/>
      </c>
      <c r="DO74" s="58">
        <f>IF(DM74&lt;&gt;"",SUBSTITUTE(SUBSTITUTE(SUBSTITUTE(SUBSTITUTE(SUBSTITUTE(SUBSTITUTE(SUBSTITUTE(TRIM(CLEAN(IF(LEN(23&amp;" · "&amp;$D62)&gt;30,LEFT(23&amp;" · "&amp;$D62,29)&amp;"…",23&amp;" · "&amp;$D62))),"&amp;","&amp;amp;"),"&lt;","&amp;lt;"),"&gt;","&amp;gt;"),CHAR(34),"&amp;quot;"),CHAR(10)," "),CHAR(9)," "),CHAR(13)," "),"")</f>
        <v/>
      </c>
      <c r="DP74" s="58">
        <f>IF(DM74&lt;&gt;"",IF($E62&lt;&gt;"",$E62,IF(DM74="E","(efecto · indicador de resultado)",IF(DM74="L","(causa directa · riesgo)",IF(DM74="R","CAUSA RAÍZ · componente del proyecto","(fuera del alcance)")))),"")</f>
        <v/>
      </c>
      <c r="DQ74" s="58">
        <f>IF(DM74&lt;&gt;"",IF(LEN(DP74)&gt;74,LEFT(DP74,73)&amp;"…",DP74),"")</f>
        <v/>
      </c>
      <c r="DR74" s="58">
        <f>IF(DM74&lt;&gt;"",IF(LEN(DQ74)&lt;=37,LEN(DQ74)+1,IFERROR(FIND("~",SUBSTITUTE(LEFT(DQ74,38)," ","~",LEN(LEFT(DQ74,38))-LEN(SUBSTITUTE(LEFT(DQ74,38)," ","")))),38)),"")</f>
        <v/>
      </c>
      <c r="DS74" s="58">
        <f>IF(DM74&lt;&gt;"",SUBSTITUTE(SUBSTITUTE(SUBSTITUTE(SUBSTITUTE(SUBSTITUTE(SUBSTITUTE(SUBSTITUTE(TRIM(CLEAN(TRIM(LEFT(DQ74,DR74-1)))),"&amp;","&amp;amp;"),"&lt;","&amp;lt;"),"&gt;","&amp;gt;"),CHAR(34),"&amp;quot;"),CHAR(10)," "),CHAR(9)," "),CHAR(13)," "),"")</f>
        <v/>
      </c>
      <c r="DT74" s="58">
        <f>IF(DM74&lt;&gt;"",SUBSTITUTE(SUBSTITUTE(SUBSTITUTE(SUBSTITUTE(SUBSTITUTE(SUBSTITUTE(SUBSTITUTE(TRIM(CLEAN(IF(LEN(TRIM(MID(DQ74,DR74,80)))&gt;37,LEFT(TRIM(MID(DQ74,DR74,80)),36)&amp;"…",TRIM(MID(DQ74,DR74,80))))),"&amp;","&amp;amp;"),"&lt;","&amp;lt;"),"&gt;","&amp;gt;"),CHAR(34),"&amp;quot;"),CHAR(10)," "),CHAR(9)," "),CHAR(13)," "),"")</f>
        <v/>
      </c>
      <c r="DU74" s="58">
        <f>IF(DM74&lt;&gt;"",(1200-(MIN(5,IF(DM74="E",$DM$5,IF(DM74="L",$DM$8,IF(DM74="R",$DM$11,$DM$14)))-INT((DN74-1)/5)*5)*216+(MIN(5,IF(DM74="E",$DM$5,IF(DM74="L",$DM$8,IF(DM74="R",$DM$11,$DM$14)))-INT((DN74-1)/5)*5)-1)*14))/2+MOD(DN74-1,5)*(216+14),"")</f>
        <v/>
      </c>
      <c r="DV74" s="58">
        <f>IF(DM74&lt;&gt;"",IF(DM74="E",$DM$17,IF(DM74="L",$DM$21,IF(DM74="R",$DM$23,$DM$25)))+24+INT((DN74-1)/5)*(64+12),"")</f>
        <v/>
      </c>
      <c r="DW74" s="58">
        <f>IF(DM74&lt;&gt;"","&lt;rect x='"&amp;SUBSTITUTE(ROUND(DU74,1),",",".")&amp;"' y='"&amp;SUBSTITUTE(ROUND(DV74,1),",",".")&amp;"' width='216' height='64' rx='9' fill='"&amp;IF(DM74="E","#B9D9EB",IF(DM74="L","#9EB9D4",IF(DM74="R","#6699CC","#F5F5F5")))&amp;"' stroke='#2A3439' stroke-width='1'"&amp;IF(DM74="A"," stroke-dasharray='5 3'","")&amp;"/&gt;"&amp;"&lt;text x='"&amp;SUBSTITUTE(ROUND((DU74+108),1),",",".")&amp;"' y='"&amp;SUBSTITUTE(ROUND(DV74+20,1),",",".")&amp;"' font-size='12' font-weight='bold'&gt;"&amp;DO74&amp;"&lt;/text&gt;"&amp;"&lt;text x='"&amp;SUBSTITUTE(ROUND((DU74+108),1),",",".")&amp;"' y='"&amp;SUBSTITUTE(ROUND(DV74+38,1),",",".")&amp;"' font-size='10'&gt;"&amp;DS74&amp;"&lt;/text&gt;"&amp;"&lt;text x='"&amp;SUBSTITUTE(ROUND((DU74+108),1),",",".")&amp;"' y='"&amp;SUBSTITUTE(ROUND(DV74+53,1),",",".")&amp;"' font-size='10'&gt;"&amp;DT74&amp;"&lt;/text&gt;","")</f>
        <v/>
      </c>
    </row>
    <row r="75">
      <c r="A75" s="58" t="n">
        <v>36</v>
      </c>
      <c r="B75" s="58">
        <f>IF($A75&lt;=nVariables,SUBSTITUTE(SUBSTITUTE(SUBSTITUTE(SUBSTITUTE(SUBSTITUTE(SUBSTITUTE(SUBSTITUTE(TRIM(CLEAN(IF(LEN(TRIM(M!$B45))&gt;46,LEFT(TRIM(M!$B45),45)&amp;"…",TRIM(M!$B45)))),"&amp;","&amp;amp;"),"&lt;","&amp;lt;"),"&gt;","&amp;gt;"),CHAR(34),"&amp;quot;"),CHAR(10)," "),CHAR(9)," "),CHAR(13)," "),"")</f>
        <v/>
      </c>
      <c r="C75" s="58">
        <f>IF($A75&lt;=nVariables,$A75&amp;". "&amp;B75,"")</f>
        <v/>
      </c>
      <c r="D75" s="58">
        <f>IF($A75&lt;=nVariables,IF(TRIM(M!$C45)&lt;&gt;"",TRIM(M!$C45),IF(LEN(TRIM(M!$B45))&gt;24,LEFT(TRIM(M!$B45),23)&amp;"…",TRIM(M!$B45))),"")</f>
        <v/>
      </c>
      <c r="E75" s="58">
        <f>IF($A75&lt;=nVariables,TRIM('Árbol de Problemas'!$F54),"")</f>
        <v/>
      </c>
      <c r="H75" s="58" t="n">
        <v>36</v>
      </c>
      <c r="I75" s="58">
        <f>IF(AND($I$4=1,H75&lt;=nVariables),1,0)</f>
        <v/>
      </c>
      <c r="J75" s="58">
        <f>IF(I75=1,'M1'!$F45,"")</f>
        <v/>
      </c>
      <c r="K75" s="58">
        <f>IF(I75=1,'M1'!$E45,"")</f>
        <v/>
      </c>
      <c r="L75" s="58">
        <f>IF(I75=1,90+J75*$I$22,"")</f>
        <v/>
      </c>
      <c r="M75" s="58">
        <f>IF(I75=1,574-K75*$I$23,"")</f>
        <v/>
      </c>
      <c r="N75" s="58">
        <f>IF(I75=1,'M1'!$I45,"")</f>
        <v/>
      </c>
      <c r="O75" s="58">
        <f>IF(I75=1,IF(N75="Motriz","#2A3439",IF(N75="Enlace","#6699CC",IF(N75="Resultado","#FFFFFF","#F5F5F5"))),"")</f>
        <v/>
      </c>
      <c r="P75" s="58">
        <f>IF(I75=1,IF(SUMPRODUCT((J$39:J74=J75)*(K$39:K74=K75))=0,1,0),0)</f>
        <v/>
      </c>
      <c r="Q75" s="58">
        <f>IF(P75=1,36&amp;IF(AND(J76=J75,K76=K75),","&amp;37,"")&amp;IF(AND(J77=J75,K77=K75),","&amp;38,"")&amp;IF(AND(J78=J75,K78=K75),","&amp;39,"")&amp;IF(AND(J79=J75,K79=K75),","&amp;40,""),"")</f>
        <v/>
      </c>
      <c r="R75" s="58">
        <f>IF(P75=1,IF(N75="Motriz","&lt;circle cx='"&amp;SUBSTITUTE(ROUND(L75,1),",",".")&amp;"' cy='"&amp;SUBSTITUTE(ROUND(M75,1),",",".")&amp;"' r='6' fill='#2A3439' stroke='#2A3439' stroke-width='1.3'/&gt;",IF(N75="Enlace","&lt;rect x='"&amp;SUBSTITUTE(ROUND((L75)-5.52,1),",",".")&amp;"' y='"&amp;SUBSTITUTE(ROUND((M75)-5.52,1),",",".")&amp;"' width='11.04' height='11.04' fill='#6699CC' stroke='#2A3439' stroke-width='1.3'/&gt;",IF(N75="Resultado","&lt;path d='M"&amp;SUBSTITUTE(ROUND(L75,1),",",".")&amp;" "&amp;SUBSTITUTE(ROUND((M75)-6.9,1),",",".")&amp;"L"&amp;SUBSTITUTE(ROUND((L75)+6.3,1),",",".")&amp;" "&amp;SUBSTITUTE(ROUND((M75)+5.1,1),",",".")&amp;"L"&amp;SUBSTITUTE(ROUND((L75)-6.3,1),",",".")&amp;" "&amp;SUBSTITUTE(ROUND((M75)+5.1,1),",",".")&amp;"Z' fill='#FFFFFF' stroke='#2A3439' stroke-width='1.3'/&gt;","&lt;path d='M"&amp;SUBSTITUTE(ROUND(L75,1),",",".")&amp;" "&amp;SUBSTITUTE(ROUND((M75)-7.5,1),",",".")&amp;"L"&amp;SUBSTITUTE(ROUND((L75)+7.5,1),",",".")&amp;" "&amp;SUBSTITUTE(ROUND(M75,1),",",".")&amp;"L"&amp;SUBSTITUTE(ROUND(L75,1),",",".")&amp;" "&amp;SUBSTITUTE(ROUND((M75)+7.5,1),",",".")&amp;"L"&amp;SUBSTITUTE(ROUND((L75)-7.5,1),",",".")&amp;" "&amp;SUBSTITUTE(ROUND(M75,1),",",".")&amp;"Z' fill='#F5F5F5' stroke='#2A3439' stroke-width='1.3'/&gt;")))&amp;"&lt;text x='"&amp;SUBSTITUTE(ROUND(L75+9,1),",",".")&amp;"' y='"&amp;SUBSTITUTE(ROUND(M75-8,1),",",".")&amp;"'&gt;"&amp;Q75&amp;"&lt;/text&gt;","")</f>
        <v/>
      </c>
      <c r="S75" s="58">
        <f>IF(I75=1,IF(N75="Motriz","&lt;circle cx='"&amp;SUBSTITUTE(ROUND(728,1),",",".")&amp;"' cy='"&amp;SUBSTITUTE(ROUND(617,1),",",".")&amp;"' r='4.3' fill='#2A3439' stroke='#2A3439' stroke-width='1.3'/&gt;",IF(N75="Enlace","&lt;rect x='"&amp;SUBSTITUTE(ROUND((728)-3.96,1),",",".")&amp;"' y='"&amp;SUBSTITUTE(ROUND((617)-3.96,1),",",".")&amp;"' width='7.92' height='7.92' fill='#6699CC' stroke='#2A3439' stroke-width='1.3'/&gt;",IF(N75="Resultado","&lt;path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Z75" s="58" t="n">
        <v>36</v>
      </c>
      <c r="AA75" s="58">
        <f>IF(AND($AA$4=1,Z75&lt;=nVariables),1,0)</f>
        <v/>
      </c>
      <c r="AB75" s="58">
        <f>IF(AA75=1,'M2'!$F45,"")</f>
        <v/>
      </c>
      <c r="AC75" s="58">
        <f>IF(AA75=1,'M2'!$E45,"")</f>
        <v/>
      </c>
      <c r="AD75" s="58">
        <f>IF(AA75=1,90+AB75*$AA$22,"")</f>
        <v/>
      </c>
      <c r="AE75" s="58">
        <f>IF(AA75=1,574-AC75*$AA$23,"")</f>
        <v/>
      </c>
      <c r="AF75" s="58">
        <f>IF(AA75=1,'M2'!$I45,"")</f>
        <v/>
      </c>
      <c r="AG75" s="58">
        <f>IF(AA75=1,IF(AF75="Motriz","#2A3439",IF(AF75="Enlace","#6699CC",IF(AF75="Resultado","#FFFFFF","#F5F5F5"))),"")</f>
        <v/>
      </c>
      <c r="AH75" s="58">
        <f>IF(AA75=1,IF(SUMPRODUCT((AB$39:AB74=AB75)*(AC$39:AC74=AC75))=0,1,0),0)</f>
        <v/>
      </c>
      <c r="AI75" s="58">
        <f>IF(AH75=1,36&amp;IF(AND(AB76=AB75,AC76=AC75),","&amp;37,"")&amp;IF(AND(AB77=AB75,AC77=AC75),","&amp;38,"")&amp;IF(AND(AB78=AB75,AC78=AC75),","&amp;39,"")&amp;IF(AND(AB79=AB75,AC79=AC75),","&amp;40,""),"")</f>
        <v/>
      </c>
      <c r="AJ75" s="58">
        <f>IF(AH75=1,IF(AF75="Motriz","&lt;circle cx='"&amp;SUBSTITUTE(ROUND(AD75,1),",",".")&amp;"' cy='"&amp;SUBSTITUTE(ROUND(AE75,1),",",".")&amp;"' r='6' fill='#2A3439' stroke='#2A3439' stroke-width='1.3'/&gt;",IF(AF75="Enlace","&lt;rect x='"&amp;SUBSTITUTE(ROUND((AD75)-5.52,1),",",".")&amp;"' y='"&amp;SUBSTITUTE(ROUND((AE75)-5.52,1),",",".")&amp;"' width='11.04' height='11.04' fill='#6699CC' stroke='#2A3439' stroke-width='1.3'/&gt;",IF(AF75="Resultado","&lt;path d='M"&amp;SUBSTITUTE(ROUND(AD75,1),",",".")&amp;" "&amp;SUBSTITUTE(ROUND((AE75)-6.9,1),",",".")&amp;"L"&amp;SUBSTITUTE(ROUND((AD75)+6.3,1),",",".")&amp;" "&amp;SUBSTITUTE(ROUND((AE75)+5.1,1),",",".")&amp;"L"&amp;SUBSTITUTE(ROUND((AD75)-6.3,1),",",".")&amp;" "&amp;SUBSTITUTE(ROUND((AE75)+5.1,1),",",".")&amp;"Z' fill='#FFFFFF' stroke='#2A3439' stroke-width='1.3'/&gt;","&lt;path d='M"&amp;SUBSTITUTE(ROUND(AD75,1),",",".")&amp;" "&amp;SUBSTITUTE(ROUND((AE75)-7.5,1),",",".")&amp;"L"&amp;SUBSTITUTE(ROUND((AD75)+7.5,1),",",".")&amp;" "&amp;SUBSTITUTE(ROUND(AE75,1),",",".")&amp;"L"&amp;SUBSTITUTE(ROUND(AD75,1),",",".")&amp;" "&amp;SUBSTITUTE(ROUND((AE75)+7.5,1),",",".")&amp;"L"&amp;SUBSTITUTE(ROUND((AD75)-7.5,1),",",".")&amp;" "&amp;SUBSTITUTE(ROUND(AE75,1),",",".")&amp;"Z' fill='#F5F5F5' stroke='#2A3439' stroke-width='1.3'/&gt;")))&amp;"&lt;text x='"&amp;SUBSTITUTE(ROUND(AD75+9,1),",",".")&amp;"' y='"&amp;SUBSTITUTE(ROUND(AE75-8,1),",",".")&amp;"'&gt;"&amp;AI75&amp;"&lt;/text&gt;","")</f>
        <v/>
      </c>
      <c r="AK75" s="58">
        <f>IF(AA75=1,IF(AF75="Motriz","&lt;circle cx='"&amp;SUBSTITUTE(ROUND(728,1),",",".")&amp;"' cy='"&amp;SUBSTITUTE(ROUND(617,1),",",".")&amp;"' r='4.3' fill='#2A3439' stroke='#2A3439' stroke-width='1.3'/&gt;",IF(AF75="Enlace","&lt;rect x='"&amp;SUBSTITUTE(ROUND((728)-3.96,1),",",".")&amp;"' y='"&amp;SUBSTITUTE(ROUND((617)-3.96,1),",",".")&amp;"' width='7.92' height='7.92' fill='#6699CC' stroke='#2A3439' stroke-width='1.3'/&gt;",IF(AF75="Resultado","&lt;path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AR75" s="58" t="n">
        <v>36</v>
      </c>
      <c r="AS75" s="58">
        <f>IF(AND($AS$4=1,AR75&lt;=nVariables),1,0)</f>
        <v/>
      </c>
      <c r="AT75" s="58">
        <f>IF(AS75=1,'M3'!$F45,"")</f>
        <v/>
      </c>
      <c r="AU75" s="58">
        <f>IF(AS75=1,'M3'!$E45,"")</f>
        <v/>
      </c>
      <c r="AV75" s="58">
        <f>IF(AS75=1,90+AT75*$AS$22,"")</f>
        <v/>
      </c>
      <c r="AW75" s="58">
        <f>IF(AS75=1,574-AU75*$AS$23,"")</f>
        <v/>
      </c>
      <c r="AX75" s="58">
        <f>IF(AS75=1,'M3'!$I45,"")</f>
        <v/>
      </c>
      <c r="AY75" s="58">
        <f>IF(AS75=1,IF(AX75="Motriz","#2A3439",IF(AX75="Enlace","#6699CC",IF(AX75="Resultado","#FFFFFF","#F5F5F5"))),"")</f>
        <v/>
      </c>
      <c r="AZ75" s="58">
        <f>IF(AS75=1,IF(SUMPRODUCT((AT$39:AT74=AT75)*(AU$39:AU74=AU75))=0,1,0),0)</f>
        <v/>
      </c>
      <c r="BA75" s="58">
        <f>IF(AZ75=1,36&amp;IF(AND(AT76=AT75,AU76=AU75),","&amp;37,"")&amp;IF(AND(AT77=AT75,AU77=AU75),","&amp;38,"")&amp;IF(AND(AT78=AT75,AU78=AU75),","&amp;39,"")&amp;IF(AND(AT79=AT75,AU79=AU75),","&amp;40,""),"")</f>
        <v/>
      </c>
      <c r="BB75" s="58">
        <f>IF(AZ75=1,IF(AX75="Motriz","&lt;circle cx='"&amp;SUBSTITUTE(ROUND(AV75,1),",",".")&amp;"' cy='"&amp;SUBSTITUTE(ROUND(AW75,1),",",".")&amp;"' r='6' fill='#2A3439' stroke='#2A3439' stroke-width='1.3'/&gt;",IF(AX75="Enlace","&lt;rect x='"&amp;SUBSTITUTE(ROUND((AV75)-5.52,1),",",".")&amp;"' y='"&amp;SUBSTITUTE(ROUND((AW75)-5.52,1),",",".")&amp;"' width='11.04' height='11.04' fill='#6699CC' stroke='#2A3439' stroke-width='1.3'/&gt;",IF(AX75="Resultado","&lt;path d='M"&amp;SUBSTITUTE(ROUND(AV75,1),",",".")&amp;" "&amp;SUBSTITUTE(ROUND((AW75)-6.9,1),",",".")&amp;"L"&amp;SUBSTITUTE(ROUND((AV75)+6.3,1),",",".")&amp;" "&amp;SUBSTITUTE(ROUND((AW75)+5.1,1),",",".")&amp;"L"&amp;SUBSTITUTE(ROUND((AV75)-6.3,1),",",".")&amp;" "&amp;SUBSTITUTE(ROUND((AW75)+5.1,1),",",".")&amp;"Z' fill='#FFFFFF' stroke='#2A3439' stroke-width='1.3'/&gt;","&lt;path d='M"&amp;SUBSTITUTE(ROUND(AV75,1),",",".")&amp;" "&amp;SUBSTITUTE(ROUND((AW75)-7.5,1),",",".")&amp;"L"&amp;SUBSTITUTE(ROUND((AV75)+7.5,1),",",".")&amp;" "&amp;SUBSTITUTE(ROUND(AW75,1),",",".")&amp;"L"&amp;SUBSTITUTE(ROUND(AV75,1),",",".")&amp;" "&amp;SUBSTITUTE(ROUND((AW75)+7.5,1),",",".")&amp;"L"&amp;SUBSTITUTE(ROUND((AV75)-7.5,1),",",".")&amp;" "&amp;SUBSTITUTE(ROUND(AW75,1),",",".")&amp;"Z' fill='#F5F5F5' stroke='#2A3439' stroke-width='1.3'/&gt;")))&amp;"&lt;text x='"&amp;SUBSTITUTE(ROUND(AV75+9,1),",",".")&amp;"' y='"&amp;SUBSTITUTE(ROUND(AW75-8,1),",",".")&amp;"'&gt;"&amp;BA75&amp;"&lt;/text&gt;","")</f>
        <v/>
      </c>
      <c r="BC75" s="58">
        <f>IF(AS75=1,IF(AX75="Motriz","&lt;circle cx='"&amp;SUBSTITUTE(ROUND(728,1),",",".")&amp;"' cy='"&amp;SUBSTITUTE(ROUND(617,1),",",".")&amp;"' r='4.3' fill='#2A3439' stroke='#2A3439' stroke-width='1.3'/&gt;",IF(AX75="Enlace","&lt;rect x='"&amp;SUBSTITUTE(ROUND((728)-3.96,1),",",".")&amp;"' y='"&amp;SUBSTITUTE(ROUND((617)-3.96,1),",",".")&amp;"' width='7.92' height='7.92' fill='#6699CC' stroke='#2A3439' stroke-width='1.3'/&gt;",IF(AX75="Resultado","&lt;path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BJ75" s="58" t="n">
        <v>36</v>
      </c>
      <c r="BK75" s="58">
        <f>IF(AND($BK$4=1,BJ75&lt;=nVariables),1,0)</f>
        <v/>
      </c>
      <c r="BL75" s="58">
        <f>IF(BK75=1,'M4'!$F45,"")</f>
        <v/>
      </c>
      <c r="BM75" s="58">
        <f>IF(BK75=1,'M4'!$E45,"")</f>
        <v/>
      </c>
      <c r="BN75" s="58">
        <f>IF(BK75=1,90+BL75*$BK$22,"")</f>
        <v/>
      </c>
      <c r="BO75" s="58">
        <f>IF(BK75=1,574-BM75*$BK$23,"")</f>
        <v/>
      </c>
      <c r="BP75" s="58">
        <f>IF(BK75=1,'M4'!$I45,"")</f>
        <v/>
      </c>
      <c r="BQ75" s="58">
        <f>IF(BK75=1,IF(BP75="Motriz","#2A3439",IF(BP75="Enlace","#6699CC",IF(BP75="Resultado","#FFFFFF","#F5F5F5"))),"")</f>
        <v/>
      </c>
      <c r="BR75" s="58">
        <f>IF(BK75=1,IF(SUMPRODUCT((BL$39:BL74=BL75)*(BM$39:BM74=BM75))=0,1,0),0)</f>
        <v/>
      </c>
      <c r="BS75" s="58">
        <f>IF(BR75=1,36&amp;IF(AND(BL76=BL75,BM76=BM75),","&amp;37,"")&amp;IF(AND(BL77=BL75,BM77=BM75),","&amp;38,"")&amp;IF(AND(BL78=BL75,BM78=BM75),","&amp;39,"")&amp;IF(AND(BL79=BL75,BM79=BM75),","&amp;40,""),"")</f>
        <v/>
      </c>
      <c r="BT75" s="58">
        <f>IF(BR75=1,IF(BP75="Motriz","&lt;circle cx='"&amp;SUBSTITUTE(ROUND(BN75,1),",",".")&amp;"' cy='"&amp;SUBSTITUTE(ROUND(BO75,1),",",".")&amp;"' r='6' fill='#2A3439' stroke='#2A3439' stroke-width='1.3'/&gt;",IF(BP75="Enlace","&lt;rect x='"&amp;SUBSTITUTE(ROUND((BN75)-5.52,1),",",".")&amp;"' y='"&amp;SUBSTITUTE(ROUND((BO75)-5.52,1),",",".")&amp;"' width='11.04' height='11.04' fill='#6699CC' stroke='#2A3439' stroke-width='1.3'/&gt;",IF(BP75="Resultado","&lt;path d='M"&amp;SUBSTITUTE(ROUND(BN75,1),",",".")&amp;" "&amp;SUBSTITUTE(ROUND((BO75)-6.9,1),",",".")&amp;"L"&amp;SUBSTITUTE(ROUND((BN75)+6.3,1),",",".")&amp;" "&amp;SUBSTITUTE(ROUND((BO75)+5.1,1),",",".")&amp;"L"&amp;SUBSTITUTE(ROUND((BN75)-6.3,1),",",".")&amp;" "&amp;SUBSTITUTE(ROUND((BO75)+5.1,1),",",".")&amp;"Z' fill='#FFFFFF' stroke='#2A3439' stroke-width='1.3'/&gt;","&lt;path d='M"&amp;SUBSTITUTE(ROUND(BN75,1),",",".")&amp;" "&amp;SUBSTITUTE(ROUND((BO75)-7.5,1),",",".")&amp;"L"&amp;SUBSTITUTE(ROUND((BN75)+7.5,1),",",".")&amp;" "&amp;SUBSTITUTE(ROUND(BO75,1),",",".")&amp;"L"&amp;SUBSTITUTE(ROUND(BN75,1),",",".")&amp;" "&amp;SUBSTITUTE(ROUND((BO75)+7.5,1),",",".")&amp;"L"&amp;SUBSTITUTE(ROUND((BN75)-7.5,1),",",".")&amp;" "&amp;SUBSTITUTE(ROUND(BO75,1),",",".")&amp;"Z' fill='#F5F5F5' stroke='#2A3439' stroke-width='1.3'/&gt;")))&amp;"&lt;text x='"&amp;SUBSTITUTE(ROUND(BN75+9,1),",",".")&amp;"' y='"&amp;SUBSTITUTE(ROUND(BO75-8,1),",",".")&amp;"'&gt;"&amp;BS75&amp;"&lt;/text&gt;","")</f>
        <v/>
      </c>
      <c r="BU75" s="58">
        <f>IF(BK75=1,IF(BP75="Motriz","&lt;circle cx='"&amp;SUBSTITUTE(ROUND(728,1),",",".")&amp;"' cy='"&amp;SUBSTITUTE(ROUND(617,1),",",".")&amp;"' r='4.3' fill='#2A3439' stroke='#2A3439' stroke-width='1.3'/&gt;",IF(BP75="Enlace","&lt;rect x='"&amp;SUBSTITUTE(ROUND((728)-3.96,1),",",".")&amp;"' y='"&amp;SUBSTITUTE(ROUND((617)-3.96,1),",",".")&amp;"' width='7.92' height='7.92' fill='#6699CC' stroke='#2A3439' stroke-width='1.3'/&gt;",IF(BP75="Resultado","&lt;path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CB75" s="58" t="n">
        <v>36</v>
      </c>
      <c r="CC75" s="58">
        <f>IF(AND($CC$4=1,CB75&lt;=nVariables),1,0)</f>
        <v/>
      </c>
      <c r="CD75" s="58">
        <f>IF(CC75=1,'M5'!$F45,"")</f>
        <v/>
      </c>
      <c r="CE75" s="58">
        <f>IF(CC75=1,'M5'!$E45,"")</f>
        <v/>
      </c>
      <c r="CF75" s="58">
        <f>IF(CC75=1,90+CD75*$CC$22,"")</f>
        <v/>
      </c>
      <c r="CG75" s="58">
        <f>IF(CC75=1,574-CE75*$CC$23,"")</f>
        <v/>
      </c>
      <c r="CH75" s="58">
        <f>IF(CC75=1,'M5'!$I45,"")</f>
        <v/>
      </c>
      <c r="CI75" s="58">
        <f>IF(CC75=1,IF(CH75="Motriz","#2A3439",IF(CH75="Enlace","#6699CC",IF(CH75="Resultado","#FFFFFF","#F5F5F5"))),"")</f>
        <v/>
      </c>
      <c r="CJ75" s="58">
        <f>IF(CC75=1,IF(SUMPRODUCT((CD$39:CD74=CD75)*(CE$39:CE74=CE75))=0,1,0),0)</f>
        <v/>
      </c>
      <c r="CK75" s="58">
        <f>IF(CJ75=1,36&amp;IF(AND(CD76=CD75,CE76=CE75),","&amp;37,"")&amp;IF(AND(CD77=CD75,CE77=CE75),","&amp;38,"")&amp;IF(AND(CD78=CD75,CE78=CE75),","&amp;39,"")&amp;IF(AND(CD79=CD75,CE79=CE75),","&amp;40,""),"")</f>
        <v/>
      </c>
      <c r="CL75" s="58">
        <f>IF(CJ75=1,IF(CH75="Motriz","&lt;circle cx='"&amp;SUBSTITUTE(ROUND(CF75,1),",",".")&amp;"' cy='"&amp;SUBSTITUTE(ROUND(CG75,1),",",".")&amp;"' r='6' fill='#2A3439' stroke='#2A3439' stroke-width='1.3'/&gt;",IF(CH75="Enlace","&lt;rect x='"&amp;SUBSTITUTE(ROUND((CF75)-5.52,1),",",".")&amp;"' y='"&amp;SUBSTITUTE(ROUND((CG75)-5.52,1),",",".")&amp;"' width='11.04' height='11.04' fill='#6699CC' stroke='#2A3439' stroke-width='1.3'/&gt;",IF(CH75="Resultado","&lt;path d='M"&amp;SUBSTITUTE(ROUND(CF75,1),",",".")&amp;" "&amp;SUBSTITUTE(ROUND((CG75)-6.9,1),",",".")&amp;"L"&amp;SUBSTITUTE(ROUND((CF75)+6.3,1),",",".")&amp;" "&amp;SUBSTITUTE(ROUND((CG75)+5.1,1),",",".")&amp;"L"&amp;SUBSTITUTE(ROUND((CF75)-6.3,1),",",".")&amp;" "&amp;SUBSTITUTE(ROUND((CG75)+5.1,1),",",".")&amp;"Z' fill='#FFFFFF' stroke='#2A3439' stroke-width='1.3'/&gt;","&lt;path d='M"&amp;SUBSTITUTE(ROUND(CF75,1),",",".")&amp;" "&amp;SUBSTITUTE(ROUND((CG75)-7.5,1),",",".")&amp;"L"&amp;SUBSTITUTE(ROUND((CF75)+7.5,1),",",".")&amp;" "&amp;SUBSTITUTE(ROUND(CG75,1),",",".")&amp;"L"&amp;SUBSTITUTE(ROUND(CF75,1),",",".")&amp;" "&amp;SUBSTITUTE(ROUND((CG75)+7.5,1),",",".")&amp;"L"&amp;SUBSTITUTE(ROUND((CF75)-7.5,1),",",".")&amp;" "&amp;SUBSTITUTE(ROUND(CG75,1),",",".")&amp;"Z' fill='#F5F5F5' stroke='#2A3439' stroke-width='1.3'/&gt;")))&amp;"&lt;text x='"&amp;SUBSTITUTE(ROUND(CF75+9,1),",",".")&amp;"' y='"&amp;SUBSTITUTE(ROUND(CG75-8,1),",",".")&amp;"'&gt;"&amp;CK75&amp;"&lt;/text&gt;","")</f>
        <v/>
      </c>
      <c r="CM75" s="58">
        <f>IF(CC75=1,IF(CH75="Motriz","&lt;circle cx='"&amp;SUBSTITUTE(ROUND(728,1),",",".")&amp;"' cy='"&amp;SUBSTITUTE(ROUND(617,1),",",".")&amp;"' r='4.3' fill='#2A3439' stroke='#2A3439' stroke-width='1.3'/&gt;",IF(CH75="Enlace","&lt;rect x='"&amp;SUBSTITUTE(ROUND((728)-3.96,1),",",".")&amp;"' y='"&amp;SUBSTITUTE(ROUND((617)-3.96,1),",",".")&amp;"' width='7.92' height='7.92' fill='#6699CC' stroke='#2A3439' stroke-width='1.3'/&gt;",IF(CH75="Resultado","&lt;path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CT75" s="58" t="n">
        <v>36</v>
      </c>
      <c r="CU75" s="58">
        <f>IF(AND($CU$4=1,CT75&lt;=nVariables),1,0)</f>
        <v/>
      </c>
      <c r="CV75" s="58">
        <f>IF(CU75=1,'M6'!$F45,"")</f>
        <v/>
      </c>
      <c r="CW75" s="58">
        <f>IF(CU75=1,'M6'!$E45,"")</f>
        <v/>
      </c>
      <c r="CX75" s="58">
        <f>IF(CU75=1,90+CV75*$CU$22,"")</f>
        <v/>
      </c>
      <c r="CY75" s="58">
        <f>IF(CU75=1,574-CW75*$CU$23,"")</f>
        <v/>
      </c>
      <c r="CZ75" s="58">
        <f>IF(CU75=1,'M6'!$I45,"")</f>
        <v/>
      </c>
      <c r="DA75" s="58">
        <f>IF(CU75=1,IF(CZ75="Motriz","#2A3439",IF(CZ75="Enlace","#6699CC",IF(CZ75="Resultado","#FFFFFF","#F5F5F5"))),"")</f>
        <v/>
      </c>
      <c r="DB75" s="58">
        <f>IF(CU75=1,IF(SUMPRODUCT((CV$39:CV74=CV75)*(CW$39:CW74=CW75))=0,1,0),0)</f>
        <v/>
      </c>
      <c r="DC75" s="58">
        <f>IF(DB75=1,36&amp;IF(AND(CV76=CV75,CW76=CW75),","&amp;37,"")&amp;IF(AND(CV77=CV75,CW77=CW75),","&amp;38,"")&amp;IF(AND(CV78=CV75,CW78=CW75),","&amp;39,"")&amp;IF(AND(CV79=CV75,CW79=CW75),","&amp;40,""),"")</f>
        <v/>
      </c>
      <c r="DD75" s="58">
        <f>IF(DB75=1,IF(CZ75="Motriz","&lt;circle cx='"&amp;SUBSTITUTE(ROUND(CX75,1),",",".")&amp;"' cy='"&amp;SUBSTITUTE(ROUND(CY75,1),",",".")&amp;"' r='6' fill='#2A3439' stroke='#2A3439' stroke-width='1.3'/&gt;",IF(CZ75="Enlace","&lt;rect x='"&amp;SUBSTITUTE(ROUND((CX75)-5.52,1),",",".")&amp;"' y='"&amp;SUBSTITUTE(ROUND((CY75)-5.52,1),",",".")&amp;"' width='11.04' height='11.04' fill='#6699CC' stroke='#2A3439' stroke-width='1.3'/&gt;",IF(CZ75="Resultado","&lt;path d='M"&amp;SUBSTITUTE(ROUND(CX75,1),",",".")&amp;" "&amp;SUBSTITUTE(ROUND((CY75)-6.9,1),",",".")&amp;"L"&amp;SUBSTITUTE(ROUND((CX75)+6.3,1),",",".")&amp;" "&amp;SUBSTITUTE(ROUND((CY75)+5.1,1),",",".")&amp;"L"&amp;SUBSTITUTE(ROUND((CX75)-6.3,1),",",".")&amp;" "&amp;SUBSTITUTE(ROUND((CY75)+5.1,1),",",".")&amp;"Z' fill='#FFFFFF' stroke='#2A3439' stroke-width='1.3'/&gt;","&lt;path d='M"&amp;SUBSTITUTE(ROUND(CX75,1),",",".")&amp;" "&amp;SUBSTITUTE(ROUND((CY75)-7.5,1),",",".")&amp;"L"&amp;SUBSTITUTE(ROUND((CX75)+7.5,1),",",".")&amp;" "&amp;SUBSTITUTE(ROUND(CY75,1),",",".")&amp;"L"&amp;SUBSTITUTE(ROUND(CX75,1),",",".")&amp;" "&amp;SUBSTITUTE(ROUND((CY75)+7.5,1),",",".")&amp;"L"&amp;SUBSTITUTE(ROUND((CX75)-7.5,1),",",".")&amp;" "&amp;SUBSTITUTE(ROUND(CY75,1),",",".")&amp;"Z' fill='#F5F5F5' stroke='#2A3439' stroke-width='1.3'/&gt;")))&amp;"&lt;text x='"&amp;SUBSTITUTE(ROUND(CX75+9,1),",",".")&amp;"' y='"&amp;SUBSTITUTE(ROUND(CY75-8,1),",",".")&amp;"'&gt;"&amp;DC75&amp;"&lt;/text&gt;","")</f>
        <v/>
      </c>
      <c r="DE75" s="58">
        <f>IF(CU75=1,IF(CZ75="Motriz","&lt;circle cx='"&amp;SUBSTITUTE(ROUND(728,1),",",".")&amp;"' cy='"&amp;SUBSTITUTE(ROUND(617,1),",",".")&amp;"' r='4.3' fill='#2A3439' stroke='#2A3439' stroke-width='1.3'/&gt;",IF(CZ75="Enlace","&lt;rect x='"&amp;SUBSTITUTE(ROUND((728)-3.96,1),",",".")&amp;"' y='"&amp;SUBSTITUTE(ROUND((617)-3.96,1),",",".")&amp;"' width='7.92' height='7.92' fill='#6699CC' stroke='#2A3439' stroke-width='1.3'/&gt;",IF(CZ75="Resultado","&lt;path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DL75" s="58" t="n">
        <v>24</v>
      </c>
      <c r="DM75" s="58">
        <f>IF(AND($DM$4=1,DL75&lt;=nVariables),IF('M6'!$I33="Resultado","E",IF('M6'!$I33="Enlace","L",IF('M6'!$I33="Motriz","R",IF('M6'!$I33="Autónoma","A","")))),"")</f>
        <v/>
      </c>
      <c r="DN75" s="58">
        <f>IF(DM75&lt;&gt;"",COUNTIF($DM$52:DM75,DM75),"")</f>
        <v/>
      </c>
      <c r="DO75" s="58">
        <f>IF(DM75&lt;&gt;"",SUBSTITUTE(SUBSTITUTE(SUBSTITUTE(SUBSTITUTE(SUBSTITUTE(SUBSTITUTE(SUBSTITUTE(TRIM(CLEAN(IF(LEN(24&amp;" · "&amp;$D63)&gt;30,LEFT(24&amp;" · "&amp;$D63,29)&amp;"…",24&amp;" · "&amp;$D63))),"&amp;","&amp;amp;"),"&lt;","&amp;lt;"),"&gt;","&amp;gt;"),CHAR(34),"&amp;quot;"),CHAR(10)," "),CHAR(9)," "),CHAR(13)," "),"")</f>
        <v/>
      </c>
      <c r="DP75" s="58">
        <f>IF(DM75&lt;&gt;"",IF($E63&lt;&gt;"",$E63,IF(DM75="E","(efecto · indicador de resultado)",IF(DM75="L","(causa directa · riesgo)",IF(DM75="R","CAUSA RAÍZ · componente del proyecto","(fuera del alcance)")))),"")</f>
        <v/>
      </c>
      <c r="DQ75" s="58">
        <f>IF(DM75&lt;&gt;"",IF(LEN(DP75)&gt;74,LEFT(DP75,73)&amp;"…",DP75),"")</f>
        <v/>
      </c>
      <c r="DR75" s="58">
        <f>IF(DM75&lt;&gt;"",IF(LEN(DQ75)&lt;=37,LEN(DQ75)+1,IFERROR(FIND("~",SUBSTITUTE(LEFT(DQ75,38)," ","~",LEN(LEFT(DQ75,38))-LEN(SUBSTITUTE(LEFT(DQ75,38)," ","")))),38)),"")</f>
        <v/>
      </c>
      <c r="DS75" s="58">
        <f>IF(DM75&lt;&gt;"",SUBSTITUTE(SUBSTITUTE(SUBSTITUTE(SUBSTITUTE(SUBSTITUTE(SUBSTITUTE(SUBSTITUTE(TRIM(CLEAN(TRIM(LEFT(DQ75,DR75-1)))),"&amp;","&amp;amp;"),"&lt;","&amp;lt;"),"&gt;","&amp;gt;"),CHAR(34),"&amp;quot;"),CHAR(10)," "),CHAR(9)," "),CHAR(13)," "),"")</f>
        <v/>
      </c>
      <c r="DT75" s="58">
        <f>IF(DM75&lt;&gt;"",SUBSTITUTE(SUBSTITUTE(SUBSTITUTE(SUBSTITUTE(SUBSTITUTE(SUBSTITUTE(SUBSTITUTE(TRIM(CLEAN(IF(LEN(TRIM(MID(DQ75,DR75,80)))&gt;37,LEFT(TRIM(MID(DQ75,DR75,80)),36)&amp;"…",TRIM(MID(DQ75,DR75,80))))),"&amp;","&amp;amp;"),"&lt;","&amp;lt;"),"&gt;","&amp;gt;"),CHAR(34),"&amp;quot;"),CHAR(10)," "),CHAR(9)," "),CHAR(13)," "),"")</f>
        <v/>
      </c>
      <c r="DU75" s="58">
        <f>IF(DM75&lt;&gt;"",(1200-(MIN(5,IF(DM75="E",$DM$5,IF(DM75="L",$DM$8,IF(DM75="R",$DM$11,$DM$14)))-INT((DN75-1)/5)*5)*216+(MIN(5,IF(DM75="E",$DM$5,IF(DM75="L",$DM$8,IF(DM75="R",$DM$11,$DM$14)))-INT((DN75-1)/5)*5)-1)*14))/2+MOD(DN75-1,5)*(216+14),"")</f>
        <v/>
      </c>
      <c r="DV75" s="58">
        <f>IF(DM75&lt;&gt;"",IF(DM75="E",$DM$17,IF(DM75="L",$DM$21,IF(DM75="R",$DM$23,$DM$25)))+24+INT((DN75-1)/5)*(64+12),"")</f>
        <v/>
      </c>
      <c r="DW75" s="58">
        <f>IF(DM75&lt;&gt;"","&lt;rect x='"&amp;SUBSTITUTE(ROUND(DU75,1),",",".")&amp;"' y='"&amp;SUBSTITUTE(ROUND(DV75,1),",",".")&amp;"' width='216' height='64' rx='9' fill='"&amp;IF(DM75="E","#B9D9EB",IF(DM75="L","#9EB9D4",IF(DM75="R","#6699CC","#F5F5F5")))&amp;"' stroke='#2A3439' stroke-width='1'"&amp;IF(DM75="A"," stroke-dasharray='5 3'","")&amp;"/&gt;"&amp;"&lt;text x='"&amp;SUBSTITUTE(ROUND((DU75+108),1),",",".")&amp;"' y='"&amp;SUBSTITUTE(ROUND(DV75+20,1),",",".")&amp;"' font-size='12' font-weight='bold'&gt;"&amp;DO75&amp;"&lt;/text&gt;"&amp;"&lt;text x='"&amp;SUBSTITUTE(ROUND((DU75+108),1),",",".")&amp;"' y='"&amp;SUBSTITUTE(ROUND(DV75+38,1),",",".")&amp;"' font-size='10'&gt;"&amp;DS75&amp;"&lt;/text&gt;"&amp;"&lt;text x='"&amp;SUBSTITUTE(ROUND((DU75+108),1),",",".")&amp;"' y='"&amp;SUBSTITUTE(ROUND(DV75+53,1),",",".")&amp;"' font-size='10'&gt;"&amp;DT75&amp;"&lt;/text&gt;","")</f>
        <v/>
      </c>
    </row>
    <row r="76">
      <c r="A76" s="58" t="n">
        <v>37</v>
      </c>
      <c r="B76" s="58">
        <f>IF($A76&lt;=nVariables,SUBSTITUTE(SUBSTITUTE(SUBSTITUTE(SUBSTITUTE(SUBSTITUTE(SUBSTITUTE(SUBSTITUTE(TRIM(CLEAN(IF(LEN(TRIM(M!$B46))&gt;46,LEFT(TRIM(M!$B46),45)&amp;"…",TRIM(M!$B46)))),"&amp;","&amp;amp;"),"&lt;","&amp;lt;"),"&gt;","&amp;gt;"),CHAR(34),"&amp;quot;"),CHAR(10)," "),CHAR(9)," "),CHAR(13)," "),"")</f>
        <v/>
      </c>
      <c r="C76" s="58">
        <f>IF($A76&lt;=nVariables,$A76&amp;". "&amp;B76,"")</f>
        <v/>
      </c>
      <c r="D76" s="58">
        <f>IF($A76&lt;=nVariables,IF(TRIM(M!$C46)&lt;&gt;"",TRIM(M!$C46),IF(LEN(TRIM(M!$B46))&gt;24,LEFT(TRIM(M!$B46),23)&amp;"…",TRIM(M!$B46))),"")</f>
        <v/>
      </c>
      <c r="E76" s="58">
        <f>IF($A76&lt;=nVariables,TRIM('Árbol de Problemas'!$F55),"")</f>
        <v/>
      </c>
      <c r="H76" s="58" t="n">
        <v>37</v>
      </c>
      <c r="I76" s="58">
        <f>IF(AND($I$4=1,H76&lt;=nVariables),1,0)</f>
        <v/>
      </c>
      <c r="J76" s="58">
        <f>IF(I76=1,'M1'!$F46,"")</f>
        <v/>
      </c>
      <c r="K76" s="58">
        <f>IF(I76=1,'M1'!$E46,"")</f>
        <v/>
      </c>
      <c r="L76" s="58">
        <f>IF(I76=1,90+J76*$I$22,"")</f>
        <v/>
      </c>
      <c r="M76" s="58">
        <f>IF(I76=1,574-K76*$I$23,"")</f>
        <v/>
      </c>
      <c r="N76" s="58">
        <f>IF(I76=1,'M1'!$I46,"")</f>
        <v/>
      </c>
      <c r="O76" s="58">
        <f>IF(I76=1,IF(N76="Motriz","#2A3439",IF(N76="Enlace","#6699CC",IF(N76="Resultado","#FFFFFF","#F5F5F5"))),"")</f>
        <v/>
      </c>
      <c r="P76" s="58">
        <f>IF(I76=1,IF(SUMPRODUCT((J$39:J75=J76)*(K$39:K75=K76))=0,1,0),0)</f>
        <v/>
      </c>
      <c r="Q76" s="58">
        <f>IF(P76=1,37&amp;IF(AND(J77=J76,K77=K76),","&amp;38,"")&amp;IF(AND(J78=J76,K78=K76),","&amp;39,"")&amp;IF(AND(J79=J76,K79=K76),","&amp;40,""),"")</f>
        <v/>
      </c>
      <c r="R76" s="58">
        <f>IF(P76=1,IF(N76="Motriz","&lt;circle cx='"&amp;SUBSTITUTE(ROUND(L76,1),",",".")&amp;"' cy='"&amp;SUBSTITUTE(ROUND(M76,1),",",".")&amp;"' r='6' fill='#2A3439' stroke='#2A3439' stroke-width='1.3'/&gt;",IF(N76="Enlace","&lt;rect x='"&amp;SUBSTITUTE(ROUND((L76)-5.52,1),",",".")&amp;"' y='"&amp;SUBSTITUTE(ROUND((M76)-5.52,1),",",".")&amp;"' width='11.04' height='11.04' fill='#6699CC' stroke='#2A3439' stroke-width='1.3'/&gt;",IF(N76="Resultado","&lt;path d='M"&amp;SUBSTITUTE(ROUND(L76,1),",",".")&amp;" "&amp;SUBSTITUTE(ROUND((M76)-6.9,1),",",".")&amp;"L"&amp;SUBSTITUTE(ROUND((L76)+6.3,1),",",".")&amp;" "&amp;SUBSTITUTE(ROUND((M76)+5.1,1),",",".")&amp;"L"&amp;SUBSTITUTE(ROUND((L76)-6.3,1),",",".")&amp;" "&amp;SUBSTITUTE(ROUND((M76)+5.1,1),",",".")&amp;"Z' fill='#FFFFFF' stroke='#2A3439' stroke-width='1.3'/&gt;","&lt;path d='M"&amp;SUBSTITUTE(ROUND(L76,1),",",".")&amp;" "&amp;SUBSTITUTE(ROUND((M76)-7.5,1),",",".")&amp;"L"&amp;SUBSTITUTE(ROUND((L76)+7.5,1),",",".")&amp;" "&amp;SUBSTITUTE(ROUND(M76,1),",",".")&amp;"L"&amp;SUBSTITUTE(ROUND(L76,1),",",".")&amp;" "&amp;SUBSTITUTE(ROUND((M76)+7.5,1),",",".")&amp;"L"&amp;SUBSTITUTE(ROUND((L76)-7.5,1),",",".")&amp;" "&amp;SUBSTITUTE(ROUND(M76,1),",",".")&amp;"Z' fill='#F5F5F5' stroke='#2A3439' stroke-width='1.3'/&gt;")))&amp;"&lt;text x='"&amp;SUBSTITUTE(ROUND(L76+9,1),",",".")&amp;"' y='"&amp;SUBSTITUTE(ROUND(M76-8,1),",",".")&amp;"'&gt;"&amp;Q76&amp;"&lt;/text&gt;","")</f>
        <v/>
      </c>
      <c r="S76" s="58">
        <f>IF(I76=1,IF(N76="Motriz","&lt;circle cx='"&amp;SUBSTITUTE(ROUND(728,1),",",".")&amp;"' cy='"&amp;SUBSTITUTE(ROUND(631.2,1),",",".")&amp;"' r='4.3' fill='#2A3439' stroke='#2A3439' stroke-width='1.3'/&gt;",IF(N76="Enlace","&lt;rect x='"&amp;SUBSTITUTE(ROUND((728)-3.96,1),",",".")&amp;"' y='"&amp;SUBSTITUTE(ROUND((631.2)-3.96,1),",",".")&amp;"' width='7.92' height='7.92' fill='#6699CC' stroke='#2A3439' stroke-width='1.3'/&gt;",IF(N76="Resultado","&lt;path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Z76" s="58" t="n">
        <v>37</v>
      </c>
      <c r="AA76" s="58">
        <f>IF(AND($AA$4=1,Z76&lt;=nVariables),1,0)</f>
        <v/>
      </c>
      <c r="AB76" s="58">
        <f>IF(AA76=1,'M2'!$F46,"")</f>
        <v/>
      </c>
      <c r="AC76" s="58">
        <f>IF(AA76=1,'M2'!$E46,"")</f>
        <v/>
      </c>
      <c r="AD76" s="58">
        <f>IF(AA76=1,90+AB76*$AA$22,"")</f>
        <v/>
      </c>
      <c r="AE76" s="58">
        <f>IF(AA76=1,574-AC76*$AA$23,"")</f>
        <v/>
      </c>
      <c r="AF76" s="58">
        <f>IF(AA76=1,'M2'!$I46,"")</f>
        <v/>
      </c>
      <c r="AG76" s="58">
        <f>IF(AA76=1,IF(AF76="Motriz","#2A3439",IF(AF76="Enlace","#6699CC",IF(AF76="Resultado","#FFFFFF","#F5F5F5"))),"")</f>
        <v/>
      </c>
      <c r="AH76" s="58">
        <f>IF(AA76=1,IF(SUMPRODUCT((AB$39:AB75=AB76)*(AC$39:AC75=AC76))=0,1,0),0)</f>
        <v/>
      </c>
      <c r="AI76" s="58">
        <f>IF(AH76=1,37&amp;IF(AND(AB77=AB76,AC77=AC76),","&amp;38,"")&amp;IF(AND(AB78=AB76,AC78=AC76),","&amp;39,"")&amp;IF(AND(AB79=AB76,AC79=AC76),","&amp;40,""),"")</f>
        <v/>
      </c>
      <c r="AJ76" s="58">
        <f>IF(AH76=1,IF(AF76="Motriz","&lt;circle cx='"&amp;SUBSTITUTE(ROUND(AD76,1),",",".")&amp;"' cy='"&amp;SUBSTITUTE(ROUND(AE76,1),",",".")&amp;"' r='6' fill='#2A3439' stroke='#2A3439' stroke-width='1.3'/&gt;",IF(AF76="Enlace","&lt;rect x='"&amp;SUBSTITUTE(ROUND((AD76)-5.52,1),",",".")&amp;"' y='"&amp;SUBSTITUTE(ROUND((AE76)-5.52,1),",",".")&amp;"' width='11.04' height='11.04' fill='#6699CC' stroke='#2A3439' stroke-width='1.3'/&gt;",IF(AF76="Resultado","&lt;path d='M"&amp;SUBSTITUTE(ROUND(AD76,1),",",".")&amp;" "&amp;SUBSTITUTE(ROUND((AE76)-6.9,1),",",".")&amp;"L"&amp;SUBSTITUTE(ROUND((AD76)+6.3,1),",",".")&amp;" "&amp;SUBSTITUTE(ROUND((AE76)+5.1,1),",",".")&amp;"L"&amp;SUBSTITUTE(ROUND((AD76)-6.3,1),",",".")&amp;" "&amp;SUBSTITUTE(ROUND((AE76)+5.1,1),",",".")&amp;"Z' fill='#FFFFFF' stroke='#2A3439' stroke-width='1.3'/&gt;","&lt;path d='M"&amp;SUBSTITUTE(ROUND(AD76,1),",",".")&amp;" "&amp;SUBSTITUTE(ROUND((AE76)-7.5,1),",",".")&amp;"L"&amp;SUBSTITUTE(ROUND((AD76)+7.5,1),",",".")&amp;" "&amp;SUBSTITUTE(ROUND(AE76,1),",",".")&amp;"L"&amp;SUBSTITUTE(ROUND(AD76,1),",",".")&amp;" "&amp;SUBSTITUTE(ROUND((AE76)+7.5,1),",",".")&amp;"L"&amp;SUBSTITUTE(ROUND((AD76)-7.5,1),",",".")&amp;" "&amp;SUBSTITUTE(ROUND(AE76,1),",",".")&amp;"Z' fill='#F5F5F5' stroke='#2A3439' stroke-width='1.3'/&gt;")))&amp;"&lt;text x='"&amp;SUBSTITUTE(ROUND(AD76+9,1),",",".")&amp;"' y='"&amp;SUBSTITUTE(ROUND(AE76-8,1),",",".")&amp;"'&gt;"&amp;AI76&amp;"&lt;/text&gt;","")</f>
        <v/>
      </c>
      <c r="AK76" s="58">
        <f>IF(AA76=1,IF(AF76="Motriz","&lt;circle cx='"&amp;SUBSTITUTE(ROUND(728,1),",",".")&amp;"' cy='"&amp;SUBSTITUTE(ROUND(631.2,1),",",".")&amp;"' r='4.3' fill='#2A3439' stroke='#2A3439' stroke-width='1.3'/&gt;",IF(AF76="Enlace","&lt;rect x='"&amp;SUBSTITUTE(ROUND((728)-3.96,1),",",".")&amp;"' y='"&amp;SUBSTITUTE(ROUND((631.2)-3.96,1),",",".")&amp;"' width='7.92' height='7.92' fill='#6699CC' stroke='#2A3439' stroke-width='1.3'/&gt;",IF(AF76="Resultado","&lt;path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AR76" s="58" t="n">
        <v>37</v>
      </c>
      <c r="AS76" s="58">
        <f>IF(AND($AS$4=1,AR76&lt;=nVariables),1,0)</f>
        <v/>
      </c>
      <c r="AT76" s="58">
        <f>IF(AS76=1,'M3'!$F46,"")</f>
        <v/>
      </c>
      <c r="AU76" s="58">
        <f>IF(AS76=1,'M3'!$E46,"")</f>
        <v/>
      </c>
      <c r="AV76" s="58">
        <f>IF(AS76=1,90+AT76*$AS$22,"")</f>
        <v/>
      </c>
      <c r="AW76" s="58">
        <f>IF(AS76=1,574-AU76*$AS$23,"")</f>
        <v/>
      </c>
      <c r="AX76" s="58">
        <f>IF(AS76=1,'M3'!$I46,"")</f>
        <v/>
      </c>
      <c r="AY76" s="58">
        <f>IF(AS76=1,IF(AX76="Motriz","#2A3439",IF(AX76="Enlace","#6699CC",IF(AX76="Resultado","#FFFFFF","#F5F5F5"))),"")</f>
        <v/>
      </c>
      <c r="AZ76" s="58">
        <f>IF(AS76=1,IF(SUMPRODUCT((AT$39:AT75=AT76)*(AU$39:AU75=AU76))=0,1,0),0)</f>
        <v/>
      </c>
      <c r="BA76" s="58">
        <f>IF(AZ76=1,37&amp;IF(AND(AT77=AT76,AU77=AU76),","&amp;38,"")&amp;IF(AND(AT78=AT76,AU78=AU76),","&amp;39,"")&amp;IF(AND(AT79=AT76,AU79=AU76),","&amp;40,""),"")</f>
        <v/>
      </c>
      <c r="BB76" s="58">
        <f>IF(AZ76=1,IF(AX76="Motriz","&lt;circle cx='"&amp;SUBSTITUTE(ROUND(AV76,1),",",".")&amp;"' cy='"&amp;SUBSTITUTE(ROUND(AW76,1),",",".")&amp;"' r='6' fill='#2A3439' stroke='#2A3439' stroke-width='1.3'/&gt;",IF(AX76="Enlace","&lt;rect x='"&amp;SUBSTITUTE(ROUND((AV76)-5.52,1),",",".")&amp;"' y='"&amp;SUBSTITUTE(ROUND((AW76)-5.52,1),",",".")&amp;"' width='11.04' height='11.04' fill='#6699CC' stroke='#2A3439' stroke-width='1.3'/&gt;",IF(AX76="Resultado","&lt;path d='M"&amp;SUBSTITUTE(ROUND(AV76,1),",",".")&amp;" "&amp;SUBSTITUTE(ROUND((AW76)-6.9,1),",",".")&amp;"L"&amp;SUBSTITUTE(ROUND((AV76)+6.3,1),",",".")&amp;" "&amp;SUBSTITUTE(ROUND((AW76)+5.1,1),",",".")&amp;"L"&amp;SUBSTITUTE(ROUND((AV76)-6.3,1),",",".")&amp;" "&amp;SUBSTITUTE(ROUND((AW76)+5.1,1),",",".")&amp;"Z' fill='#FFFFFF' stroke='#2A3439' stroke-width='1.3'/&gt;","&lt;path d='M"&amp;SUBSTITUTE(ROUND(AV76,1),",",".")&amp;" "&amp;SUBSTITUTE(ROUND((AW76)-7.5,1),",",".")&amp;"L"&amp;SUBSTITUTE(ROUND((AV76)+7.5,1),",",".")&amp;" "&amp;SUBSTITUTE(ROUND(AW76,1),",",".")&amp;"L"&amp;SUBSTITUTE(ROUND(AV76,1),",",".")&amp;" "&amp;SUBSTITUTE(ROUND((AW76)+7.5,1),",",".")&amp;"L"&amp;SUBSTITUTE(ROUND((AV76)-7.5,1),",",".")&amp;" "&amp;SUBSTITUTE(ROUND(AW76,1),",",".")&amp;"Z' fill='#F5F5F5' stroke='#2A3439' stroke-width='1.3'/&gt;")))&amp;"&lt;text x='"&amp;SUBSTITUTE(ROUND(AV76+9,1),",",".")&amp;"' y='"&amp;SUBSTITUTE(ROUND(AW76-8,1),",",".")&amp;"'&gt;"&amp;BA76&amp;"&lt;/text&gt;","")</f>
        <v/>
      </c>
      <c r="BC76" s="58">
        <f>IF(AS76=1,IF(AX76="Motriz","&lt;circle cx='"&amp;SUBSTITUTE(ROUND(728,1),",",".")&amp;"' cy='"&amp;SUBSTITUTE(ROUND(631.2,1),",",".")&amp;"' r='4.3' fill='#2A3439' stroke='#2A3439' stroke-width='1.3'/&gt;",IF(AX76="Enlace","&lt;rect x='"&amp;SUBSTITUTE(ROUND((728)-3.96,1),",",".")&amp;"' y='"&amp;SUBSTITUTE(ROUND((631.2)-3.96,1),",",".")&amp;"' width='7.92' height='7.92' fill='#6699CC' stroke='#2A3439' stroke-width='1.3'/&gt;",IF(AX76="Resultado","&lt;path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BJ76" s="58" t="n">
        <v>37</v>
      </c>
      <c r="BK76" s="58">
        <f>IF(AND($BK$4=1,BJ76&lt;=nVariables),1,0)</f>
        <v/>
      </c>
      <c r="BL76" s="58">
        <f>IF(BK76=1,'M4'!$F46,"")</f>
        <v/>
      </c>
      <c r="BM76" s="58">
        <f>IF(BK76=1,'M4'!$E46,"")</f>
        <v/>
      </c>
      <c r="BN76" s="58">
        <f>IF(BK76=1,90+BL76*$BK$22,"")</f>
        <v/>
      </c>
      <c r="BO76" s="58">
        <f>IF(BK76=1,574-BM76*$BK$23,"")</f>
        <v/>
      </c>
      <c r="BP76" s="58">
        <f>IF(BK76=1,'M4'!$I46,"")</f>
        <v/>
      </c>
      <c r="BQ76" s="58">
        <f>IF(BK76=1,IF(BP76="Motriz","#2A3439",IF(BP76="Enlace","#6699CC",IF(BP76="Resultado","#FFFFFF","#F5F5F5"))),"")</f>
        <v/>
      </c>
      <c r="BR76" s="58">
        <f>IF(BK76=1,IF(SUMPRODUCT((BL$39:BL75=BL76)*(BM$39:BM75=BM76))=0,1,0),0)</f>
        <v/>
      </c>
      <c r="BS76" s="58">
        <f>IF(BR76=1,37&amp;IF(AND(BL77=BL76,BM77=BM76),","&amp;38,"")&amp;IF(AND(BL78=BL76,BM78=BM76),","&amp;39,"")&amp;IF(AND(BL79=BL76,BM79=BM76),","&amp;40,""),"")</f>
        <v/>
      </c>
      <c r="BT76" s="58">
        <f>IF(BR76=1,IF(BP76="Motriz","&lt;circle cx='"&amp;SUBSTITUTE(ROUND(BN76,1),",",".")&amp;"' cy='"&amp;SUBSTITUTE(ROUND(BO76,1),",",".")&amp;"' r='6' fill='#2A3439' stroke='#2A3439' stroke-width='1.3'/&gt;",IF(BP76="Enlace","&lt;rect x='"&amp;SUBSTITUTE(ROUND((BN76)-5.52,1),",",".")&amp;"' y='"&amp;SUBSTITUTE(ROUND((BO76)-5.52,1),",",".")&amp;"' width='11.04' height='11.04' fill='#6699CC' stroke='#2A3439' stroke-width='1.3'/&gt;",IF(BP76="Resultado","&lt;path d='M"&amp;SUBSTITUTE(ROUND(BN76,1),",",".")&amp;" "&amp;SUBSTITUTE(ROUND((BO76)-6.9,1),",",".")&amp;"L"&amp;SUBSTITUTE(ROUND((BN76)+6.3,1),",",".")&amp;" "&amp;SUBSTITUTE(ROUND((BO76)+5.1,1),",",".")&amp;"L"&amp;SUBSTITUTE(ROUND((BN76)-6.3,1),",",".")&amp;" "&amp;SUBSTITUTE(ROUND((BO76)+5.1,1),",",".")&amp;"Z' fill='#FFFFFF' stroke='#2A3439' stroke-width='1.3'/&gt;","&lt;path d='M"&amp;SUBSTITUTE(ROUND(BN76,1),",",".")&amp;" "&amp;SUBSTITUTE(ROUND((BO76)-7.5,1),",",".")&amp;"L"&amp;SUBSTITUTE(ROUND((BN76)+7.5,1),",",".")&amp;" "&amp;SUBSTITUTE(ROUND(BO76,1),",",".")&amp;"L"&amp;SUBSTITUTE(ROUND(BN76,1),",",".")&amp;" "&amp;SUBSTITUTE(ROUND((BO76)+7.5,1),",",".")&amp;"L"&amp;SUBSTITUTE(ROUND((BN76)-7.5,1),",",".")&amp;" "&amp;SUBSTITUTE(ROUND(BO76,1),",",".")&amp;"Z' fill='#F5F5F5' stroke='#2A3439' stroke-width='1.3'/&gt;")))&amp;"&lt;text x='"&amp;SUBSTITUTE(ROUND(BN76+9,1),",",".")&amp;"' y='"&amp;SUBSTITUTE(ROUND(BO76-8,1),",",".")&amp;"'&gt;"&amp;BS76&amp;"&lt;/text&gt;","")</f>
        <v/>
      </c>
      <c r="BU76" s="58">
        <f>IF(BK76=1,IF(BP76="Motriz","&lt;circle cx='"&amp;SUBSTITUTE(ROUND(728,1),",",".")&amp;"' cy='"&amp;SUBSTITUTE(ROUND(631.2,1),",",".")&amp;"' r='4.3' fill='#2A3439' stroke='#2A3439' stroke-width='1.3'/&gt;",IF(BP76="Enlace","&lt;rect x='"&amp;SUBSTITUTE(ROUND((728)-3.96,1),",",".")&amp;"' y='"&amp;SUBSTITUTE(ROUND((631.2)-3.96,1),",",".")&amp;"' width='7.92' height='7.92' fill='#6699CC' stroke='#2A3439' stroke-width='1.3'/&gt;",IF(BP76="Resultado","&lt;path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CB76" s="58" t="n">
        <v>37</v>
      </c>
      <c r="CC76" s="58">
        <f>IF(AND($CC$4=1,CB76&lt;=nVariables),1,0)</f>
        <v/>
      </c>
      <c r="CD76" s="58">
        <f>IF(CC76=1,'M5'!$F46,"")</f>
        <v/>
      </c>
      <c r="CE76" s="58">
        <f>IF(CC76=1,'M5'!$E46,"")</f>
        <v/>
      </c>
      <c r="CF76" s="58">
        <f>IF(CC76=1,90+CD76*$CC$22,"")</f>
        <v/>
      </c>
      <c r="CG76" s="58">
        <f>IF(CC76=1,574-CE76*$CC$23,"")</f>
        <v/>
      </c>
      <c r="CH76" s="58">
        <f>IF(CC76=1,'M5'!$I46,"")</f>
        <v/>
      </c>
      <c r="CI76" s="58">
        <f>IF(CC76=1,IF(CH76="Motriz","#2A3439",IF(CH76="Enlace","#6699CC",IF(CH76="Resultado","#FFFFFF","#F5F5F5"))),"")</f>
        <v/>
      </c>
      <c r="CJ76" s="58">
        <f>IF(CC76=1,IF(SUMPRODUCT((CD$39:CD75=CD76)*(CE$39:CE75=CE76))=0,1,0),0)</f>
        <v/>
      </c>
      <c r="CK76" s="58">
        <f>IF(CJ76=1,37&amp;IF(AND(CD77=CD76,CE77=CE76),","&amp;38,"")&amp;IF(AND(CD78=CD76,CE78=CE76),","&amp;39,"")&amp;IF(AND(CD79=CD76,CE79=CE76),","&amp;40,""),"")</f>
        <v/>
      </c>
      <c r="CL76" s="58">
        <f>IF(CJ76=1,IF(CH76="Motriz","&lt;circle cx='"&amp;SUBSTITUTE(ROUND(CF76,1),",",".")&amp;"' cy='"&amp;SUBSTITUTE(ROUND(CG76,1),",",".")&amp;"' r='6' fill='#2A3439' stroke='#2A3439' stroke-width='1.3'/&gt;",IF(CH76="Enlace","&lt;rect x='"&amp;SUBSTITUTE(ROUND((CF76)-5.52,1),",",".")&amp;"' y='"&amp;SUBSTITUTE(ROUND((CG76)-5.52,1),",",".")&amp;"' width='11.04' height='11.04' fill='#6699CC' stroke='#2A3439' stroke-width='1.3'/&gt;",IF(CH76="Resultado","&lt;path d='M"&amp;SUBSTITUTE(ROUND(CF76,1),",",".")&amp;" "&amp;SUBSTITUTE(ROUND((CG76)-6.9,1),",",".")&amp;"L"&amp;SUBSTITUTE(ROUND((CF76)+6.3,1),",",".")&amp;" "&amp;SUBSTITUTE(ROUND((CG76)+5.1,1),",",".")&amp;"L"&amp;SUBSTITUTE(ROUND((CF76)-6.3,1),",",".")&amp;" "&amp;SUBSTITUTE(ROUND((CG76)+5.1,1),",",".")&amp;"Z' fill='#FFFFFF' stroke='#2A3439' stroke-width='1.3'/&gt;","&lt;path d='M"&amp;SUBSTITUTE(ROUND(CF76,1),",",".")&amp;" "&amp;SUBSTITUTE(ROUND((CG76)-7.5,1),",",".")&amp;"L"&amp;SUBSTITUTE(ROUND((CF76)+7.5,1),",",".")&amp;" "&amp;SUBSTITUTE(ROUND(CG76,1),",",".")&amp;"L"&amp;SUBSTITUTE(ROUND(CF76,1),",",".")&amp;" "&amp;SUBSTITUTE(ROUND((CG76)+7.5,1),",",".")&amp;"L"&amp;SUBSTITUTE(ROUND((CF76)-7.5,1),",",".")&amp;" "&amp;SUBSTITUTE(ROUND(CG76,1),",",".")&amp;"Z' fill='#F5F5F5' stroke='#2A3439' stroke-width='1.3'/&gt;")))&amp;"&lt;text x='"&amp;SUBSTITUTE(ROUND(CF76+9,1),",",".")&amp;"' y='"&amp;SUBSTITUTE(ROUND(CG76-8,1),",",".")&amp;"'&gt;"&amp;CK76&amp;"&lt;/text&gt;","")</f>
        <v/>
      </c>
      <c r="CM76" s="58">
        <f>IF(CC76=1,IF(CH76="Motriz","&lt;circle cx='"&amp;SUBSTITUTE(ROUND(728,1),",",".")&amp;"' cy='"&amp;SUBSTITUTE(ROUND(631.2,1),",",".")&amp;"' r='4.3' fill='#2A3439' stroke='#2A3439' stroke-width='1.3'/&gt;",IF(CH76="Enlace","&lt;rect x='"&amp;SUBSTITUTE(ROUND((728)-3.96,1),",",".")&amp;"' y='"&amp;SUBSTITUTE(ROUND((631.2)-3.96,1),",",".")&amp;"' width='7.92' height='7.92' fill='#6699CC' stroke='#2A3439' stroke-width='1.3'/&gt;",IF(CH76="Resultado","&lt;path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CT76" s="58" t="n">
        <v>37</v>
      </c>
      <c r="CU76" s="58">
        <f>IF(AND($CU$4=1,CT76&lt;=nVariables),1,0)</f>
        <v/>
      </c>
      <c r="CV76" s="58">
        <f>IF(CU76=1,'M6'!$F46,"")</f>
        <v/>
      </c>
      <c r="CW76" s="58">
        <f>IF(CU76=1,'M6'!$E46,"")</f>
        <v/>
      </c>
      <c r="CX76" s="58">
        <f>IF(CU76=1,90+CV76*$CU$22,"")</f>
        <v/>
      </c>
      <c r="CY76" s="58">
        <f>IF(CU76=1,574-CW76*$CU$23,"")</f>
        <v/>
      </c>
      <c r="CZ76" s="58">
        <f>IF(CU76=1,'M6'!$I46,"")</f>
        <v/>
      </c>
      <c r="DA76" s="58">
        <f>IF(CU76=1,IF(CZ76="Motriz","#2A3439",IF(CZ76="Enlace","#6699CC",IF(CZ76="Resultado","#FFFFFF","#F5F5F5"))),"")</f>
        <v/>
      </c>
      <c r="DB76" s="58">
        <f>IF(CU76=1,IF(SUMPRODUCT((CV$39:CV75=CV76)*(CW$39:CW75=CW76))=0,1,0),0)</f>
        <v/>
      </c>
      <c r="DC76" s="58">
        <f>IF(DB76=1,37&amp;IF(AND(CV77=CV76,CW77=CW76),","&amp;38,"")&amp;IF(AND(CV78=CV76,CW78=CW76),","&amp;39,"")&amp;IF(AND(CV79=CV76,CW79=CW76),","&amp;40,""),"")</f>
        <v/>
      </c>
      <c r="DD76" s="58">
        <f>IF(DB76=1,IF(CZ76="Motriz","&lt;circle cx='"&amp;SUBSTITUTE(ROUND(CX76,1),",",".")&amp;"' cy='"&amp;SUBSTITUTE(ROUND(CY76,1),",",".")&amp;"' r='6' fill='#2A3439' stroke='#2A3439' stroke-width='1.3'/&gt;",IF(CZ76="Enlace","&lt;rect x='"&amp;SUBSTITUTE(ROUND((CX76)-5.52,1),",",".")&amp;"' y='"&amp;SUBSTITUTE(ROUND((CY76)-5.52,1),",",".")&amp;"' width='11.04' height='11.04' fill='#6699CC' stroke='#2A3439' stroke-width='1.3'/&gt;",IF(CZ76="Resultado","&lt;path d='M"&amp;SUBSTITUTE(ROUND(CX76,1),",",".")&amp;" "&amp;SUBSTITUTE(ROUND((CY76)-6.9,1),",",".")&amp;"L"&amp;SUBSTITUTE(ROUND((CX76)+6.3,1),",",".")&amp;" "&amp;SUBSTITUTE(ROUND((CY76)+5.1,1),",",".")&amp;"L"&amp;SUBSTITUTE(ROUND((CX76)-6.3,1),",",".")&amp;" "&amp;SUBSTITUTE(ROUND((CY76)+5.1,1),",",".")&amp;"Z' fill='#FFFFFF' stroke='#2A3439' stroke-width='1.3'/&gt;","&lt;path d='M"&amp;SUBSTITUTE(ROUND(CX76,1),",",".")&amp;" "&amp;SUBSTITUTE(ROUND((CY76)-7.5,1),",",".")&amp;"L"&amp;SUBSTITUTE(ROUND((CX76)+7.5,1),",",".")&amp;" "&amp;SUBSTITUTE(ROUND(CY76,1),",",".")&amp;"L"&amp;SUBSTITUTE(ROUND(CX76,1),",",".")&amp;" "&amp;SUBSTITUTE(ROUND((CY76)+7.5,1),",",".")&amp;"L"&amp;SUBSTITUTE(ROUND((CX76)-7.5,1),",",".")&amp;" "&amp;SUBSTITUTE(ROUND(CY76,1),",",".")&amp;"Z' fill='#F5F5F5' stroke='#2A3439' stroke-width='1.3'/&gt;")))&amp;"&lt;text x='"&amp;SUBSTITUTE(ROUND(CX76+9,1),",",".")&amp;"' y='"&amp;SUBSTITUTE(ROUND(CY76-8,1),",",".")&amp;"'&gt;"&amp;DC76&amp;"&lt;/text&gt;","")</f>
        <v/>
      </c>
      <c r="DE76" s="58">
        <f>IF(CU76=1,IF(CZ76="Motriz","&lt;circle cx='"&amp;SUBSTITUTE(ROUND(728,1),",",".")&amp;"' cy='"&amp;SUBSTITUTE(ROUND(631.2,1),",",".")&amp;"' r='4.3' fill='#2A3439' stroke='#2A3439' stroke-width='1.3'/&gt;",IF(CZ76="Enlace","&lt;rect x='"&amp;SUBSTITUTE(ROUND((728)-3.96,1),",",".")&amp;"' y='"&amp;SUBSTITUTE(ROUND((631.2)-3.96,1),",",".")&amp;"' width='7.92' height='7.92' fill='#6699CC' stroke='#2A3439' stroke-width='1.3'/&gt;",IF(CZ76="Resultado","&lt;path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DL76" s="58" t="n">
        <v>25</v>
      </c>
      <c r="DM76" s="58">
        <f>IF(AND($DM$4=1,DL76&lt;=nVariables),IF('M6'!$I34="Resultado","E",IF('M6'!$I34="Enlace","L",IF('M6'!$I34="Motriz","R",IF('M6'!$I34="Autónoma","A","")))),"")</f>
        <v/>
      </c>
      <c r="DN76" s="58">
        <f>IF(DM76&lt;&gt;"",COUNTIF($DM$52:DM76,DM76),"")</f>
        <v/>
      </c>
      <c r="DO76" s="58">
        <f>IF(DM76&lt;&gt;"",SUBSTITUTE(SUBSTITUTE(SUBSTITUTE(SUBSTITUTE(SUBSTITUTE(SUBSTITUTE(SUBSTITUTE(TRIM(CLEAN(IF(LEN(25&amp;" · "&amp;$D64)&gt;30,LEFT(25&amp;" · "&amp;$D64,29)&amp;"…",25&amp;" · "&amp;$D64))),"&amp;","&amp;amp;"),"&lt;","&amp;lt;"),"&gt;","&amp;gt;"),CHAR(34),"&amp;quot;"),CHAR(10)," "),CHAR(9)," "),CHAR(13)," "),"")</f>
        <v/>
      </c>
      <c r="DP76" s="58">
        <f>IF(DM76&lt;&gt;"",IF($E64&lt;&gt;"",$E64,IF(DM76="E","(efecto · indicador de resultado)",IF(DM76="L","(causa directa · riesgo)",IF(DM76="R","CAUSA RAÍZ · componente del proyecto","(fuera del alcance)")))),"")</f>
        <v/>
      </c>
      <c r="DQ76" s="58">
        <f>IF(DM76&lt;&gt;"",IF(LEN(DP76)&gt;74,LEFT(DP76,73)&amp;"…",DP76),"")</f>
        <v/>
      </c>
      <c r="DR76" s="58">
        <f>IF(DM76&lt;&gt;"",IF(LEN(DQ76)&lt;=37,LEN(DQ76)+1,IFERROR(FIND("~",SUBSTITUTE(LEFT(DQ76,38)," ","~",LEN(LEFT(DQ76,38))-LEN(SUBSTITUTE(LEFT(DQ76,38)," ","")))),38)),"")</f>
        <v/>
      </c>
      <c r="DS76" s="58">
        <f>IF(DM76&lt;&gt;"",SUBSTITUTE(SUBSTITUTE(SUBSTITUTE(SUBSTITUTE(SUBSTITUTE(SUBSTITUTE(SUBSTITUTE(TRIM(CLEAN(TRIM(LEFT(DQ76,DR76-1)))),"&amp;","&amp;amp;"),"&lt;","&amp;lt;"),"&gt;","&amp;gt;"),CHAR(34),"&amp;quot;"),CHAR(10)," "),CHAR(9)," "),CHAR(13)," "),"")</f>
        <v/>
      </c>
      <c r="DT76" s="58">
        <f>IF(DM76&lt;&gt;"",SUBSTITUTE(SUBSTITUTE(SUBSTITUTE(SUBSTITUTE(SUBSTITUTE(SUBSTITUTE(SUBSTITUTE(TRIM(CLEAN(IF(LEN(TRIM(MID(DQ76,DR76,80)))&gt;37,LEFT(TRIM(MID(DQ76,DR76,80)),36)&amp;"…",TRIM(MID(DQ76,DR76,80))))),"&amp;","&amp;amp;"),"&lt;","&amp;lt;"),"&gt;","&amp;gt;"),CHAR(34),"&amp;quot;"),CHAR(10)," "),CHAR(9)," "),CHAR(13)," "),"")</f>
        <v/>
      </c>
      <c r="DU76" s="58">
        <f>IF(DM76&lt;&gt;"",(1200-(MIN(5,IF(DM76="E",$DM$5,IF(DM76="L",$DM$8,IF(DM76="R",$DM$11,$DM$14)))-INT((DN76-1)/5)*5)*216+(MIN(5,IF(DM76="E",$DM$5,IF(DM76="L",$DM$8,IF(DM76="R",$DM$11,$DM$14)))-INT((DN76-1)/5)*5)-1)*14))/2+MOD(DN76-1,5)*(216+14),"")</f>
        <v/>
      </c>
      <c r="DV76" s="58">
        <f>IF(DM76&lt;&gt;"",IF(DM76="E",$DM$17,IF(DM76="L",$DM$21,IF(DM76="R",$DM$23,$DM$25)))+24+INT((DN76-1)/5)*(64+12),"")</f>
        <v/>
      </c>
      <c r="DW76" s="58">
        <f>IF(DM76&lt;&gt;"","&lt;rect x='"&amp;SUBSTITUTE(ROUND(DU76,1),",",".")&amp;"' y='"&amp;SUBSTITUTE(ROUND(DV76,1),",",".")&amp;"' width='216' height='64' rx='9' fill='"&amp;IF(DM76="E","#B9D9EB",IF(DM76="L","#9EB9D4",IF(DM76="R","#6699CC","#F5F5F5")))&amp;"' stroke='#2A3439' stroke-width='1'"&amp;IF(DM76="A"," stroke-dasharray='5 3'","")&amp;"/&gt;"&amp;"&lt;text x='"&amp;SUBSTITUTE(ROUND((DU76+108),1),",",".")&amp;"' y='"&amp;SUBSTITUTE(ROUND(DV76+20,1),",",".")&amp;"' font-size='12' font-weight='bold'&gt;"&amp;DO76&amp;"&lt;/text&gt;"&amp;"&lt;text x='"&amp;SUBSTITUTE(ROUND((DU76+108),1),",",".")&amp;"' y='"&amp;SUBSTITUTE(ROUND(DV76+38,1),",",".")&amp;"' font-size='10'&gt;"&amp;DS76&amp;"&lt;/text&gt;"&amp;"&lt;text x='"&amp;SUBSTITUTE(ROUND((DU76+108),1),",",".")&amp;"' y='"&amp;SUBSTITUTE(ROUND(DV76+53,1),",",".")&amp;"' font-size='10'&gt;"&amp;DT76&amp;"&lt;/text&gt;","")</f>
        <v/>
      </c>
    </row>
    <row r="77">
      <c r="A77" s="58" t="n">
        <v>38</v>
      </c>
      <c r="B77" s="58">
        <f>IF($A77&lt;=nVariables,SUBSTITUTE(SUBSTITUTE(SUBSTITUTE(SUBSTITUTE(SUBSTITUTE(SUBSTITUTE(SUBSTITUTE(TRIM(CLEAN(IF(LEN(TRIM(M!$B47))&gt;46,LEFT(TRIM(M!$B47),45)&amp;"…",TRIM(M!$B47)))),"&amp;","&amp;amp;"),"&lt;","&amp;lt;"),"&gt;","&amp;gt;"),CHAR(34),"&amp;quot;"),CHAR(10)," "),CHAR(9)," "),CHAR(13)," "),"")</f>
        <v/>
      </c>
      <c r="C77" s="58">
        <f>IF($A77&lt;=nVariables,$A77&amp;". "&amp;B77,"")</f>
        <v/>
      </c>
      <c r="D77" s="58">
        <f>IF($A77&lt;=nVariables,IF(TRIM(M!$C47)&lt;&gt;"",TRIM(M!$C47),IF(LEN(TRIM(M!$B47))&gt;24,LEFT(TRIM(M!$B47),23)&amp;"…",TRIM(M!$B47))),"")</f>
        <v/>
      </c>
      <c r="E77" s="58">
        <f>IF($A77&lt;=nVariables,TRIM('Árbol de Problemas'!$F56),"")</f>
        <v/>
      </c>
      <c r="H77" s="58" t="n">
        <v>38</v>
      </c>
      <c r="I77" s="58">
        <f>IF(AND($I$4=1,H77&lt;=nVariables),1,0)</f>
        <v/>
      </c>
      <c r="J77" s="58">
        <f>IF(I77=1,'M1'!$F47,"")</f>
        <v/>
      </c>
      <c r="K77" s="58">
        <f>IF(I77=1,'M1'!$E47,"")</f>
        <v/>
      </c>
      <c r="L77" s="58">
        <f>IF(I77=1,90+J77*$I$22,"")</f>
        <v/>
      </c>
      <c r="M77" s="58">
        <f>IF(I77=1,574-K77*$I$23,"")</f>
        <v/>
      </c>
      <c r="N77" s="58">
        <f>IF(I77=1,'M1'!$I47,"")</f>
        <v/>
      </c>
      <c r="O77" s="58">
        <f>IF(I77=1,IF(N77="Motriz","#2A3439",IF(N77="Enlace","#6699CC",IF(N77="Resultado","#FFFFFF","#F5F5F5"))),"")</f>
        <v/>
      </c>
      <c r="P77" s="58">
        <f>IF(I77=1,IF(SUMPRODUCT((J$39:J76=J77)*(K$39:K76=K77))=0,1,0),0)</f>
        <v/>
      </c>
      <c r="Q77" s="58">
        <f>IF(P77=1,38&amp;IF(AND(J78=J77,K78=K77),","&amp;39,"")&amp;IF(AND(J79=J77,K79=K77),","&amp;40,""),"")</f>
        <v/>
      </c>
      <c r="R77" s="58">
        <f>IF(P77=1,IF(N77="Motriz","&lt;circle cx='"&amp;SUBSTITUTE(ROUND(L77,1),",",".")&amp;"' cy='"&amp;SUBSTITUTE(ROUND(M77,1),",",".")&amp;"' r='6' fill='#2A3439' stroke='#2A3439' stroke-width='1.3'/&gt;",IF(N77="Enlace","&lt;rect x='"&amp;SUBSTITUTE(ROUND((L77)-5.52,1),",",".")&amp;"' y='"&amp;SUBSTITUTE(ROUND((M77)-5.52,1),",",".")&amp;"' width='11.04' height='11.04' fill='#6699CC' stroke='#2A3439' stroke-width='1.3'/&gt;",IF(N77="Resultado","&lt;path d='M"&amp;SUBSTITUTE(ROUND(L77,1),",",".")&amp;" "&amp;SUBSTITUTE(ROUND((M77)-6.9,1),",",".")&amp;"L"&amp;SUBSTITUTE(ROUND((L77)+6.3,1),",",".")&amp;" "&amp;SUBSTITUTE(ROUND((M77)+5.1,1),",",".")&amp;"L"&amp;SUBSTITUTE(ROUND((L77)-6.3,1),",",".")&amp;" "&amp;SUBSTITUTE(ROUND((M77)+5.1,1),",",".")&amp;"Z' fill='#FFFFFF' stroke='#2A3439' stroke-width='1.3'/&gt;","&lt;path d='M"&amp;SUBSTITUTE(ROUND(L77,1),",",".")&amp;" "&amp;SUBSTITUTE(ROUND((M77)-7.5,1),",",".")&amp;"L"&amp;SUBSTITUTE(ROUND((L77)+7.5,1),",",".")&amp;" "&amp;SUBSTITUTE(ROUND(M77,1),",",".")&amp;"L"&amp;SUBSTITUTE(ROUND(L77,1),",",".")&amp;" "&amp;SUBSTITUTE(ROUND((M77)+7.5,1),",",".")&amp;"L"&amp;SUBSTITUTE(ROUND((L77)-7.5,1),",",".")&amp;" "&amp;SUBSTITUTE(ROUND(M77,1),",",".")&amp;"Z' fill='#F5F5F5' stroke='#2A3439' stroke-width='1.3'/&gt;")))&amp;"&lt;text x='"&amp;SUBSTITUTE(ROUND(L77+9,1),",",".")&amp;"' y='"&amp;SUBSTITUTE(ROUND(M77-8,1),",",".")&amp;"'&gt;"&amp;Q77&amp;"&lt;/text&gt;","")</f>
        <v/>
      </c>
      <c r="S77" s="58">
        <f>IF(I77=1,IF(N77="Motriz","&lt;circle cx='"&amp;SUBSTITUTE(ROUND(728,1),",",".")&amp;"' cy='"&amp;SUBSTITUTE(ROUND(645.4,1),",",".")&amp;"' r='4.3' fill='#2A3439' stroke='#2A3439' stroke-width='1.3'/&gt;",IF(N77="Enlace","&lt;rect x='"&amp;SUBSTITUTE(ROUND((728)-3.96,1),",",".")&amp;"' y='"&amp;SUBSTITUTE(ROUND((645.4)-3.96,1),",",".")&amp;"' width='7.92' height='7.92' fill='#6699CC' stroke='#2A3439' stroke-width='1.3'/&gt;",IF(N77="Resultado","&lt;path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Z77" s="58" t="n">
        <v>38</v>
      </c>
      <c r="AA77" s="58">
        <f>IF(AND($AA$4=1,Z77&lt;=nVariables),1,0)</f>
        <v/>
      </c>
      <c r="AB77" s="58">
        <f>IF(AA77=1,'M2'!$F47,"")</f>
        <v/>
      </c>
      <c r="AC77" s="58">
        <f>IF(AA77=1,'M2'!$E47,"")</f>
        <v/>
      </c>
      <c r="AD77" s="58">
        <f>IF(AA77=1,90+AB77*$AA$22,"")</f>
        <v/>
      </c>
      <c r="AE77" s="58">
        <f>IF(AA77=1,574-AC77*$AA$23,"")</f>
        <v/>
      </c>
      <c r="AF77" s="58">
        <f>IF(AA77=1,'M2'!$I47,"")</f>
        <v/>
      </c>
      <c r="AG77" s="58">
        <f>IF(AA77=1,IF(AF77="Motriz","#2A3439",IF(AF77="Enlace","#6699CC",IF(AF77="Resultado","#FFFFFF","#F5F5F5"))),"")</f>
        <v/>
      </c>
      <c r="AH77" s="58">
        <f>IF(AA77=1,IF(SUMPRODUCT((AB$39:AB76=AB77)*(AC$39:AC76=AC77))=0,1,0),0)</f>
        <v/>
      </c>
      <c r="AI77" s="58">
        <f>IF(AH77=1,38&amp;IF(AND(AB78=AB77,AC78=AC77),","&amp;39,"")&amp;IF(AND(AB79=AB77,AC79=AC77),","&amp;40,""),"")</f>
        <v/>
      </c>
      <c r="AJ77" s="58">
        <f>IF(AH77=1,IF(AF77="Motriz","&lt;circle cx='"&amp;SUBSTITUTE(ROUND(AD77,1),",",".")&amp;"' cy='"&amp;SUBSTITUTE(ROUND(AE77,1),",",".")&amp;"' r='6' fill='#2A3439' stroke='#2A3439' stroke-width='1.3'/&gt;",IF(AF77="Enlace","&lt;rect x='"&amp;SUBSTITUTE(ROUND((AD77)-5.52,1),",",".")&amp;"' y='"&amp;SUBSTITUTE(ROUND((AE77)-5.52,1),",",".")&amp;"' width='11.04' height='11.04' fill='#6699CC' stroke='#2A3439' stroke-width='1.3'/&gt;",IF(AF77="Resultado","&lt;path d='M"&amp;SUBSTITUTE(ROUND(AD77,1),",",".")&amp;" "&amp;SUBSTITUTE(ROUND((AE77)-6.9,1),",",".")&amp;"L"&amp;SUBSTITUTE(ROUND((AD77)+6.3,1),",",".")&amp;" "&amp;SUBSTITUTE(ROUND((AE77)+5.1,1),",",".")&amp;"L"&amp;SUBSTITUTE(ROUND((AD77)-6.3,1),",",".")&amp;" "&amp;SUBSTITUTE(ROUND((AE77)+5.1,1),",",".")&amp;"Z' fill='#FFFFFF' stroke='#2A3439' stroke-width='1.3'/&gt;","&lt;path d='M"&amp;SUBSTITUTE(ROUND(AD77,1),",",".")&amp;" "&amp;SUBSTITUTE(ROUND((AE77)-7.5,1),",",".")&amp;"L"&amp;SUBSTITUTE(ROUND((AD77)+7.5,1),",",".")&amp;" "&amp;SUBSTITUTE(ROUND(AE77,1),",",".")&amp;"L"&amp;SUBSTITUTE(ROUND(AD77,1),",",".")&amp;" "&amp;SUBSTITUTE(ROUND((AE77)+7.5,1),",",".")&amp;"L"&amp;SUBSTITUTE(ROUND((AD77)-7.5,1),",",".")&amp;" "&amp;SUBSTITUTE(ROUND(AE77,1),",",".")&amp;"Z' fill='#F5F5F5' stroke='#2A3439' stroke-width='1.3'/&gt;")))&amp;"&lt;text x='"&amp;SUBSTITUTE(ROUND(AD77+9,1),",",".")&amp;"' y='"&amp;SUBSTITUTE(ROUND(AE77-8,1),",",".")&amp;"'&gt;"&amp;AI77&amp;"&lt;/text&gt;","")</f>
        <v/>
      </c>
      <c r="AK77" s="58">
        <f>IF(AA77=1,IF(AF77="Motriz","&lt;circle cx='"&amp;SUBSTITUTE(ROUND(728,1),",",".")&amp;"' cy='"&amp;SUBSTITUTE(ROUND(645.4,1),",",".")&amp;"' r='4.3' fill='#2A3439' stroke='#2A3439' stroke-width='1.3'/&gt;",IF(AF77="Enlace","&lt;rect x='"&amp;SUBSTITUTE(ROUND((728)-3.96,1),",",".")&amp;"' y='"&amp;SUBSTITUTE(ROUND((645.4)-3.96,1),",",".")&amp;"' width='7.92' height='7.92' fill='#6699CC' stroke='#2A3439' stroke-width='1.3'/&gt;",IF(AF77="Resultado","&lt;path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AR77" s="58" t="n">
        <v>38</v>
      </c>
      <c r="AS77" s="58">
        <f>IF(AND($AS$4=1,AR77&lt;=nVariables),1,0)</f>
        <v/>
      </c>
      <c r="AT77" s="58">
        <f>IF(AS77=1,'M3'!$F47,"")</f>
        <v/>
      </c>
      <c r="AU77" s="58">
        <f>IF(AS77=1,'M3'!$E47,"")</f>
        <v/>
      </c>
      <c r="AV77" s="58">
        <f>IF(AS77=1,90+AT77*$AS$22,"")</f>
        <v/>
      </c>
      <c r="AW77" s="58">
        <f>IF(AS77=1,574-AU77*$AS$23,"")</f>
        <v/>
      </c>
      <c r="AX77" s="58">
        <f>IF(AS77=1,'M3'!$I47,"")</f>
        <v/>
      </c>
      <c r="AY77" s="58">
        <f>IF(AS77=1,IF(AX77="Motriz","#2A3439",IF(AX77="Enlace","#6699CC",IF(AX77="Resultado","#FFFFFF","#F5F5F5"))),"")</f>
        <v/>
      </c>
      <c r="AZ77" s="58">
        <f>IF(AS77=1,IF(SUMPRODUCT((AT$39:AT76=AT77)*(AU$39:AU76=AU77))=0,1,0),0)</f>
        <v/>
      </c>
      <c r="BA77" s="58">
        <f>IF(AZ77=1,38&amp;IF(AND(AT78=AT77,AU78=AU77),","&amp;39,"")&amp;IF(AND(AT79=AT77,AU79=AU77),","&amp;40,""),"")</f>
        <v/>
      </c>
      <c r="BB77" s="58">
        <f>IF(AZ77=1,IF(AX77="Motriz","&lt;circle cx='"&amp;SUBSTITUTE(ROUND(AV77,1),",",".")&amp;"' cy='"&amp;SUBSTITUTE(ROUND(AW77,1),",",".")&amp;"' r='6' fill='#2A3439' stroke='#2A3439' stroke-width='1.3'/&gt;",IF(AX77="Enlace","&lt;rect x='"&amp;SUBSTITUTE(ROUND((AV77)-5.52,1),",",".")&amp;"' y='"&amp;SUBSTITUTE(ROUND((AW77)-5.52,1),",",".")&amp;"' width='11.04' height='11.04' fill='#6699CC' stroke='#2A3439' stroke-width='1.3'/&gt;",IF(AX77="Resultado","&lt;path d='M"&amp;SUBSTITUTE(ROUND(AV77,1),",",".")&amp;" "&amp;SUBSTITUTE(ROUND((AW77)-6.9,1),",",".")&amp;"L"&amp;SUBSTITUTE(ROUND((AV77)+6.3,1),",",".")&amp;" "&amp;SUBSTITUTE(ROUND((AW77)+5.1,1),",",".")&amp;"L"&amp;SUBSTITUTE(ROUND((AV77)-6.3,1),",",".")&amp;" "&amp;SUBSTITUTE(ROUND((AW77)+5.1,1),",",".")&amp;"Z' fill='#FFFFFF' stroke='#2A3439' stroke-width='1.3'/&gt;","&lt;path d='M"&amp;SUBSTITUTE(ROUND(AV77,1),",",".")&amp;" "&amp;SUBSTITUTE(ROUND((AW77)-7.5,1),",",".")&amp;"L"&amp;SUBSTITUTE(ROUND((AV77)+7.5,1),",",".")&amp;" "&amp;SUBSTITUTE(ROUND(AW77,1),",",".")&amp;"L"&amp;SUBSTITUTE(ROUND(AV77,1),",",".")&amp;" "&amp;SUBSTITUTE(ROUND((AW77)+7.5,1),",",".")&amp;"L"&amp;SUBSTITUTE(ROUND((AV77)-7.5,1),",",".")&amp;" "&amp;SUBSTITUTE(ROUND(AW77,1),",",".")&amp;"Z' fill='#F5F5F5' stroke='#2A3439' stroke-width='1.3'/&gt;")))&amp;"&lt;text x='"&amp;SUBSTITUTE(ROUND(AV77+9,1),",",".")&amp;"' y='"&amp;SUBSTITUTE(ROUND(AW77-8,1),",",".")&amp;"'&gt;"&amp;BA77&amp;"&lt;/text&gt;","")</f>
        <v/>
      </c>
      <c r="BC77" s="58">
        <f>IF(AS77=1,IF(AX77="Motriz","&lt;circle cx='"&amp;SUBSTITUTE(ROUND(728,1),",",".")&amp;"' cy='"&amp;SUBSTITUTE(ROUND(645.4,1),",",".")&amp;"' r='4.3' fill='#2A3439' stroke='#2A3439' stroke-width='1.3'/&gt;",IF(AX77="Enlace","&lt;rect x='"&amp;SUBSTITUTE(ROUND((728)-3.96,1),",",".")&amp;"' y='"&amp;SUBSTITUTE(ROUND((645.4)-3.96,1),",",".")&amp;"' width='7.92' height='7.92' fill='#6699CC' stroke='#2A3439' stroke-width='1.3'/&gt;",IF(AX77="Resultado","&lt;path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BJ77" s="58" t="n">
        <v>38</v>
      </c>
      <c r="BK77" s="58">
        <f>IF(AND($BK$4=1,BJ77&lt;=nVariables),1,0)</f>
        <v/>
      </c>
      <c r="BL77" s="58">
        <f>IF(BK77=1,'M4'!$F47,"")</f>
        <v/>
      </c>
      <c r="BM77" s="58">
        <f>IF(BK77=1,'M4'!$E47,"")</f>
        <v/>
      </c>
      <c r="BN77" s="58">
        <f>IF(BK77=1,90+BL77*$BK$22,"")</f>
        <v/>
      </c>
      <c r="BO77" s="58">
        <f>IF(BK77=1,574-BM77*$BK$23,"")</f>
        <v/>
      </c>
      <c r="BP77" s="58">
        <f>IF(BK77=1,'M4'!$I47,"")</f>
        <v/>
      </c>
      <c r="BQ77" s="58">
        <f>IF(BK77=1,IF(BP77="Motriz","#2A3439",IF(BP77="Enlace","#6699CC",IF(BP77="Resultado","#FFFFFF","#F5F5F5"))),"")</f>
        <v/>
      </c>
      <c r="BR77" s="58">
        <f>IF(BK77=1,IF(SUMPRODUCT((BL$39:BL76=BL77)*(BM$39:BM76=BM77))=0,1,0),0)</f>
        <v/>
      </c>
      <c r="BS77" s="58">
        <f>IF(BR77=1,38&amp;IF(AND(BL78=BL77,BM78=BM77),","&amp;39,"")&amp;IF(AND(BL79=BL77,BM79=BM77),","&amp;40,""),"")</f>
        <v/>
      </c>
      <c r="BT77" s="58">
        <f>IF(BR77=1,IF(BP77="Motriz","&lt;circle cx='"&amp;SUBSTITUTE(ROUND(BN77,1),",",".")&amp;"' cy='"&amp;SUBSTITUTE(ROUND(BO77,1),",",".")&amp;"' r='6' fill='#2A3439' stroke='#2A3439' stroke-width='1.3'/&gt;",IF(BP77="Enlace","&lt;rect x='"&amp;SUBSTITUTE(ROUND((BN77)-5.52,1),",",".")&amp;"' y='"&amp;SUBSTITUTE(ROUND((BO77)-5.52,1),",",".")&amp;"' width='11.04' height='11.04' fill='#6699CC' stroke='#2A3439' stroke-width='1.3'/&gt;",IF(BP77="Resultado","&lt;path d='M"&amp;SUBSTITUTE(ROUND(BN77,1),",",".")&amp;" "&amp;SUBSTITUTE(ROUND((BO77)-6.9,1),",",".")&amp;"L"&amp;SUBSTITUTE(ROUND((BN77)+6.3,1),",",".")&amp;" "&amp;SUBSTITUTE(ROUND((BO77)+5.1,1),",",".")&amp;"L"&amp;SUBSTITUTE(ROUND((BN77)-6.3,1),",",".")&amp;" "&amp;SUBSTITUTE(ROUND((BO77)+5.1,1),",",".")&amp;"Z' fill='#FFFFFF' stroke='#2A3439' stroke-width='1.3'/&gt;","&lt;path d='M"&amp;SUBSTITUTE(ROUND(BN77,1),",",".")&amp;" "&amp;SUBSTITUTE(ROUND((BO77)-7.5,1),",",".")&amp;"L"&amp;SUBSTITUTE(ROUND((BN77)+7.5,1),",",".")&amp;" "&amp;SUBSTITUTE(ROUND(BO77,1),",",".")&amp;"L"&amp;SUBSTITUTE(ROUND(BN77,1),",",".")&amp;" "&amp;SUBSTITUTE(ROUND((BO77)+7.5,1),",",".")&amp;"L"&amp;SUBSTITUTE(ROUND((BN77)-7.5,1),",",".")&amp;" "&amp;SUBSTITUTE(ROUND(BO77,1),",",".")&amp;"Z' fill='#F5F5F5' stroke='#2A3439' stroke-width='1.3'/&gt;")))&amp;"&lt;text x='"&amp;SUBSTITUTE(ROUND(BN77+9,1),",",".")&amp;"' y='"&amp;SUBSTITUTE(ROUND(BO77-8,1),",",".")&amp;"'&gt;"&amp;BS77&amp;"&lt;/text&gt;","")</f>
        <v/>
      </c>
      <c r="BU77" s="58">
        <f>IF(BK77=1,IF(BP77="Motriz","&lt;circle cx='"&amp;SUBSTITUTE(ROUND(728,1),",",".")&amp;"' cy='"&amp;SUBSTITUTE(ROUND(645.4,1),",",".")&amp;"' r='4.3' fill='#2A3439' stroke='#2A3439' stroke-width='1.3'/&gt;",IF(BP77="Enlace","&lt;rect x='"&amp;SUBSTITUTE(ROUND((728)-3.96,1),",",".")&amp;"' y='"&amp;SUBSTITUTE(ROUND((645.4)-3.96,1),",",".")&amp;"' width='7.92' height='7.92' fill='#6699CC' stroke='#2A3439' stroke-width='1.3'/&gt;",IF(BP77="Resultado","&lt;path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CB77" s="58" t="n">
        <v>38</v>
      </c>
      <c r="CC77" s="58">
        <f>IF(AND($CC$4=1,CB77&lt;=nVariables),1,0)</f>
        <v/>
      </c>
      <c r="CD77" s="58">
        <f>IF(CC77=1,'M5'!$F47,"")</f>
        <v/>
      </c>
      <c r="CE77" s="58">
        <f>IF(CC77=1,'M5'!$E47,"")</f>
        <v/>
      </c>
      <c r="CF77" s="58">
        <f>IF(CC77=1,90+CD77*$CC$22,"")</f>
        <v/>
      </c>
      <c r="CG77" s="58">
        <f>IF(CC77=1,574-CE77*$CC$23,"")</f>
        <v/>
      </c>
      <c r="CH77" s="58">
        <f>IF(CC77=1,'M5'!$I47,"")</f>
        <v/>
      </c>
      <c r="CI77" s="58">
        <f>IF(CC77=1,IF(CH77="Motriz","#2A3439",IF(CH77="Enlace","#6699CC",IF(CH77="Resultado","#FFFFFF","#F5F5F5"))),"")</f>
        <v/>
      </c>
      <c r="CJ77" s="58">
        <f>IF(CC77=1,IF(SUMPRODUCT((CD$39:CD76=CD77)*(CE$39:CE76=CE77))=0,1,0),0)</f>
        <v/>
      </c>
      <c r="CK77" s="58">
        <f>IF(CJ77=1,38&amp;IF(AND(CD78=CD77,CE78=CE77),","&amp;39,"")&amp;IF(AND(CD79=CD77,CE79=CE77),","&amp;40,""),"")</f>
        <v/>
      </c>
      <c r="CL77" s="58">
        <f>IF(CJ77=1,IF(CH77="Motriz","&lt;circle cx='"&amp;SUBSTITUTE(ROUND(CF77,1),",",".")&amp;"' cy='"&amp;SUBSTITUTE(ROUND(CG77,1),",",".")&amp;"' r='6' fill='#2A3439' stroke='#2A3439' stroke-width='1.3'/&gt;",IF(CH77="Enlace","&lt;rect x='"&amp;SUBSTITUTE(ROUND((CF77)-5.52,1),",",".")&amp;"' y='"&amp;SUBSTITUTE(ROUND((CG77)-5.52,1),",",".")&amp;"' width='11.04' height='11.04' fill='#6699CC' stroke='#2A3439' stroke-width='1.3'/&gt;",IF(CH77="Resultado","&lt;path d='M"&amp;SUBSTITUTE(ROUND(CF77,1),",",".")&amp;" "&amp;SUBSTITUTE(ROUND((CG77)-6.9,1),",",".")&amp;"L"&amp;SUBSTITUTE(ROUND((CF77)+6.3,1),",",".")&amp;" "&amp;SUBSTITUTE(ROUND((CG77)+5.1,1),",",".")&amp;"L"&amp;SUBSTITUTE(ROUND((CF77)-6.3,1),",",".")&amp;" "&amp;SUBSTITUTE(ROUND((CG77)+5.1,1),",",".")&amp;"Z' fill='#FFFFFF' stroke='#2A3439' stroke-width='1.3'/&gt;","&lt;path d='M"&amp;SUBSTITUTE(ROUND(CF77,1),",",".")&amp;" "&amp;SUBSTITUTE(ROUND((CG77)-7.5,1),",",".")&amp;"L"&amp;SUBSTITUTE(ROUND((CF77)+7.5,1),",",".")&amp;" "&amp;SUBSTITUTE(ROUND(CG77,1),",",".")&amp;"L"&amp;SUBSTITUTE(ROUND(CF77,1),",",".")&amp;" "&amp;SUBSTITUTE(ROUND((CG77)+7.5,1),",",".")&amp;"L"&amp;SUBSTITUTE(ROUND((CF77)-7.5,1),",",".")&amp;" "&amp;SUBSTITUTE(ROUND(CG77,1),",",".")&amp;"Z' fill='#F5F5F5' stroke='#2A3439' stroke-width='1.3'/&gt;")))&amp;"&lt;text x='"&amp;SUBSTITUTE(ROUND(CF77+9,1),",",".")&amp;"' y='"&amp;SUBSTITUTE(ROUND(CG77-8,1),",",".")&amp;"'&gt;"&amp;CK77&amp;"&lt;/text&gt;","")</f>
        <v/>
      </c>
      <c r="CM77" s="58">
        <f>IF(CC77=1,IF(CH77="Motriz","&lt;circle cx='"&amp;SUBSTITUTE(ROUND(728,1),",",".")&amp;"' cy='"&amp;SUBSTITUTE(ROUND(645.4,1),",",".")&amp;"' r='4.3' fill='#2A3439' stroke='#2A3439' stroke-width='1.3'/&gt;",IF(CH77="Enlace","&lt;rect x='"&amp;SUBSTITUTE(ROUND((728)-3.96,1),",",".")&amp;"' y='"&amp;SUBSTITUTE(ROUND((645.4)-3.96,1),",",".")&amp;"' width='7.92' height='7.92' fill='#6699CC' stroke='#2A3439' stroke-width='1.3'/&gt;",IF(CH77="Resultado","&lt;path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CT77" s="58" t="n">
        <v>38</v>
      </c>
      <c r="CU77" s="58">
        <f>IF(AND($CU$4=1,CT77&lt;=nVariables),1,0)</f>
        <v/>
      </c>
      <c r="CV77" s="58">
        <f>IF(CU77=1,'M6'!$F47,"")</f>
        <v/>
      </c>
      <c r="CW77" s="58">
        <f>IF(CU77=1,'M6'!$E47,"")</f>
        <v/>
      </c>
      <c r="CX77" s="58">
        <f>IF(CU77=1,90+CV77*$CU$22,"")</f>
        <v/>
      </c>
      <c r="CY77" s="58">
        <f>IF(CU77=1,574-CW77*$CU$23,"")</f>
        <v/>
      </c>
      <c r="CZ77" s="58">
        <f>IF(CU77=1,'M6'!$I47,"")</f>
        <v/>
      </c>
      <c r="DA77" s="58">
        <f>IF(CU77=1,IF(CZ77="Motriz","#2A3439",IF(CZ77="Enlace","#6699CC",IF(CZ77="Resultado","#FFFFFF","#F5F5F5"))),"")</f>
        <v/>
      </c>
      <c r="DB77" s="58">
        <f>IF(CU77=1,IF(SUMPRODUCT((CV$39:CV76=CV77)*(CW$39:CW76=CW77))=0,1,0),0)</f>
        <v/>
      </c>
      <c r="DC77" s="58">
        <f>IF(DB77=1,38&amp;IF(AND(CV78=CV77,CW78=CW77),","&amp;39,"")&amp;IF(AND(CV79=CV77,CW79=CW77),","&amp;40,""),"")</f>
        <v/>
      </c>
      <c r="DD77" s="58">
        <f>IF(DB77=1,IF(CZ77="Motriz","&lt;circle cx='"&amp;SUBSTITUTE(ROUND(CX77,1),",",".")&amp;"' cy='"&amp;SUBSTITUTE(ROUND(CY77,1),",",".")&amp;"' r='6' fill='#2A3439' stroke='#2A3439' stroke-width='1.3'/&gt;",IF(CZ77="Enlace","&lt;rect x='"&amp;SUBSTITUTE(ROUND((CX77)-5.52,1),",",".")&amp;"' y='"&amp;SUBSTITUTE(ROUND((CY77)-5.52,1),",",".")&amp;"' width='11.04' height='11.04' fill='#6699CC' stroke='#2A3439' stroke-width='1.3'/&gt;",IF(CZ77="Resultado","&lt;path d='M"&amp;SUBSTITUTE(ROUND(CX77,1),",",".")&amp;" "&amp;SUBSTITUTE(ROUND((CY77)-6.9,1),",",".")&amp;"L"&amp;SUBSTITUTE(ROUND((CX77)+6.3,1),",",".")&amp;" "&amp;SUBSTITUTE(ROUND((CY77)+5.1,1),",",".")&amp;"L"&amp;SUBSTITUTE(ROUND((CX77)-6.3,1),",",".")&amp;" "&amp;SUBSTITUTE(ROUND((CY77)+5.1,1),",",".")&amp;"Z' fill='#FFFFFF' stroke='#2A3439' stroke-width='1.3'/&gt;","&lt;path d='M"&amp;SUBSTITUTE(ROUND(CX77,1),",",".")&amp;" "&amp;SUBSTITUTE(ROUND((CY77)-7.5,1),",",".")&amp;"L"&amp;SUBSTITUTE(ROUND((CX77)+7.5,1),",",".")&amp;" "&amp;SUBSTITUTE(ROUND(CY77,1),",",".")&amp;"L"&amp;SUBSTITUTE(ROUND(CX77,1),",",".")&amp;" "&amp;SUBSTITUTE(ROUND((CY77)+7.5,1),",",".")&amp;"L"&amp;SUBSTITUTE(ROUND((CX77)-7.5,1),",",".")&amp;" "&amp;SUBSTITUTE(ROUND(CY77,1),",",".")&amp;"Z' fill='#F5F5F5' stroke='#2A3439' stroke-width='1.3'/&gt;")))&amp;"&lt;text x='"&amp;SUBSTITUTE(ROUND(CX77+9,1),",",".")&amp;"' y='"&amp;SUBSTITUTE(ROUND(CY77-8,1),",",".")&amp;"'&gt;"&amp;DC77&amp;"&lt;/text&gt;","")</f>
        <v/>
      </c>
      <c r="DE77" s="58">
        <f>IF(CU77=1,IF(CZ77="Motriz","&lt;circle cx='"&amp;SUBSTITUTE(ROUND(728,1),",",".")&amp;"' cy='"&amp;SUBSTITUTE(ROUND(645.4,1),",",".")&amp;"' r='4.3' fill='#2A3439' stroke='#2A3439' stroke-width='1.3'/&gt;",IF(CZ77="Enlace","&lt;rect x='"&amp;SUBSTITUTE(ROUND((728)-3.96,1),",",".")&amp;"' y='"&amp;SUBSTITUTE(ROUND((645.4)-3.96,1),",",".")&amp;"' width='7.92' height='7.92' fill='#6699CC' stroke='#2A3439' stroke-width='1.3'/&gt;",IF(CZ77="Resultado","&lt;path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DL77" s="58" t="n">
        <v>26</v>
      </c>
      <c r="DM77" s="58">
        <f>IF(AND($DM$4=1,DL77&lt;=nVariables),IF('M6'!$I35="Resultado","E",IF('M6'!$I35="Enlace","L",IF('M6'!$I35="Motriz","R",IF('M6'!$I35="Autónoma","A","")))),"")</f>
        <v/>
      </c>
      <c r="DN77" s="58">
        <f>IF(DM77&lt;&gt;"",COUNTIF($DM$52:DM77,DM77),"")</f>
        <v/>
      </c>
      <c r="DO77" s="58">
        <f>IF(DM77&lt;&gt;"",SUBSTITUTE(SUBSTITUTE(SUBSTITUTE(SUBSTITUTE(SUBSTITUTE(SUBSTITUTE(SUBSTITUTE(TRIM(CLEAN(IF(LEN(26&amp;" · "&amp;$D65)&gt;30,LEFT(26&amp;" · "&amp;$D65,29)&amp;"…",26&amp;" · "&amp;$D65))),"&amp;","&amp;amp;"),"&lt;","&amp;lt;"),"&gt;","&amp;gt;"),CHAR(34),"&amp;quot;"),CHAR(10)," "),CHAR(9)," "),CHAR(13)," "),"")</f>
        <v/>
      </c>
      <c r="DP77" s="58">
        <f>IF(DM77&lt;&gt;"",IF($E65&lt;&gt;"",$E65,IF(DM77="E","(efecto · indicador de resultado)",IF(DM77="L","(causa directa · riesgo)",IF(DM77="R","CAUSA RAÍZ · componente del proyecto","(fuera del alcance)")))),"")</f>
        <v/>
      </c>
      <c r="DQ77" s="58">
        <f>IF(DM77&lt;&gt;"",IF(LEN(DP77)&gt;74,LEFT(DP77,73)&amp;"…",DP77),"")</f>
        <v/>
      </c>
      <c r="DR77" s="58">
        <f>IF(DM77&lt;&gt;"",IF(LEN(DQ77)&lt;=37,LEN(DQ77)+1,IFERROR(FIND("~",SUBSTITUTE(LEFT(DQ77,38)," ","~",LEN(LEFT(DQ77,38))-LEN(SUBSTITUTE(LEFT(DQ77,38)," ","")))),38)),"")</f>
        <v/>
      </c>
      <c r="DS77" s="58">
        <f>IF(DM77&lt;&gt;"",SUBSTITUTE(SUBSTITUTE(SUBSTITUTE(SUBSTITUTE(SUBSTITUTE(SUBSTITUTE(SUBSTITUTE(TRIM(CLEAN(TRIM(LEFT(DQ77,DR77-1)))),"&amp;","&amp;amp;"),"&lt;","&amp;lt;"),"&gt;","&amp;gt;"),CHAR(34),"&amp;quot;"),CHAR(10)," "),CHAR(9)," "),CHAR(13)," "),"")</f>
        <v/>
      </c>
      <c r="DT77" s="58">
        <f>IF(DM77&lt;&gt;"",SUBSTITUTE(SUBSTITUTE(SUBSTITUTE(SUBSTITUTE(SUBSTITUTE(SUBSTITUTE(SUBSTITUTE(TRIM(CLEAN(IF(LEN(TRIM(MID(DQ77,DR77,80)))&gt;37,LEFT(TRIM(MID(DQ77,DR77,80)),36)&amp;"…",TRIM(MID(DQ77,DR77,80))))),"&amp;","&amp;amp;"),"&lt;","&amp;lt;"),"&gt;","&amp;gt;"),CHAR(34),"&amp;quot;"),CHAR(10)," "),CHAR(9)," "),CHAR(13)," "),"")</f>
        <v/>
      </c>
      <c r="DU77" s="58">
        <f>IF(DM77&lt;&gt;"",(1200-(MIN(5,IF(DM77="E",$DM$5,IF(DM77="L",$DM$8,IF(DM77="R",$DM$11,$DM$14)))-INT((DN77-1)/5)*5)*216+(MIN(5,IF(DM77="E",$DM$5,IF(DM77="L",$DM$8,IF(DM77="R",$DM$11,$DM$14)))-INT((DN77-1)/5)*5)-1)*14))/2+MOD(DN77-1,5)*(216+14),"")</f>
        <v/>
      </c>
      <c r="DV77" s="58">
        <f>IF(DM77&lt;&gt;"",IF(DM77="E",$DM$17,IF(DM77="L",$DM$21,IF(DM77="R",$DM$23,$DM$25)))+24+INT((DN77-1)/5)*(64+12),"")</f>
        <v/>
      </c>
      <c r="DW77" s="58">
        <f>IF(DM77&lt;&gt;"","&lt;rect x='"&amp;SUBSTITUTE(ROUND(DU77,1),",",".")&amp;"' y='"&amp;SUBSTITUTE(ROUND(DV77,1),",",".")&amp;"' width='216' height='64' rx='9' fill='"&amp;IF(DM77="E","#B9D9EB",IF(DM77="L","#9EB9D4",IF(DM77="R","#6699CC","#F5F5F5")))&amp;"' stroke='#2A3439' stroke-width='1'"&amp;IF(DM77="A"," stroke-dasharray='5 3'","")&amp;"/&gt;"&amp;"&lt;text x='"&amp;SUBSTITUTE(ROUND((DU77+108),1),",",".")&amp;"' y='"&amp;SUBSTITUTE(ROUND(DV77+20,1),",",".")&amp;"' font-size='12' font-weight='bold'&gt;"&amp;DO77&amp;"&lt;/text&gt;"&amp;"&lt;text x='"&amp;SUBSTITUTE(ROUND((DU77+108),1),",",".")&amp;"' y='"&amp;SUBSTITUTE(ROUND(DV77+38,1),",",".")&amp;"' font-size='10'&gt;"&amp;DS77&amp;"&lt;/text&gt;"&amp;"&lt;text x='"&amp;SUBSTITUTE(ROUND((DU77+108),1),",",".")&amp;"' y='"&amp;SUBSTITUTE(ROUND(DV77+53,1),",",".")&amp;"' font-size='10'&gt;"&amp;DT77&amp;"&lt;/text&gt;","")</f>
        <v/>
      </c>
    </row>
    <row r="78">
      <c r="A78" s="58" t="n">
        <v>39</v>
      </c>
      <c r="B78" s="58">
        <f>IF($A78&lt;=nVariables,SUBSTITUTE(SUBSTITUTE(SUBSTITUTE(SUBSTITUTE(SUBSTITUTE(SUBSTITUTE(SUBSTITUTE(TRIM(CLEAN(IF(LEN(TRIM(M!$B48))&gt;46,LEFT(TRIM(M!$B48),45)&amp;"…",TRIM(M!$B48)))),"&amp;","&amp;amp;"),"&lt;","&amp;lt;"),"&gt;","&amp;gt;"),CHAR(34),"&amp;quot;"),CHAR(10)," "),CHAR(9)," "),CHAR(13)," "),"")</f>
        <v/>
      </c>
      <c r="C78" s="58">
        <f>IF($A78&lt;=nVariables,$A78&amp;". "&amp;B78,"")</f>
        <v/>
      </c>
      <c r="D78" s="58">
        <f>IF($A78&lt;=nVariables,IF(TRIM(M!$C48)&lt;&gt;"",TRIM(M!$C48),IF(LEN(TRIM(M!$B48))&gt;24,LEFT(TRIM(M!$B48),23)&amp;"…",TRIM(M!$B48))),"")</f>
        <v/>
      </c>
      <c r="E78" s="58">
        <f>IF($A78&lt;=nVariables,TRIM('Árbol de Problemas'!$F57),"")</f>
        <v/>
      </c>
      <c r="H78" s="58" t="n">
        <v>39</v>
      </c>
      <c r="I78" s="58">
        <f>IF(AND($I$4=1,H78&lt;=nVariables),1,0)</f>
        <v/>
      </c>
      <c r="J78" s="58">
        <f>IF(I78=1,'M1'!$F48,"")</f>
        <v/>
      </c>
      <c r="K78" s="58">
        <f>IF(I78=1,'M1'!$E48,"")</f>
        <v/>
      </c>
      <c r="L78" s="58">
        <f>IF(I78=1,90+J78*$I$22,"")</f>
        <v/>
      </c>
      <c r="M78" s="58">
        <f>IF(I78=1,574-K78*$I$23,"")</f>
        <v/>
      </c>
      <c r="N78" s="58">
        <f>IF(I78=1,'M1'!$I48,"")</f>
        <v/>
      </c>
      <c r="O78" s="58">
        <f>IF(I78=1,IF(N78="Motriz","#2A3439",IF(N78="Enlace","#6699CC",IF(N78="Resultado","#FFFFFF","#F5F5F5"))),"")</f>
        <v/>
      </c>
      <c r="P78" s="58">
        <f>IF(I78=1,IF(SUMPRODUCT((J$39:J77=J78)*(K$39:K77=K78))=0,1,0),0)</f>
        <v/>
      </c>
      <c r="Q78" s="58">
        <f>IF(P78=1,39&amp;IF(AND(J79=J78,K79=K78),","&amp;40,""),"")</f>
        <v/>
      </c>
      <c r="R78" s="58">
        <f>IF(P78=1,IF(N78="Motriz","&lt;circle cx='"&amp;SUBSTITUTE(ROUND(L78,1),",",".")&amp;"' cy='"&amp;SUBSTITUTE(ROUND(M78,1),",",".")&amp;"' r='6' fill='#2A3439' stroke='#2A3439' stroke-width='1.3'/&gt;",IF(N78="Enlace","&lt;rect x='"&amp;SUBSTITUTE(ROUND((L78)-5.52,1),",",".")&amp;"' y='"&amp;SUBSTITUTE(ROUND((M78)-5.52,1),",",".")&amp;"' width='11.04' height='11.04' fill='#6699CC' stroke='#2A3439' stroke-width='1.3'/&gt;",IF(N78="Resultado","&lt;path d='M"&amp;SUBSTITUTE(ROUND(L78,1),",",".")&amp;" "&amp;SUBSTITUTE(ROUND((M78)-6.9,1),",",".")&amp;"L"&amp;SUBSTITUTE(ROUND((L78)+6.3,1),",",".")&amp;" "&amp;SUBSTITUTE(ROUND((M78)+5.1,1),",",".")&amp;"L"&amp;SUBSTITUTE(ROUND((L78)-6.3,1),",",".")&amp;" "&amp;SUBSTITUTE(ROUND((M78)+5.1,1),",",".")&amp;"Z' fill='#FFFFFF' stroke='#2A3439' stroke-width='1.3'/&gt;","&lt;path d='M"&amp;SUBSTITUTE(ROUND(L78,1),",",".")&amp;" "&amp;SUBSTITUTE(ROUND((M78)-7.5,1),",",".")&amp;"L"&amp;SUBSTITUTE(ROUND((L78)+7.5,1),",",".")&amp;" "&amp;SUBSTITUTE(ROUND(M78,1),",",".")&amp;"L"&amp;SUBSTITUTE(ROUND(L78,1),",",".")&amp;" "&amp;SUBSTITUTE(ROUND((M78)+7.5,1),",",".")&amp;"L"&amp;SUBSTITUTE(ROUND((L78)-7.5,1),",",".")&amp;" "&amp;SUBSTITUTE(ROUND(M78,1),",",".")&amp;"Z' fill='#F5F5F5' stroke='#2A3439' stroke-width='1.3'/&gt;")))&amp;"&lt;text x='"&amp;SUBSTITUTE(ROUND(L78+9,1),",",".")&amp;"' y='"&amp;SUBSTITUTE(ROUND(M78-8,1),",",".")&amp;"'&gt;"&amp;Q78&amp;"&lt;/text&gt;","")</f>
        <v/>
      </c>
      <c r="S78" s="58">
        <f>IF(I78=1,IF(N78="Motriz","&lt;circle cx='"&amp;SUBSTITUTE(ROUND(728,1),",",".")&amp;"' cy='"&amp;SUBSTITUTE(ROUND(659.6,1),",",".")&amp;"' r='4.3' fill='#2A3439' stroke='#2A3439' stroke-width='1.3'/&gt;",IF(N78="Enlace","&lt;rect x='"&amp;SUBSTITUTE(ROUND((728)-3.96,1),",",".")&amp;"' y='"&amp;SUBSTITUTE(ROUND((659.6)-3.96,1),",",".")&amp;"' width='7.92' height='7.92' fill='#6699CC' stroke='#2A3439' stroke-width='1.3'/&gt;",IF(N78="Resultado","&lt;path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Z78" s="58" t="n">
        <v>39</v>
      </c>
      <c r="AA78" s="58">
        <f>IF(AND($AA$4=1,Z78&lt;=nVariables),1,0)</f>
        <v/>
      </c>
      <c r="AB78" s="58">
        <f>IF(AA78=1,'M2'!$F48,"")</f>
        <v/>
      </c>
      <c r="AC78" s="58">
        <f>IF(AA78=1,'M2'!$E48,"")</f>
        <v/>
      </c>
      <c r="AD78" s="58">
        <f>IF(AA78=1,90+AB78*$AA$22,"")</f>
        <v/>
      </c>
      <c r="AE78" s="58">
        <f>IF(AA78=1,574-AC78*$AA$23,"")</f>
        <v/>
      </c>
      <c r="AF78" s="58">
        <f>IF(AA78=1,'M2'!$I48,"")</f>
        <v/>
      </c>
      <c r="AG78" s="58">
        <f>IF(AA78=1,IF(AF78="Motriz","#2A3439",IF(AF78="Enlace","#6699CC",IF(AF78="Resultado","#FFFFFF","#F5F5F5"))),"")</f>
        <v/>
      </c>
      <c r="AH78" s="58">
        <f>IF(AA78=1,IF(SUMPRODUCT((AB$39:AB77=AB78)*(AC$39:AC77=AC78))=0,1,0),0)</f>
        <v/>
      </c>
      <c r="AI78" s="58">
        <f>IF(AH78=1,39&amp;IF(AND(AB79=AB78,AC79=AC78),","&amp;40,""),"")</f>
        <v/>
      </c>
      <c r="AJ78" s="58">
        <f>IF(AH78=1,IF(AF78="Motriz","&lt;circle cx='"&amp;SUBSTITUTE(ROUND(AD78,1),",",".")&amp;"' cy='"&amp;SUBSTITUTE(ROUND(AE78,1),",",".")&amp;"' r='6' fill='#2A3439' stroke='#2A3439' stroke-width='1.3'/&gt;",IF(AF78="Enlace","&lt;rect x='"&amp;SUBSTITUTE(ROUND((AD78)-5.52,1),",",".")&amp;"' y='"&amp;SUBSTITUTE(ROUND((AE78)-5.52,1),",",".")&amp;"' width='11.04' height='11.04' fill='#6699CC' stroke='#2A3439' stroke-width='1.3'/&gt;",IF(AF78="Resultado","&lt;path d='M"&amp;SUBSTITUTE(ROUND(AD78,1),",",".")&amp;" "&amp;SUBSTITUTE(ROUND((AE78)-6.9,1),",",".")&amp;"L"&amp;SUBSTITUTE(ROUND((AD78)+6.3,1),",",".")&amp;" "&amp;SUBSTITUTE(ROUND((AE78)+5.1,1),",",".")&amp;"L"&amp;SUBSTITUTE(ROUND((AD78)-6.3,1),",",".")&amp;" "&amp;SUBSTITUTE(ROUND((AE78)+5.1,1),",",".")&amp;"Z' fill='#FFFFFF' stroke='#2A3439' stroke-width='1.3'/&gt;","&lt;path d='M"&amp;SUBSTITUTE(ROUND(AD78,1),",",".")&amp;" "&amp;SUBSTITUTE(ROUND((AE78)-7.5,1),",",".")&amp;"L"&amp;SUBSTITUTE(ROUND((AD78)+7.5,1),",",".")&amp;" "&amp;SUBSTITUTE(ROUND(AE78,1),",",".")&amp;"L"&amp;SUBSTITUTE(ROUND(AD78,1),",",".")&amp;" "&amp;SUBSTITUTE(ROUND((AE78)+7.5,1),",",".")&amp;"L"&amp;SUBSTITUTE(ROUND((AD78)-7.5,1),",",".")&amp;" "&amp;SUBSTITUTE(ROUND(AE78,1),",",".")&amp;"Z' fill='#F5F5F5' stroke='#2A3439' stroke-width='1.3'/&gt;")))&amp;"&lt;text x='"&amp;SUBSTITUTE(ROUND(AD78+9,1),",",".")&amp;"' y='"&amp;SUBSTITUTE(ROUND(AE78-8,1),",",".")&amp;"'&gt;"&amp;AI78&amp;"&lt;/text&gt;","")</f>
        <v/>
      </c>
      <c r="AK78" s="58">
        <f>IF(AA78=1,IF(AF78="Motriz","&lt;circle cx='"&amp;SUBSTITUTE(ROUND(728,1),",",".")&amp;"' cy='"&amp;SUBSTITUTE(ROUND(659.6,1),",",".")&amp;"' r='4.3' fill='#2A3439' stroke='#2A3439' stroke-width='1.3'/&gt;",IF(AF78="Enlace","&lt;rect x='"&amp;SUBSTITUTE(ROUND((728)-3.96,1),",",".")&amp;"' y='"&amp;SUBSTITUTE(ROUND((659.6)-3.96,1),",",".")&amp;"' width='7.92' height='7.92' fill='#6699CC' stroke='#2A3439' stroke-width='1.3'/&gt;",IF(AF78="Resultado","&lt;path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AR78" s="58" t="n">
        <v>39</v>
      </c>
      <c r="AS78" s="58">
        <f>IF(AND($AS$4=1,AR78&lt;=nVariables),1,0)</f>
        <v/>
      </c>
      <c r="AT78" s="58">
        <f>IF(AS78=1,'M3'!$F48,"")</f>
        <v/>
      </c>
      <c r="AU78" s="58">
        <f>IF(AS78=1,'M3'!$E48,"")</f>
        <v/>
      </c>
      <c r="AV78" s="58">
        <f>IF(AS78=1,90+AT78*$AS$22,"")</f>
        <v/>
      </c>
      <c r="AW78" s="58">
        <f>IF(AS78=1,574-AU78*$AS$23,"")</f>
        <v/>
      </c>
      <c r="AX78" s="58">
        <f>IF(AS78=1,'M3'!$I48,"")</f>
        <v/>
      </c>
      <c r="AY78" s="58">
        <f>IF(AS78=1,IF(AX78="Motriz","#2A3439",IF(AX78="Enlace","#6699CC",IF(AX78="Resultado","#FFFFFF","#F5F5F5"))),"")</f>
        <v/>
      </c>
      <c r="AZ78" s="58">
        <f>IF(AS78=1,IF(SUMPRODUCT((AT$39:AT77=AT78)*(AU$39:AU77=AU78))=0,1,0),0)</f>
        <v/>
      </c>
      <c r="BA78" s="58">
        <f>IF(AZ78=1,39&amp;IF(AND(AT79=AT78,AU79=AU78),","&amp;40,""),"")</f>
        <v/>
      </c>
      <c r="BB78" s="58">
        <f>IF(AZ78=1,IF(AX78="Motriz","&lt;circle cx='"&amp;SUBSTITUTE(ROUND(AV78,1),",",".")&amp;"' cy='"&amp;SUBSTITUTE(ROUND(AW78,1),",",".")&amp;"' r='6' fill='#2A3439' stroke='#2A3439' stroke-width='1.3'/&gt;",IF(AX78="Enlace","&lt;rect x='"&amp;SUBSTITUTE(ROUND((AV78)-5.52,1),",",".")&amp;"' y='"&amp;SUBSTITUTE(ROUND((AW78)-5.52,1),",",".")&amp;"' width='11.04' height='11.04' fill='#6699CC' stroke='#2A3439' stroke-width='1.3'/&gt;",IF(AX78="Resultado","&lt;path d='M"&amp;SUBSTITUTE(ROUND(AV78,1),",",".")&amp;" "&amp;SUBSTITUTE(ROUND((AW78)-6.9,1),",",".")&amp;"L"&amp;SUBSTITUTE(ROUND((AV78)+6.3,1),",",".")&amp;" "&amp;SUBSTITUTE(ROUND((AW78)+5.1,1),",",".")&amp;"L"&amp;SUBSTITUTE(ROUND((AV78)-6.3,1),",",".")&amp;" "&amp;SUBSTITUTE(ROUND((AW78)+5.1,1),",",".")&amp;"Z' fill='#FFFFFF' stroke='#2A3439' stroke-width='1.3'/&gt;","&lt;path d='M"&amp;SUBSTITUTE(ROUND(AV78,1),",",".")&amp;" "&amp;SUBSTITUTE(ROUND((AW78)-7.5,1),",",".")&amp;"L"&amp;SUBSTITUTE(ROUND((AV78)+7.5,1),",",".")&amp;" "&amp;SUBSTITUTE(ROUND(AW78,1),",",".")&amp;"L"&amp;SUBSTITUTE(ROUND(AV78,1),",",".")&amp;" "&amp;SUBSTITUTE(ROUND((AW78)+7.5,1),",",".")&amp;"L"&amp;SUBSTITUTE(ROUND((AV78)-7.5,1),",",".")&amp;" "&amp;SUBSTITUTE(ROUND(AW78,1),",",".")&amp;"Z' fill='#F5F5F5' stroke='#2A3439' stroke-width='1.3'/&gt;")))&amp;"&lt;text x='"&amp;SUBSTITUTE(ROUND(AV78+9,1),",",".")&amp;"' y='"&amp;SUBSTITUTE(ROUND(AW78-8,1),",",".")&amp;"'&gt;"&amp;BA78&amp;"&lt;/text&gt;","")</f>
        <v/>
      </c>
      <c r="BC78" s="58">
        <f>IF(AS78=1,IF(AX78="Motriz","&lt;circle cx='"&amp;SUBSTITUTE(ROUND(728,1),",",".")&amp;"' cy='"&amp;SUBSTITUTE(ROUND(659.6,1),",",".")&amp;"' r='4.3' fill='#2A3439' stroke='#2A3439' stroke-width='1.3'/&gt;",IF(AX78="Enlace","&lt;rect x='"&amp;SUBSTITUTE(ROUND((728)-3.96,1),",",".")&amp;"' y='"&amp;SUBSTITUTE(ROUND((659.6)-3.96,1),",",".")&amp;"' width='7.92' height='7.92' fill='#6699CC' stroke='#2A3439' stroke-width='1.3'/&gt;",IF(AX78="Resultado","&lt;path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BJ78" s="58" t="n">
        <v>39</v>
      </c>
      <c r="BK78" s="58">
        <f>IF(AND($BK$4=1,BJ78&lt;=nVariables),1,0)</f>
        <v/>
      </c>
      <c r="BL78" s="58">
        <f>IF(BK78=1,'M4'!$F48,"")</f>
        <v/>
      </c>
      <c r="BM78" s="58">
        <f>IF(BK78=1,'M4'!$E48,"")</f>
        <v/>
      </c>
      <c r="BN78" s="58">
        <f>IF(BK78=1,90+BL78*$BK$22,"")</f>
        <v/>
      </c>
      <c r="BO78" s="58">
        <f>IF(BK78=1,574-BM78*$BK$23,"")</f>
        <v/>
      </c>
      <c r="BP78" s="58">
        <f>IF(BK78=1,'M4'!$I48,"")</f>
        <v/>
      </c>
      <c r="BQ78" s="58">
        <f>IF(BK78=1,IF(BP78="Motriz","#2A3439",IF(BP78="Enlace","#6699CC",IF(BP78="Resultado","#FFFFFF","#F5F5F5"))),"")</f>
        <v/>
      </c>
      <c r="BR78" s="58">
        <f>IF(BK78=1,IF(SUMPRODUCT((BL$39:BL77=BL78)*(BM$39:BM77=BM78))=0,1,0),0)</f>
        <v/>
      </c>
      <c r="BS78" s="58">
        <f>IF(BR78=1,39&amp;IF(AND(BL79=BL78,BM79=BM78),","&amp;40,""),"")</f>
        <v/>
      </c>
      <c r="BT78" s="58">
        <f>IF(BR78=1,IF(BP78="Motriz","&lt;circle cx='"&amp;SUBSTITUTE(ROUND(BN78,1),",",".")&amp;"' cy='"&amp;SUBSTITUTE(ROUND(BO78,1),",",".")&amp;"' r='6' fill='#2A3439' stroke='#2A3439' stroke-width='1.3'/&gt;",IF(BP78="Enlace","&lt;rect x='"&amp;SUBSTITUTE(ROUND((BN78)-5.52,1),",",".")&amp;"' y='"&amp;SUBSTITUTE(ROUND((BO78)-5.52,1),",",".")&amp;"' width='11.04' height='11.04' fill='#6699CC' stroke='#2A3439' stroke-width='1.3'/&gt;",IF(BP78="Resultado","&lt;path d='M"&amp;SUBSTITUTE(ROUND(BN78,1),",",".")&amp;" "&amp;SUBSTITUTE(ROUND((BO78)-6.9,1),",",".")&amp;"L"&amp;SUBSTITUTE(ROUND((BN78)+6.3,1),",",".")&amp;" "&amp;SUBSTITUTE(ROUND((BO78)+5.1,1),",",".")&amp;"L"&amp;SUBSTITUTE(ROUND((BN78)-6.3,1),",",".")&amp;" "&amp;SUBSTITUTE(ROUND((BO78)+5.1,1),",",".")&amp;"Z' fill='#FFFFFF' stroke='#2A3439' stroke-width='1.3'/&gt;","&lt;path d='M"&amp;SUBSTITUTE(ROUND(BN78,1),",",".")&amp;" "&amp;SUBSTITUTE(ROUND((BO78)-7.5,1),",",".")&amp;"L"&amp;SUBSTITUTE(ROUND((BN78)+7.5,1),",",".")&amp;" "&amp;SUBSTITUTE(ROUND(BO78,1),",",".")&amp;"L"&amp;SUBSTITUTE(ROUND(BN78,1),",",".")&amp;" "&amp;SUBSTITUTE(ROUND((BO78)+7.5,1),",",".")&amp;"L"&amp;SUBSTITUTE(ROUND((BN78)-7.5,1),",",".")&amp;" "&amp;SUBSTITUTE(ROUND(BO78,1),",",".")&amp;"Z' fill='#F5F5F5' stroke='#2A3439' stroke-width='1.3'/&gt;")))&amp;"&lt;text x='"&amp;SUBSTITUTE(ROUND(BN78+9,1),",",".")&amp;"' y='"&amp;SUBSTITUTE(ROUND(BO78-8,1),",",".")&amp;"'&gt;"&amp;BS78&amp;"&lt;/text&gt;","")</f>
        <v/>
      </c>
      <c r="BU78" s="58">
        <f>IF(BK78=1,IF(BP78="Motriz","&lt;circle cx='"&amp;SUBSTITUTE(ROUND(728,1),",",".")&amp;"' cy='"&amp;SUBSTITUTE(ROUND(659.6,1),",",".")&amp;"' r='4.3' fill='#2A3439' stroke='#2A3439' stroke-width='1.3'/&gt;",IF(BP78="Enlace","&lt;rect x='"&amp;SUBSTITUTE(ROUND((728)-3.96,1),",",".")&amp;"' y='"&amp;SUBSTITUTE(ROUND((659.6)-3.96,1),",",".")&amp;"' width='7.92' height='7.92' fill='#6699CC' stroke='#2A3439' stroke-width='1.3'/&gt;",IF(BP78="Resultado","&lt;path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CB78" s="58" t="n">
        <v>39</v>
      </c>
      <c r="CC78" s="58">
        <f>IF(AND($CC$4=1,CB78&lt;=nVariables),1,0)</f>
        <v/>
      </c>
      <c r="CD78" s="58">
        <f>IF(CC78=1,'M5'!$F48,"")</f>
        <v/>
      </c>
      <c r="CE78" s="58">
        <f>IF(CC78=1,'M5'!$E48,"")</f>
        <v/>
      </c>
      <c r="CF78" s="58">
        <f>IF(CC78=1,90+CD78*$CC$22,"")</f>
        <v/>
      </c>
      <c r="CG78" s="58">
        <f>IF(CC78=1,574-CE78*$CC$23,"")</f>
        <v/>
      </c>
      <c r="CH78" s="58">
        <f>IF(CC78=1,'M5'!$I48,"")</f>
        <v/>
      </c>
      <c r="CI78" s="58">
        <f>IF(CC78=1,IF(CH78="Motriz","#2A3439",IF(CH78="Enlace","#6699CC",IF(CH78="Resultado","#FFFFFF","#F5F5F5"))),"")</f>
        <v/>
      </c>
      <c r="CJ78" s="58">
        <f>IF(CC78=1,IF(SUMPRODUCT((CD$39:CD77=CD78)*(CE$39:CE77=CE78))=0,1,0),0)</f>
        <v/>
      </c>
      <c r="CK78" s="58">
        <f>IF(CJ78=1,39&amp;IF(AND(CD79=CD78,CE79=CE78),","&amp;40,""),"")</f>
        <v/>
      </c>
      <c r="CL78" s="58">
        <f>IF(CJ78=1,IF(CH78="Motriz","&lt;circle cx='"&amp;SUBSTITUTE(ROUND(CF78,1),",",".")&amp;"' cy='"&amp;SUBSTITUTE(ROUND(CG78,1),",",".")&amp;"' r='6' fill='#2A3439' stroke='#2A3439' stroke-width='1.3'/&gt;",IF(CH78="Enlace","&lt;rect x='"&amp;SUBSTITUTE(ROUND((CF78)-5.52,1),",",".")&amp;"' y='"&amp;SUBSTITUTE(ROUND((CG78)-5.52,1),",",".")&amp;"' width='11.04' height='11.04' fill='#6699CC' stroke='#2A3439' stroke-width='1.3'/&gt;",IF(CH78="Resultado","&lt;path d='M"&amp;SUBSTITUTE(ROUND(CF78,1),",",".")&amp;" "&amp;SUBSTITUTE(ROUND((CG78)-6.9,1),",",".")&amp;"L"&amp;SUBSTITUTE(ROUND((CF78)+6.3,1),",",".")&amp;" "&amp;SUBSTITUTE(ROUND((CG78)+5.1,1),",",".")&amp;"L"&amp;SUBSTITUTE(ROUND((CF78)-6.3,1),",",".")&amp;" "&amp;SUBSTITUTE(ROUND((CG78)+5.1,1),",",".")&amp;"Z' fill='#FFFFFF' stroke='#2A3439' stroke-width='1.3'/&gt;","&lt;path d='M"&amp;SUBSTITUTE(ROUND(CF78,1),",",".")&amp;" "&amp;SUBSTITUTE(ROUND((CG78)-7.5,1),",",".")&amp;"L"&amp;SUBSTITUTE(ROUND((CF78)+7.5,1),",",".")&amp;" "&amp;SUBSTITUTE(ROUND(CG78,1),",",".")&amp;"L"&amp;SUBSTITUTE(ROUND(CF78,1),",",".")&amp;" "&amp;SUBSTITUTE(ROUND((CG78)+7.5,1),",",".")&amp;"L"&amp;SUBSTITUTE(ROUND((CF78)-7.5,1),",",".")&amp;" "&amp;SUBSTITUTE(ROUND(CG78,1),",",".")&amp;"Z' fill='#F5F5F5' stroke='#2A3439' stroke-width='1.3'/&gt;")))&amp;"&lt;text x='"&amp;SUBSTITUTE(ROUND(CF78+9,1),",",".")&amp;"' y='"&amp;SUBSTITUTE(ROUND(CG78-8,1),",",".")&amp;"'&gt;"&amp;CK78&amp;"&lt;/text&gt;","")</f>
        <v/>
      </c>
      <c r="CM78" s="58">
        <f>IF(CC78=1,IF(CH78="Motriz","&lt;circle cx='"&amp;SUBSTITUTE(ROUND(728,1),",",".")&amp;"' cy='"&amp;SUBSTITUTE(ROUND(659.6,1),",",".")&amp;"' r='4.3' fill='#2A3439' stroke='#2A3439' stroke-width='1.3'/&gt;",IF(CH78="Enlace","&lt;rect x='"&amp;SUBSTITUTE(ROUND((728)-3.96,1),",",".")&amp;"' y='"&amp;SUBSTITUTE(ROUND((659.6)-3.96,1),",",".")&amp;"' width='7.92' height='7.92' fill='#6699CC' stroke='#2A3439' stroke-width='1.3'/&gt;",IF(CH78="Resultado","&lt;path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CT78" s="58" t="n">
        <v>39</v>
      </c>
      <c r="CU78" s="58">
        <f>IF(AND($CU$4=1,CT78&lt;=nVariables),1,0)</f>
        <v/>
      </c>
      <c r="CV78" s="58">
        <f>IF(CU78=1,'M6'!$F48,"")</f>
        <v/>
      </c>
      <c r="CW78" s="58">
        <f>IF(CU78=1,'M6'!$E48,"")</f>
        <v/>
      </c>
      <c r="CX78" s="58">
        <f>IF(CU78=1,90+CV78*$CU$22,"")</f>
        <v/>
      </c>
      <c r="CY78" s="58">
        <f>IF(CU78=1,574-CW78*$CU$23,"")</f>
        <v/>
      </c>
      <c r="CZ78" s="58">
        <f>IF(CU78=1,'M6'!$I48,"")</f>
        <v/>
      </c>
      <c r="DA78" s="58">
        <f>IF(CU78=1,IF(CZ78="Motriz","#2A3439",IF(CZ78="Enlace","#6699CC",IF(CZ78="Resultado","#FFFFFF","#F5F5F5"))),"")</f>
        <v/>
      </c>
      <c r="DB78" s="58">
        <f>IF(CU78=1,IF(SUMPRODUCT((CV$39:CV77=CV78)*(CW$39:CW77=CW78))=0,1,0),0)</f>
        <v/>
      </c>
      <c r="DC78" s="58">
        <f>IF(DB78=1,39&amp;IF(AND(CV79=CV78,CW79=CW78),","&amp;40,""),"")</f>
        <v/>
      </c>
      <c r="DD78" s="58">
        <f>IF(DB78=1,IF(CZ78="Motriz","&lt;circle cx='"&amp;SUBSTITUTE(ROUND(CX78,1),",",".")&amp;"' cy='"&amp;SUBSTITUTE(ROUND(CY78,1),",",".")&amp;"' r='6' fill='#2A3439' stroke='#2A3439' stroke-width='1.3'/&gt;",IF(CZ78="Enlace","&lt;rect x='"&amp;SUBSTITUTE(ROUND((CX78)-5.52,1),",",".")&amp;"' y='"&amp;SUBSTITUTE(ROUND((CY78)-5.52,1),",",".")&amp;"' width='11.04' height='11.04' fill='#6699CC' stroke='#2A3439' stroke-width='1.3'/&gt;",IF(CZ78="Resultado","&lt;path d='M"&amp;SUBSTITUTE(ROUND(CX78,1),",",".")&amp;" "&amp;SUBSTITUTE(ROUND((CY78)-6.9,1),",",".")&amp;"L"&amp;SUBSTITUTE(ROUND((CX78)+6.3,1),",",".")&amp;" "&amp;SUBSTITUTE(ROUND((CY78)+5.1,1),",",".")&amp;"L"&amp;SUBSTITUTE(ROUND((CX78)-6.3,1),",",".")&amp;" "&amp;SUBSTITUTE(ROUND((CY78)+5.1,1),",",".")&amp;"Z' fill='#FFFFFF' stroke='#2A3439' stroke-width='1.3'/&gt;","&lt;path d='M"&amp;SUBSTITUTE(ROUND(CX78,1),",",".")&amp;" "&amp;SUBSTITUTE(ROUND((CY78)-7.5,1),",",".")&amp;"L"&amp;SUBSTITUTE(ROUND((CX78)+7.5,1),",",".")&amp;" "&amp;SUBSTITUTE(ROUND(CY78,1),",",".")&amp;"L"&amp;SUBSTITUTE(ROUND(CX78,1),",",".")&amp;" "&amp;SUBSTITUTE(ROUND((CY78)+7.5,1),",",".")&amp;"L"&amp;SUBSTITUTE(ROUND((CX78)-7.5,1),",",".")&amp;" "&amp;SUBSTITUTE(ROUND(CY78,1),",",".")&amp;"Z' fill='#F5F5F5' stroke='#2A3439' stroke-width='1.3'/&gt;")))&amp;"&lt;text x='"&amp;SUBSTITUTE(ROUND(CX78+9,1),",",".")&amp;"' y='"&amp;SUBSTITUTE(ROUND(CY78-8,1),",",".")&amp;"'&gt;"&amp;DC78&amp;"&lt;/text&gt;","")</f>
        <v/>
      </c>
      <c r="DE78" s="58">
        <f>IF(CU78=1,IF(CZ78="Motriz","&lt;circle cx='"&amp;SUBSTITUTE(ROUND(728,1),",",".")&amp;"' cy='"&amp;SUBSTITUTE(ROUND(659.6,1),",",".")&amp;"' r='4.3' fill='#2A3439' stroke='#2A3439' stroke-width='1.3'/&gt;",IF(CZ78="Enlace","&lt;rect x='"&amp;SUBSTITUTE(ROUND((728)-3.96,1),",",".")&amp;"' y='"&amp;SUBSTITUTE(ROUND((659.6)-3.96,1),",",".")&amp;"' width='7.92' height='7.92' fill='#6699CC' stroke='#2A3439' stroke-width='1.3'/&gt;",IF(CZ78="Resultado","&lt;path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DL78" s="58" t="n">
        <v>27</v>
      </c>
      <c r="DM78" s="58">
        <f>IF(AND($DM$4=1,DL78&lt;=nVariables),IF('M6'!$I36="Resultado","E",IF('M6'!$I36="Enlace","L",IF('M6'!$I36="Motriz","R",IF('M6'!$I36="Autónoma","A","")))),"")</f>
        <v/>
      </c>
      <c r="DN78" s="58">
        <f>IF(DM78&lt;&gt;"",COUNTIF($DM$52:DM78,DM78),"")</f>
        <v/>
      </c>
      <c r="DO78" s="58">
        <f>IF(DM78&lt;&gt;"",SUBSTITUTE(SUBSTITUTE(SUBSTITUTE(SUBSTITUTE(SUBSTITUTE(SUBSTITUTE(SUBSTITUTE(TRIM(CLEAN(IF(LEN(27&amp;" · "&amp;$D66)&gt;30,LEFT(27&amp;" · "&amp;$D66,29)&amp;"…",27&amp;" · "&amp;$D66))),"&amp;","&amp;amp;"),"&lt;","&amp;lt;"),"&gt;","&amp;gt;"),CHAR(34),"&amp;quot;"),CHAR(10)," "),CHAR(9)," "),CHAR(13)," "),"")</f>
        <v/>
      </c>
      <c r="DP78" s="58">
        <f>IF(DM78&lt;&gt;"",IF($E66&lt;&gt;"",$E66,IF(DM78="E","(efecto · indicador de resultado)",IF(DM78="L","(causa directa · riesgo)",IF(DM78="R","CAUSA RAÍZ · componente del proyecto","(fuera del alcance)")))),"")</f>
        <v/>
      </c>
      <c r="DQ78" s="58">
        <f>IF(DM78&lt;&gt;"",IF(LEN(DP78)&gt;74,LEFT(DP78,73)&amp;"…",DP78),"")</f>
        <v/>
      </c>
      <c r="DR78" s="58">
        <f>IF(DM78&lt;&gt;"",IF(LEN(DQ78)&lt;=37,LEN(DQ78)+1,IFERROR(FIND("~",SUBSTITUTE(LEFT(DQ78,38)," ","~",LEN(LEFT(DQ78,38))-LEN(SUBSTITUTE(LEFT(DQ78,38)," ","")))),38)),"")</f>
        <v/>
      </c>
      <c r="DS78" s="58">
        <f>IF(DM78&lt;&gt;"",SUBSTITUTE(SUBSTITUTE(SUBSTITUTE(SUBSTITUTE(SUBSTITUTE(SUBSTITUTE(SUBSTITUTE(TRIM(CLEAN(TRIM(LEFT(DQ78,DR78-1)))),"&amp;","&amp;amp;"),"&lt;","&amp;lt;"),"&gt;","&amp;gt;"),CHAR(34),"&amp;quot;"),CHAR(10)," "),CHAR(9)," "),CHAR(13)," "),"")</f>
        <v/>
      </c>
      <c r="DT78" s="58">
        <f>IF(DM78&lt;&gt;"",SUBSTITUTE(SUBSTITUTE(SUBSTITUTE(SUBSTITUTE(SUBSTITUTE(SUBSTITUTE(SUBSTITUTE(TRIM(CLEAN(IF(LEN(TRIM(MID(DQ78,DR78,80)))&gt;37,LEFT(TRIM(MID(DQ78,DR78,80)),36)&amp;"…",TRIM(MID(DQ78,DR78,80))))),"&amp;","&amp;amp;"),"&lt;","&amp;lt;"),"&gt;","&amp;gt;"),CHAR(34),"&amp;quot;"),CHAR(10)," "),CHAR(9)," "),CHAR(13)," "),"")</f>
        <v/>
      </c>
      <c r="DU78" s="58">
        <f>IF(DM78&lt;&gt;"",(1200-(MIN(5,IF(DM78="E",$DM$5,IF(DM78="L",$DM$8,IF(DM78="R",$DM$11,$DM$14)))-INT((DN78-1)/5)*5)*216+(MIN(5,IF(DM78="E",$DM$5,IF(DM78="L",$DM$8,IF(DM78="R",$DM$11,$DM$14)))-INT((DN78-1)/5)*5)-1)*14))/2+MOD(DN78-1,5)*(216+14),"")</f>
        <v/>
      </c>
      <c r="DV78" s="58">
        <f>IF(DM78&lt;&gt;"",IF(DM78="E",$DM$17,IF(DM78="L",$DM$21,IF(DM78="R",$DM$23,$DM$25)))+24+INT((DN78-1)/5)*(64+12),"")</f>
        <v/>
      </c>
      <c r="DW78" s="58">
        <f>IF(DM78&lt;&gt;"","&lt;rect x='"&amp;SUBSTITUTE(ROUND(DU78,1),",",".")&amp;"' y='"&amp;SUBSTITUTE(ROUND(DV78,1),",",".")&amp;"' width='216' height='64' rx='9' fill='"&amp;IF(DM78="E","#B9D9EB",IF(DM78="L","#9EB9D4",IF(DM78="R","#6699CC","#F5F5F5")))&amp;"' stroke='#2A3439' stroke-width='1'"&amp;IF(DM78="A"," stroke-dasharray='5 3'","")&amp;"/&gt;"&amp;"&lt;text x='"&amp;SUBSTITUTE(ROUND((DU78+108),1),",",".")&amp;"' y='"&amp;SUBSTITUTE(ROUND(DV78+20,1),",",".")&amp;"' font-size='12' font-weight='bold'&gt;"&amp;DO78&amp;"&lt;/text&gt;"&amp;"&lt;text x='"&amp;SUBSTITUTE(ROUND((DU78+108),1),",",".")&amp;"' y='"&amp;SUBSTITUTE(ROUND(DV78+38,1),",",".")&amp;"' font-size='10'&gt;"&amp;DS78&amp;"&lt;/text&gt;"&amp;"&lt;text x='"&amp;SUBSTITUTE(ROUND((DU78+108),1),",",".")&amp;"' y='"&amp;SUBSTITUTE(ROUND(DV78+53,1),",",".")&amp;"' font-size='10'&gt;"&amp;DT78&amp;"&lt;/text&gt;","")</f>
        <v/>
      </c>
    </row>
    <row r="79">
      <c r="A79" s="58" t="n">
        <v>40</v>
      </c>
      <c r="B79" s="58">
        <f>IF($A79&lt;=nVariables,SUBSTITUTE(SUBSTITUTE(SUBSTITUTE(SUBSTITUTE(SUBSTITUTE(SUBSTITUTE(SUBSTITUTE(TRIM(CLEAN(IF(LEN(TRIM(M!$B49))&gt;46,LEFT(TRIM(M!$B49),45)&amp;"…",TRIM(M!$B49)))),"&amp;","&amp;amp;"),"&lt;","&amp;lt;"),"&gt;","&amp;gt;"),CHAR(34),"&amp;quot;"),CHAR(10)," "),CHAR(9)," "),CHAR(13)," "),"")</f>
        <v/>
      </c>
      <c r="C79" s="58">
        <f>IF($A79&lt;=nVariables,$A79&amp;". "&amp;B79,"")</f>
        <v/>
      </c>
      <c r="D79" s="58">
        <f>IF($A79&lt;=nVariables,IF(TRIM(M!$C49)&lt;&gt;"",TRIM(M!$C49),IF(LEN(TRIM(M!$B49))&gt;24,LEFT(TRIM(M!$B49),23)&amp;"…",TRIM(M!$B49))),"")</f>
        <v/>
      </c>
      <c r="E79" s="58">
        <f>IF($A79&lt;=nVariables,TRIM('Árbol de Problemas'!$F58),"")</f>
        <v/>
      </c>
      <c r="H79" s="58" t="n">
        <v>40</v>
      </c>
      <c r="I79" s="58">
        <f>IF(AND($I$4=1,H79&lt;=nVariables),1,0)</f>
        <v/>
      </c>
      <c r="J79" s="58">
        <f>IF(I79=1,'M1'!$F49,"")</f>
        <v/>
      </c>
      <c r="K79" s="58">
        <f>IF(I79=1,'M1'!$E49,"")</f>
        <v/>
      </c>
      <c r="L79" s="58">
        <f>IF(I79=1,90+J79*$I$22,"")</f>
        <v/>
      </c>
      <c r="M79" s="58">
        <f>IF(I79=1,574-K79*$I$23,"")</f>
        <v/>
      </c>
      <c r="N79" s="58">
        <f>IF(I79=1,'M1'!$I49,"")</f>
        <v/>
      </c>
      <c r="O79" s="58">
        <f>IF(I79=1,IF(N79="Motriz","#2A3439",IF(N79="Enlace","#6699CC",IF(N79="Resultado","#FFFFFF","#F5F5F5"))),"")</f>
        <v/>
      </c>
      <c r="P79" s="58">
        <f>IF(I79=1,IF(SUMPRODUCT((J$39:J78=J79)*(K$39:K78=K79))=0,1,0),0)</f>
        <v/>
      </c>
      <c r="Q79" s="58">
        <f>IF(P79=1,40,"")</f>
        <v/>
      </c>
      <c r="R79" s="58">
        <f>IF(P79=1,IF(N79="Motriz","&lt;circle cx='"&amp;SUBSTITUTE(ROUND(L79,1),",",".")&amp;"' cy='"&amp;SUBSTITUTE(ROUND(M79,1),",",".")&amp;"' r='6' fill='#2A3439' stroke='#2A3439' stroke-width='1.3'/&gt;",IF(N79="Enlace","&lt;rect x='"&amp;SUBSTITUTE(ROUND((L79)-5.52,1),",",".")&amp;"' y='"&amp;SUBSTITUTE(ROUND((M79)-5.52,1),",",".")&amp;"' width='11.04' height='11.04' fill='#6699CC' stroke='#2A3439' stroke-width='1.3'/&gt;",IF(N79="Resultado","&lt;path d='M"&amp;SUBSTITUTE(ROUND(L79,1),",",".")&amp;" "&amp;SUBSTITUTE(ROUND((M79)-6.9,1),",",".")&amp;"L"&amp;SUBSTITUTE(ROUND((L79)+6.3,1),",",".")&amp;" "&amp;SUBSTITUTE(ROUND((M79)+5.1,1),",",".")&amp;"L"&amp;SUBSTITUTE(ROUND((L79)-6.3,1),",",".")&amp;" "&amp;SUBSTITUTE(ROUND((M79)+5.1,1),",",".")&amp;"Z' fill='#FFFFFF' stroke='#2A3439' stroke-width='1.3'/&gt;","&lt;path d='M"&amp;SUBSTITUTE(ROUND(L79,1),",",".")&amp;" "&amp;SUBSTITUTE(ROUND((M79)-7.5,1),",",".")&amp;"L"&amp;SUBSTITUTE(ROUND((L79)+7.5,1),",",".")&amp;" "&amp;SUBSTITUTE(ROUND(M79,1),",",".")&amp;"L"&amp;SUBSTITUTE(ROUND(L79,1),",",".")&amp;" "&amp;SUBSTITUTE(ROUND((M79)+7.5,1),",",".")&amp;"L"&amp;SUBSTITUTE(ROUND((L79)-7.5,1),",",".")&amp;" "&amp;SUBSTITUTE(ROUND(M79,1),",",".")&amp;"Z' fill='#F5F5F5' stroke='#2A3439' stroke-width='1.3'/&gt;")))&amp;"&lt;text x='"&amp;SUBSTITUTE(ROUND(L79+9,1),",",".")&amp;"' y='"&amp;SUBSTITUTE(ROUND(M79-8,1),",",".")&amp;"'&gt;"&amp;Q79&amp;"&lt;/text&gt;","")</f>
        <v/>
      </c>
      <c r="S79" s="58">
        <f>IF(I79=1,IF(N79="Motriz","&lt;circle cx='"&amp;SUBSTITUTE(ROUND(728,1),",",".")&amp;"' cy='"&amp;SUBSTITUTE(ROUND(673.8,1),",",".")&amp;"' r='4.3' fill='#2A3439' stroke='#2A3439' stroke-width='1.3'/&gt;",IF(N79="Enlace","&lt;rect x='"&amp;SUBSTITUTE(ROUND((728)-3.96,1),",",".")&amp;"' y='"&amp;SUBSTITUTE(ROUND((673.8)-3.96,1),",",".")&amp;"' width='7.92' height='7.92' fill='#6699CC' stroke='#2A3439' stroke-width='1.3'/&gt;",IF(N79="Resultado","&lt;path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Z79" s="58" t="n">
        <v>40</v>
      </c>
      <c r="AA79" s="58">
        <f>IF(AND($AA$4=1,Z79&lt;=nVariables),1,0)</f>
        <v/>
      </c>
      <c r="AB79" s="58">
        <f>IF(AA79=1,'M2'!$F49,"")</f>
        <v/>
      </c>
      <c r="AC79" s="58">
        <f>IF(AA79=1,'M2'!$E49,"")</f>
        <v/>
      </c>
      <c r="AD79" s="58">
        <f>IF(AA79=1,90+AB79*$AA$22,"")</f>
        <v/>
      </c>
      <c r="AE79" s="58">
        <f>IF(AA79=1,574-AC79*$AA$23,"")</f>
        <v/>
      </c>
      <c r="AF79" s="58">
        <f>IF(AA79=1,'M2'!$I49,"")</f>
        <v/>
      </c>
      <c r="AG79" s="58">
        <f>IF(AA79=1,IF(AF79="Motriz","#2A3439",IF(AF79="Enlace","#6699CC",IF(AF79="Resultado","#FFFFFF","#F5F5F5"))),"")</f>
        <v/>
      </c>
      <c r="AH79" s="58">
        <f>IF(AA79=1,IF(SUMPRODUCT((AB$39:AB78=AB79)*(AC$39:AC78=AC79))=0,1,0),0)</f>
        <v/>
      </c>
      <c r="AI79" s="58">
        <f>IF(AH79=1,40,"")</f>
        <v/>
      </c>
      <c r="AJ79" s="58">
        <f>IF(AH79=1,IF(AF79="Motriz","&lt;circle cx='"&amp;SUBSTITUTE(ROUND(AD79,1),",",".")&amp;"' cy='"&amp;SUBSTITUTE(ROUND(AE79,1),",",".")&amp;"' r='6' fill='#2A3439' stroke='#2A3439' stroke-width='1.3'/&gt;",IF(AF79="Enlace","&lt;rect x='"&amp;SUBSTITUTE(ROUND((AD79)-5.52,1),",",".")&amp;"' y='"&amp;SUBSTITUTE(ROUND((AE79)-5.52,1),",",".")&amp;"' width='11.04' height='11.04' fill='#6699CC' stroke='#2A3439' stroke-width='1.3'/&gt;",IF(AF79="Resultado","&lt;path d='M"&amp;SUBSTITUTE(ROUND(AD79,1),",",".")&amp;" "&amp;SUBSTITUTE(ROUND((AE79)-6.9,1),",",".")&amp;"L"&amp;SUBSTITUTE(ROUND((AD79)+6.3,1),",",".")&amp;" "&amp;SUBSTITUTE(ROUND((AE79)+5.1,1),",",".")&amp;"L"&amp;SUBSTITUTE(ROUND((AD79)-6.3,1),",",".")&amp;" "&amp;SUBSTITUTE(ROUND((AE79)+5.1,1),",",".")&amp;"Z' fill='#FFFFFF' stroke='#2A3439' stroke-width='1.3'/&gt;","&lt;path d='M"&amp;SUBSTITUTE(ROUND(AD79,1),",",".")&amp;" "&amp;SUBSTITUTE(ROUND((AE79)-7.5,1),",",".")&amp;"L"&amp;SUBSTITUTE(ROUND((AD79)+7.5,1),",",".")&amp;" "&amp;SUBSTITUTE(ROUND(AE79,1),",",".")&amp;"L"&amp;SUBSTITUTE(ROUND(AD79,1),",",".")&amp;" "&amp;SUBSTITUTE(ROUND((AE79)+7.5,1),",",".")&amp;"L"&amp;SUBSTITUTE(ROUND((AD79)-7.5,1),",",".")&amp;" "&amp;SUBSTITUTE(ROUND(AE79,1),",",".")&amp;"Z' fill='#F5F5F5' stroke='#2A3439' stroke-width='1.3'/&gt;")))&amp;"&lt;text x='"&amp;SUBSTITUTE(ROUND(AD79+9,1),",",".")&amp;"' y='"&amp;SUBSTITUTE(ROUND(AE79-8,1),",",".")&amp;"'&gt;"&amp;AI79&amp;"&lt;/text&gt;","")</f>
        <v/>
      </c>
      <c r="AK79" s="58">
        <f>IF(AA79=1,IF(AF79="Motriz","&lt;circle cx='"&amp;SUBSTITUTE(ROUND(728,1),",",".")&amp;"' cy='"&amp;SUBSTITUTE(ROUND(673.8,1),",",".")&amp;"' r='4.3' fill='#2A3439' stroke='#2A3439' stroke-width='1.3'/&gt;",IF(AF79="Enlace","&lt;rect x='"&amp;SUBSTITUTE(ROUND((728)-3.96,1),",",".")&amp;"' y='"&amp;SUBSTITUTE(ROUND((673.8)-3.96,1),",",".")&amp;"' width='7.92' height='7.92' fill='#6699CC' stroke='#2A3439' stroke-width='1.3'/&gt;",IF(AF79="Resultado","&lt;path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AR79" s="58" t="n">
        <v>40</v>
      </c>
      <c r="AS79" s="58">
        <f>IF(AND($AS$4=1,AR79&lt;=nVariables),1,0)</f>
        <v/>
      </c>
      <c r="AT79" s="58">
        <f>IF(AS79=1,'M3'!$F49,"")</f>
        <v/>
      </c>
      <c r="AU79" s="58">
        <f>IF(AS79=1,'M3'!$E49,"")</f>
        <v/>
      </c>
      <c r="AV79" s="58">
        <f>IF(AS79=1,90+AT79*$AS$22,"")</f>
        <v/>
      </c>
      <c r="AW79" s="58">
        <f>IF(AS79=1,574-AU79*$AS$23,"")</f>
        <v/>
      </c>
      <c r="AX79" s="58">
        <f>IF(AS79=1,'M3'!$I49,"")</f>
        <v/>
      </c>
      <c r="AY79" s="58">
        <f>IF(AS79=1,IF(AX79="Motriz","#2A3439",IF(AX79="Enlace","#6699CC",IF(AX79="Resultado","#FFFFFF","#F5F5F5"))),"")</f>
        <v/>
      </c>
      <c r="AZ79" s="58">
        <f>IF(AS79=1,IF(SUMPRODUCT((AT$39:AT78=AT79)*(AU$39:AU78=AU79))=0,1,0),0)</f>
        <v/>
      </c>
      <c r="BA79" s="58">
        <f>IF(AZ79=1,40,"")</f>
        <v/>
      </c>
      <c r="BB79" s="58">
        <f>IF(AZ79=1,IF(AX79="Motriz","&lt;circle cx='"&amp;SUBSTITUTE(ROUND(AV79,1),",",".")&amp;"' cy='"&amp;SUBSTITUTE(ROUND(AW79,1),",",".")&amp;"' r='6' fill='#2A3439' stroke='#2A3439' stroke-width='1.3'/&gt;",IF(AX79="Enlace","&lt;rect x='"&amp;SUBSTITUTE(ROUND((AV79)-5.52,1),",",".")&amp;"' y='"&amp;SUBSTITUTE(ROUND((AW79)-5.52,1),",",".")&amp;"' width='11.04' height='11.04' fill='#6699CC' stroke='#2A3439' stroke-width='1.3'/&gt;",IF(AX79="Resultado","&lt;path d='M"&amp;SUBSTITUTE(ROUND(AV79,1),",",".")&amp;" "&amp;SUBSTITUTE(ROUND((AW79)-6.9,1),",",".")&amp;"L"&amp;SUBSTITUTE(ROUND((AV79)+6.3,1),",",".")&amp;" "&amp;SUBSTITUTE(ROUND((AW79)+5.1,1),",",".")&amp;"L"&amp;SUBSTITUTE(ROUND((AV79)-6.3,1),",",".")&amp;" "&amp;SUBSTITUTE(ROUND((AW79)+5.1,1),",",".")&amp;"Z' fill='#FFFFFF' stroke='#2A3439' stroke-width='1.3'/&gt;","&lt;path d='M"&amp;SUBSTITUTE(ROUND(AV79,1),",",".")&amp;" "&amp;SUBSTITUTE(ROUND((AW79)-7.5,1),",",".")&amp;"L"&amp;SUBSTITUTE(ROUND((AV79)+7.5,1),",",".")&amp;" "&amp;SUBSTITUTE(ROUND(AW79,1),",",".")&amp;"L"&amp;SUBSTITUTE(ROUND(AV79,1),",",".")&amp;" "&amp;SUBSTITUTE(ROUND((AW79)+7.5,1),",",".")&amp;"L"&amp;SUBSTITUTE(ROUND((AV79)-7.5,1),",",".")&amp;" "&amp;SUBSTITUTE(ROUND(AW79,1),",",".")&amp;"Z' fill='#F5F5F5' stroke='#2A3439' stroke-width='1.3'/&gt;")))&amp;"&lt;text x='"&amp;SUBSTITUTE(ROUND(AV79+9,1),",",".")&amp;"' y='"&amp;SUBSTITUTE(ROUND(AW79-8,1),",",".")&amp;"'&gt;"&amp;BA79&amp;"&lt;/text&gt;","")</f>
        <v/>
      </c>
      <c r="BC79" s="58">
        <f>IF(AS79=1,IF(AX79="Motriz","&lt;circle cx='"&amp;SUBSTITUTE(ROUND(728,1),",",".")&amp;"' cy='"&amp;SUBSTITUTE(ROUND(673.8,1),",",".")&amp;"' r='4.3' fill='#2A3439' stroke='#2A3439' stroke-width='1.3'/&gt;",IF(AX79="Enlace","&lt;rect x='"&amp;SUBSTITUTE(ROUND((728)-3.96,1),",",".")&amp;"' y='"&amp;SUBSTITUTE(ROUND((673.8)-3.96,1),",",".")&amp;"' width='7.92' height='7.92' fill='#6699CC' stroke='#2A3439' stroke-width='1.3'/&gt;",IF(AX79="Resultado","&lt;path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BJ79" s="58" t="n">
        <v>40</v>
      </c>
      <c r="BK79" s="58">
        <f>IF(AND($BK$4=1,BJ79&lt;=nVariables),1,0)</f>
        <v/>
      </c>
      <c r="BL79" s="58">
        <f>IF(BK79=1,'M4'!$F49,"")</f>
        <v/>
      </c>
      <c r="BM79" s="58">
        <f>IF(BK79=1,'M4'!$E49,"")</f>
        <v/>
      </c>
      <c r="BN79" s="58">
        <f>IF(BK79=1,90+BL79*$BK$22,"")</f>
        <v/>
      </c>
      <c r="BO79" s="58">
        <f>IF(BK79=1,574-BM79*$BK$23,"")</f>
        <v/>
      </c>
      <c r="BP79" s="58">
        <f>IF(BK79=1,'M4'!$I49,"")</f>
        <v/>
      </c>
      <c r="BQ79" s="58">
        <f>IF(BK79=1,IF(BP79="Motriz","#2A3439",IF(BP79="Enlace","#6699CC",IF(BP79="Resultado","#FFFFFF","#F5F5F5"))),"")</f>
        <v/>
      </c>
      <c r="BR79" s="58">
        <f>IF(BK79=1,IF(SUMPRODUCT((BL$39:BL78=BL79)*(BM$39:BM78=BM79))=0,1,0),0)</f>
        <v/>
      </c>
      <c r="BS79" s="58">
        <f>IF(BR79=1,40,"")</f>
        <v/>
      </c>
      <c r="BT79" s="58">
        <f>IF(BR79=1,IF(BP79="Motriz","&lt;circle cx='"&amp;SUBSTITUTE(ROUND(BN79,1),",",".")&amp;"' cy='"&amp;SUBSTITUTE(ROUND(BO79,1),",",".")&amp;"' r='6' fill='#2A3439' stroke='#2A3439' stroke-width='1.3'/&gt;",IF(BP79="Enlace","&lt;rect x='"&amp;SUBSTITUTE(ROUND((BN79)-5.52,1),",",".")&amp;"' y='"&amp;SUBSTITUTE(ROUND((BO79)-5.52,1),",",".")&amp;"' width='11.04' height='11.04' fill='#6699CC' stroke='#2A3439' stroke-width='1.3'/&gt;",IF(BP79="Resultado","&lt;path d='M"&amp;SUBSTITUTE(ROUND(BN79,1),",",".")&amp;" "&amp;SUBSTITUTE(ROUND((BO79)-6.9,1),",",".")&amp;"L"&amp;SUBSTITUTE(ROUND((BN79)+6.3,1),",",".")&amp;" "&amp;SUBSTITUTE(ROUND((BO79)+5.1,1),",",".")&amp;"L"&amp;SUBSTITUTE(ROUND((BN79)-6.3,1),",",".")&amp;" "&amp;SUBSTITUTE(ROUND((BO79)+5.1,1),",",".")&amp;"Z' fill='#FFFFFF' stroke='#2A3439' stroke-width='1.3'/&gt;","&lt;path d='M"&amp;SUBSTITUTE(ROUND(BN79,1),",",".")&amp;" "&amp;SUBSTITUTE(ROUND((BO79)-7.5,1),",",".")&amp;"L"&amp;SUBSTITUTE(ROUND((BN79)+7.5,1),",",".")&amp;" "&amp;SUBSTITUTE(ROUND(BO79,1),",",".")&amp;"L"&amp;SUBSTITUTE(ROUND(BN79,1),",",".")&amp;" "&amp;SUBSTITUTE(ROUND((BO79)+7.5,1),",",".")&amp;"L"&amp;SUBSTITUTE(ROUND((BN79)-7.5,1),",",".")&amp;" "&amp;SUBSTITUTE(ROUND(BO79,1),",",".")&amp;"Z' fill='#F5F5F5' stroke='#2A3439' stroke-width='1.3'/&gt;")))&amp;"&lt;text x='"&amp;SUBSTITUTE(ROUND(BN79+9,1),",",".")&amp;"' y='"&amp;SUBSTITUTE(ROUND(BO79-8,1),",",".")&amp;"'&gt;"&amp;BS79&amp;"&lt;/text&gt;","")</f>
        <v/>
      </c>
      <c r="BU79" s="58">
        <f>IF(BK79=1,IF(BP79="Motriz","&lt;circle cx='"&amp;SUBSTITUTE(ROUND(728,1),",",".")&amp;"' cy='"&amp;SUBSTITUTE(ROUND(673.8,1),",",".")&amp;"' r='4.3' fill='#2A3439' stroke='#2A3439' stroke-width='1.3'/&gt;",IF(BP79="Enlace","&lt;rect x='"&amp;SUBSTITUTE(ROUND((728)-3.96,1),",",".")&amp;"' y='"&amp;SUBSTITUTE(ROUND((673.8)-3.96,1),",",".")&amp;"' width='7.92' height='7.92' fill='#6699CC' stroke='#2A3439' stroke-width='1.3'/&gt;",IF(BP79="Resultado","&lt;path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CB79" s="58" t="n">
        <v>40</v>
      </c>
      <c r="CC79" s="58">
        <f>IF(AND($CC$4=1,CB79&lt;=nVariables),1,0)</f>
        <v/>
      </c>
      <c r="CD79" s="58">
        <f>IF(CC79=1,'M5'!$F49,"")</f>
        <v/>
      </c>
      <c r="CE79" s="58">
        <f>IF(CC79=1,'M5'!$E49,"")</f>
        <v/>
      </c>
      <c r="CF79" s="58">
        <f>IF(CC79=1,90+CD79*$CC$22,"")</f>
        <v/>
      </c>
      <c r="CG79" s="58">
        <f>IF(CC79=1,574-CE79*$CC$23,"")</f>
        <v/>
      </c>
      <c r="CH79" s="58">
        <f>IF(CC79=1,'M5'!$I49,"")</f>
        <v/>
      </c>
      <c r="CI79" s="58">
        <f>IF(CC79=1,IF(CH79="Motriz","#2A3439",IF(CH79="Enlace","#6699CC",IF(CH79="Resultado","#FFFFFF","#F5F5F5"))),"")</f>
        <v/>
      </c>
      <c r="CJ79" s="58">
        <f>IF(CC79=1,IF(SUMPRODUCT((CD$39:CD78=CD79)*(CE$39:CE78=CE79))=0,1,0),0)</f>
        <v/>
      </c>
      <c r="CK79" s="58">
        <f>IF(CJ79=1,40,"")</f>
        <v/>
      </c>
      <c r="CL79" s="58">
        <f>IF(CJ79=1,IF(CH79="Motriz","&lt;circle cx='"&amp;SUBSTITUTE(ROUND(CF79,1),",",".")&amp;"' cy='"&amp;SUBSTITUTE(ROUND(CG79,1),",",".")&amp;"' r='6' fill='#2A3439' stroke='#2A3439' stroke-width='1.3'/&gt;",IF(CH79="Enlace","&lt;rect x='"&amp;SUBSTITUTE(ROUND((CF79)-5.52,1),",",".")&amp;"' y='"&amp;SUBSTITUTE(ROUND((CG79)-5.52,1),",",".")&amp;"' width='11.04' height='11.04' fill='#6699CC' stroke='#2A3439' stroke-width='1.3'/&gt;",IF(CH79="Resultado","&lt;path d='M"&amp;SUBSTITUTE(ROUND(CF79,1),",",".")&amp;" "&amp;SUBSTITUTE(ROUND((CG79)-6.9,1),",",".")&amp;"L"&amp;SUBSTITUTE(ROUND((CF79)+6.3,1),",",".")&amp;" "&amp;SUBSTITUTE(ROUND((CG79)+5.1,1),",",".")&amp;"L"&amp;SUBSTITUTE(ROUND((CF79)-6.3,1),",",".")&amp;" "&amp;SUBSTITUTE(ROUND((CG79)+5.1,1),",",".")&amp;"Z' fill='#FFFFFF' stroke='#2A3439' stroke-width='1.3'/&gt;","&lt;path d='M"&amp;SUBSTITUTE(ROUND(CF79,1),",",".")&amp;" "&amp;SUBSTITUTE(ROUND((CG79)-7.5,1),",",".")&amp;"L"&amp;SUBSTITUTE(ROUND((CF79)+7.5,1),",",".")&amp;" "&amp;SUBSTITUTE(ROUND(CG79,1),",",".")&amp;"L"&amp;SUBSTITUTE(ROUND(CF79,1),",",".")&amp;" "&amp;SUBSTITUTE(ROUND((CG79)+7.5,1),",",".")&amp;"L"&amp;SUBSTITUTE(ROUND((CF79)-7.5,1),",",".")&amp;" "&amp;SUBSTITUTE(ROUND(CG79,1),",",".")&amp;"Z' fill='#F5F5F5' stroke='#2A3439' stroke-width='1.3'/&gt;")))&amp;"&lt;text x='"&amp;SUBSTITUTE(ROUND(CF79+9,1),",",".")&amp;"' y='"&amp;SUBSTITUTE(ROUND(CG79-8,1),",",".")&amp;"'&gt;"&amp;CK79&amp;"&lt;/text&gt;","")</f>
        <v/>
      </c>
      <c r="CM79" s="58">
        <f>IF(CC79=1,IF(CH79="Motriz","&lt;circle cx='"&amp;SUBSTITUTE(ROUND(728,1),",",".")&amp;"' cy='"&amp;SUBSTITUTE(ROUND(673.8,1),",",".")&amp;"' r='4.3' fill='#2A3439' stroke='#2A3439' stroke-width='1.3'/&gt;",IF(CH79="Enlace","&lt;rect x='"&amp;SUBSTITUTE(ROUND((728)-3.96,1),",",".")&amp;"' y='"&amp;SUBSTITUTE(ROUND((673.8)-3.96,1),",",".")&amp;"' width='7.92' height='7.92' fill='#6699CC' stroke='#2A3439' stroke-width='1.3'/&gt;",IF(CH79="Resultado","&lt;path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CT79" s="58" t="n">
        <v>40</v>
      </c>
      <c r="CU79" s="58">
        <f>IF(AND($CU$4=1,CT79&lt;=nVariables),1,0)</f>
        <v/>
      </c>
      <c r="CV79" s="58">
        <f>IF(CU79=1,'M6'!$F49,"")</f>
        <v/>
      </c>
      <c r="CW79" s="58">
        <f>IF(CU79=1,'M6'!$E49,"")</f>
        <v/>
      </c>
      <c r="CX79" s="58">
        <f>IF(CU79=1,90+CV79*$CU$22,"")</f>
        <v/>
      </c>
      <c r="CY79" s="58">
        <f>IF(CU79=1,574-CW79*$CU$23,"")</f>
        <v/>
      </c>
      <c r="CZ79" s="58">
        <f>IF(CU79=1,'M6'!$I49,"")</f>
        <v/>
      </c>
      <c r="DA79" s="58">
        <f>IF(CU79=1,IF(CZ79="Motriz","#2A3439",IF(CZ79="Enlace","#6699CC",IF(CZ79="Resultado","#FFFFFF","#F5F5F5"))),"")</f>
        <v/>
      </c>
      <c r="DB79" s="58">
        <f>IF(CU79=1,IF(SUMPRODUCT((CV$39:CV78=CV79)*(CW$39:CW78=CW79))=0,1,0),0)</f>
        <v/>
      </c>
      <c r="DC79" s="58">
        <f>IF(DB79=1,40,"")</f>
        <v/>
      </c>
      <c r="DD79" s="58">
        <f>IF(DB79=1,IF(CZ79="Motriz","&lt;circle cx='"&amp;SUBSTITUTE(ROUND(CX79,1),",",".")&amp;"' cy='"&amp;SUBSTITUTE(ROUND(CY79,1),",",".")&amp;"' r='6' fill='#2A3439' stroke='#2A3439' stroke-width='1.3'/&gt;",IF(CZ79="Enlace","&lt;rect x='"&amp;SUBSTITUTE(ROUND((CX79)-5.52,1),",",".")&amp;"' y='"&amp;SUBSTITUTE(ROUND((CY79)-5.52,1),",",".")&amp;"' width='11.04' height='11.04' fill='#6699CC' stroke='#2A3439' stroke-width='1.3'/&gt;",IF(CZ79="Resultado","&lt;path d='M"&amp;SUBSTITUTE(ROUND(CX79,1),",",".")&amp;" "&amp;SUBSTITUTE(ROUND((CY79)-6.9,1),",",".")&amp;"L"&amp;SUBSTITUTE(ROUND((CX79)+6.3,1),",",".")&amp;" "&amp;SUBSTITUTE(ROUND((CY79)+5.1,1),",",".")&amp;"L"&amp;SUBSTITUTE(ROUND((CX79)-6.3,1),",",".")&amp;" "&amp;SUBSTITUTE(ROUND((CY79)+5.1,1),",",".")&amp;"Z' fill='#FFFFFF' stroke='#2A3439' stroke-width='1.3'/&gt;","&lt;path d='M"&amp;SUBSTITUTE(ROUND(CX79,1),",",".")&amp;" "&amp;SUBSTITUTE(ROUND((CY79)-7.5,1),",",".")&amp;"L"&amp;SUBSTITUTE(ROUND((CX79)+7.5,1),",",".")&amp;" "&amp;SUBSTITUTE(ROUND(CY79,1),",",".")&amp;"L"&amp;SUBSTITUTE(ROUND(CX79,1),",",".")&amp;" "&amp;SUBSTITUTE(ROUND((CY79)+7.5,1),",",".")&amp;"L"&amp;SUBSTITUTE(ROUND((CX79)-7.5,1),",",".")&amp;" "&amp;SUBSTITUTE(ROUND(CY79,1),",",".")&amp;"Z' fill='#F5F5F5' stroke='#2A3439' stroke-width='1.3'/&gt;")))&amp;"&lt;text x='"&amp;SUBSTITUTE(ROUND(CX79+9,1),",",".")&amp;"' y='"&amp;SUBSTITUTE(ROUND(CY79-8,1),",",".")&amp;"'&gt;"&amp;DC79&amp;"&lt;/text&gt;","")</f>
        <v/>
      </c>
      <c r="DE79" s="58">
        <f>IF(CU79=1,IF(CZ79="Motriz","&lt;circle cx='"&amp;SUBSTITUTE(ROUND(728,1),",",".")&amp;"' cy='"&amp;SUBSTITUTE(ROUND(673.8,1),",",".")&amp;"' r='4.3' fill='#2A3439' stroke='#2A3439' stroke-width='1.3'/&gt;",IF(CZ79="Enlace","&lt;rect x='"&amp;SUBSTITUTE(ROUND((728)-3.96,1),",",".")&amp;"' y='"&amp;SUBSTITUTE(ROUND((673.8)-3.96,1),",",".")&amp;"' width='7.92' height='7.92' fill='#6699CC' stroke='#2A3439' stroke-width='1.3'/&gt;",IF(CZ79="Resultado","&lt;path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DL79" s="58" t="n">
        <v>28</v>
      </c>
      <c r="DM79" s="58">
        <f>IF(AND($DM$4=1,DL79&lt;=nVariables),IF('M6'!$I37="Resultado","E",IF('M6'!$I37="Enlace","L",IF('M6'!$I37="Motriz","R",IF('M6'!$I37="Autónoma","A","")))),"")</f>
        <v/>
      </c>
      <c r="DN79" s="58">
        <f>IF(DM79&lt;&gt;"",COUNTIF($DM$52:DM79,DM79),"")</f>
        <v/>
      </c>
      <c r="DO79" s="58">
        <f>IF(DM79&lt;&gt;"",SUBSTITUTE(SUBSTITUTE(SUBSTITUTE(SUBSTITUTE(SUBSTITUTE(SUBSTITUTE(SUBSTITUTE(TRIM(CLEAN(IF(LEN(28&amp;" · "&amp;$D67)&gt;30,LEFT(28&amp;" · "&amp;$D67,29)&amp;"…",28&amp;" · "&amp;$D67))),"&amp;","&amp;amp;"),"&lt;","&amp;lt;"),"&gt;","&amp;gt;"),CHAR(34),"&amp;quot;"),CHAR(10)," "),CHAR(9)," "),CHAR(13)," "),"")</f>
        <v/>
      </c>
      <c r="DP79" s="58">
        <f>IF(DM79&lt;&gt;"",IF($E67&lt;&gt;"",$E67,IF(DM79="E","(efecto · indicador de resultado)",IF(DM79="L","(causa directa · riesgo)",IF(DM79="R","CAUSA RAÍZ · componente del proyecto","(fuera del alcance)")))),"")</f>
        <v/>
      </c>
      <c r="DQ79" s="58">
        <f>IF(DM79&lt;&gt;"",IF(LEN(DP79)&gt;74,LEFT(DP79,73)&amp;"…",DP79),"")</f>
        <v/>
      </c>
      <c r="DR79" s="58">
        <f>IF(DM79&lt;&gt;"",IF(LEN(DQ79)&lt;=37,LEN(DQ79)+1,IFERROR(FIND("~",SUBSTITUTE(LEFT(DQ79,38)," ","~",LEN(LEFT(DQ79,38))-LEN(SUBSTITUTE(LEFT(DQ79,38)," ","")))),38)),"")</f>
        <v/>
      </c>
      <c r="DS79" s="58">
        <f>IF(DM79&lt;&gt;"",SUBSTITUTE(SUBSTITUTE(SUBSTITUTE(SUBSTITUTE(SUBSTITUTE(SUBSTITUTE(SUBSTITUTE(TRIM(CLEAN(TRIM(LEFT(DQ79,DR79-1)))),"&amp;","&amp;amp;"),"&lt;","&amp;lt;"),"&gt;","&amp;gt;"),CHAR(34),"&amp;quot;"),CHAR(10)," "),CHAR(9)," "),CHAR(13)," "),"")</f>
        <v/>
      </c>
      <c r="DT79" s="58">
        <f>IF(DM79&lt;&gt;"",SUBSTITUTE(SUBSTITUTE(SUBSTITUTE(SUBSTITUTE(SUBSTITUTE(SUBSTITUTE(SUBSTITUTE(TRIM(CLEAN(IF(LEN(TRIM(MID(DQ79,DR79,80)))&gt;37,LEFT(TRIM(MID(DQ79,DR79,80)),36)&amp;"…",TRIM(MID(DQ79,DR79,80))))),"&amp;","&amp;amp;"),"&lt;","&amp;lt;"),"&gt;","&amp;gt;"),CHAR(34),"&amp;quot;"),CHAR(10)," "),CHAR(9)," "),CHAR(13)," "),"")</f>
        <v/>
      </c>
      <c r="DU79" s="58">
        <f>IF(DM79&lt;&gt;"",(1200-(MIN(5,IF(DM79="E",$DM$5,IF(DM79="L",$DM$8,IF(DM79="R",$DM$11,$DM$14)))-INT((DN79-1)/5)*5)*216+(MIN(5,IF(DM79="E",$DM$5,IF(DM79="L",$DM$8,IF(DM79="R",$DM$11,$DM$14)))-INT((DN79-1)/5)*5)-1)*14))/2+MOD(DN79-1,5)*(216+14),"")</f>
        <v/>
      </c>
      <c r="DV79" s="58">
        <f>IF(DM79&lt;&gt;"",IF(DM79="E",$DM$17,IF(DM79="L",$DM$21,IF(DM79="R",$DM$23,$DM$25)))+24+INT((DN79-1)/5)*(64+12),"")</f>
        <v/>
      </c>
      <c r="DW79" s="58">
        <f>IF(DM79&lt;&gt;"","&lt;rect x='"&amp;SUBSTITUTE(ROUND(DU79,1),",",".")&amp;"' y='"&amp;SUBSTITUTE(ROUND(DV79,1),",",".")&amp;"' width='216' height='64' rx='9' fill='"&amp;IF(DM79="E","#B9D9EB",IF(DM79="L","#9EB9D4",IF(DM79="R","#6699CC","#F5F5F5")))&amp;"' stroke='#2A3439' stroke-width='1'"&amp;IF(DM79="A"," stroke-dasharray='5 3'","")&amp;"/&gt;"&amp;"&lt;text x='"&amp;SUBSTITUTE(ROUND((DU79+108),1),",",".")&amp;"' y='"&amp;SUBSTITUTE(ROUND(DV79+20,1),",",".")&amp;"' font-size='12' font-weight='bold'&gt;"&amp;DO79&amp;"&lt;/text&gt;"&amp;"&lt;text x='"&amp;SUBSTITUTE(ROUND((DU79+108),1),",",".")&amp;"' y='"&amp;SUBSTITUTE(ROUND(DV79+38,1),",",".")&amp;"' font-size='10'&gt;"&amp;DS79&amp;"&lt;/text&gt;"&amp;"&lt;text x='"&amp;SUBSTITUTE(ROUND((DU79+108),1),",",".")&amp;"' y='"&amp;SUBSTITUTE(ROUND(DV79+53,1),",",".")&amp;"' font-size='10'&gt;"&amp;DT79&amp;"&lt;/text&gt;","")</f>
        <v/>
      </c>
    </row>
    <row r="80">
      <c r="DL80" s="58" t="n">
        <v>29</v>
      </c>
      <c r="DM80" s="58">
        <f>IF(AND($DM$4=1,DL80&lt;=nVariables),IF('M6'!$I38="Resultado","E",IF('M6'!$I38="Enlace","L",IF('M6'!$I38="Motriz","R",IF('M6'!$I38="Autónoma","A","")))),"")</f>
        <v/>
      </c>
      <c r="DN80" s="58">
        <f>IF(DM80&lt;&gt;"",COUNTIF($DM$52:DM80,DM80),"")</f>
        <v/>
      </c>
      <c r="DO80" s="58">
        <f>IF(DM80&lt;&gt;"",SUBSTITUTE(SUBSTITUTE(SUBSTITUTE(SUBSTITUTE(SUBSTITUTE(SUBSTITUTE(SUBSTITUTE(TRIM(CLEAN(IF(LEN(29&amp;" · "&amp;$D68)&gt;30,LEFT(29&amp;" · "&amp;$D68,29)&amp;"…",29&amp;" · "&amp;$D68))),"&amp;","&amp;amp;"),"&lt;","&amp;lt;"),"&gt;","&amp;gt;"),CHAR(34),"&amp;quot;"),CHAR(10)," "),CHAR(9)," "),CHAR(13)," "),"")</f>
        <v/>
      </c>
      <c r="DP80" s="58">
        <f>IF(DM80&lt;&gt;"",IF($E68&lt;&gt;"",$E68,IF(DM80="E","(efecto · indicador de resultado)",IF(DM80="L","(causa directa · riesgo)",IF(DM80="R","CAUSA RAÍZ · componente del proyecto","(fuera del alcance)")))),"")</f>
        <v/>
      </c>
      <c r="DQ80" s="58">
        <f>IF(DM80&lt;&gt;"",IF(LEN(DP80)&gt;74,LEFT(DP80,73)&amp;"…",DP80),"")</f>
        <v/>
      </c>
      <c r="DR80" s="58">
        <f>IF(DM80&lt;&gt;"",IF(LEN(DQ80)&lt;=37,LEN(DQ80)+1,IFERROR(FIND("~",SUBSTITUTE(LEFT(DQ80,38)," ","~",LEN(LEFT(DQ80,38))-LEN(SUBSTITUTE(LEFT(DQ80,38)," ","")))),38)),"")</f>
        <v/>
      </c>
      <c r="DS80" s="58">
        <f>IF(DM80&lt;&gt;"",SUBSTITUTE(SUBSTITUTE(SUBSTITUTE(SUBSTITUTE(SUBSTITUTE(SUBSTITUTE(SUBSTITUTE(TRIM(CLEAN(TRIM(LEFT(DQ80,DR80-1)))),"&amp;","&amp;amp;"),"&lt;","&amp;lt;"),"&gt;","&amp;gt;"),CHAR(34),"&amp;quot;"),CHAR(10)," "),CHAR(9)," "),CHAR(13)," "),"")</f>
        <v/>
      </c>
      <c r="DT80" s="58">
        <f>IF(DM80&lt;&gt;"",SUBSTITUTE(SUBSTITUTE(SUBSTITUTE(SUBSTITUTE(SUBSTITUTE(SUBSTITUTE(SUBSTITUTE(TRIM(CLEAN(IF(LEN(TRIM(MID(DQ80,DR80,80)))&gt;37,LEFT(TRIM(MID(DQ80,DR80,80)),36)&amp;"…",TRIM(MID(DQ80,DR80,80))))),"&amp;","&amp;amp;"),"&lt;","&amp;lt;"),"&gt;","&amp;gt;"),CHAR(34),"&amp;quot;"),CHAR(10)," "),CHAR(9)," "),CHAR(13)," "),"")</f>
        <v/>
      </c>
      <c r="DU80" s="58">
        <f>IF(DM80&lt;&gt;"",(1200-(MIN(5,IF(DM80="E",$DM$5,IF(DM80="L",$DM$8,IF(DM80="R",$DM$11,$DM$14)))-INT((DN80-1)/5)*5)*216+(MIN(5,IF(DM80="E",$DM$5,IF(DM80="L",$DM$8,IF(DM80="R",$DM$11,$DM$14)))-INT((DN80-1)/5)*5)-1)*14))/2+MOD(DN80-1,5)*(216+14),"")</f>
        <v/>
      </c>
      <c r="DV80" s="58">
        <f>IF(DM80&lt;&gt;"",IF(DM80="E",$DM$17,IF(DM80="L",$DM$21,IF(DM80="R",$DM$23,$DM$25)))+24+INT((DN80-1)/5)*(64+12),"")</f>
        <v/>
      </c>
      <c r="DW80" s="58">
        <f>IF(DM80&lt;&gt;"","&lt;rect x='"&amp;SUBSTITUTE(ROUND(DU80,1),",",".")&amp;"' y='"&amp;SUBSTITUTE(ROUND(DV80,1),",",".")&amp;"' width='216' height='64' rx='9' fill='"&amp;IF(DM80="E","#B9D9EB",IF(DM80="L","#9EB9D4",IF(DM80="R","#6699CC","#F5F5F5")))&amp;"' stroke='#2A3439' stroke-width='1'"&amp;IF(DM80="A"," stroke-dasharray='5 3'","")&amp;"/&gt;"&amp;"&lt;text x='"&amp;SUBSTITUTE(ROUND((DU80+108),1),",",".")&amp;"' y='"&amp;SUBSTITUTE(ROUND(DV80+20,1),",",".")&amp;"' font-size='12' font-weight='bold'&gt;"&amp;DO80&amp;"&lt;/text&gt;"&amp;"&lt;text x='"&amp;SUBSTITUTE(ROUND((DU80+108),1),",",".")&amp;"' y='"&amp;SUBSTITUTE(ROUND(DV80+38,1),",",".")&amp;"' font-size='10'&gt;"&amp;DS80&amp;"&lt;/text&gt;"&amp;"&lt;text x='"&amp;SUBSTITUTE(ROUND((DU80+108),1),",",".")&amp;"' y='"&amp;SUBSTITUTE(ROUND(DV80+53,1),",",".")&amp;"' font-size='10'&gt;"&amp;DT80&amp;"&lt;/text&gt;","")</f>
        <v/>
      </c>
    </row>
    <row r="81">
      <c r="DL81" s="58" t="n">
        <v>30</v>
      </c>
      <c r="DM81" s="58">
        <f>IF(AND($DM$4=1,DL81&lt;=nVariables),IF('M6'!$I39="Resultado","E",IF('M6'!$I39="Enlace","L",IF('M6'!$I39="Motriz","R",IF('M6'!$I39="Autónoma","A","")))),"")</f>
        <v/>
      </c>
      <c r="DN81" s="58">
        <f>IF(DM81&lt;&gt;"",COUNTIF($DM$52:DM81,DM81),"")</f>
        <v/>
      </c>
      <c r="DO81" s="58">
        <f>IF(DM81&lt;&gt;"",SUBSTITUTE(SUBSTITUTE(SUBSTITUTE(SUBSTITUTE(SUBSTITUTE(SUBSTITUTE(SUBSTITUTE(TRIM(CLEAN(IF(LEN(30&amp;" · "&amp;$D69)&gt;30,LEFT(30&amp;" · "&amp;$D69,29)&amp;"…",30&amp;" · "&amp;$D69))),"&amp;","&amp;amp;"),"&lt;","&amp;lt;"),"&gt;","&amp;gt;"),CHAR(34),"&amp;quot;"),CHAR(10)," "),CHAR(9)," "),CHAR(13)," "),"")</f>
        <v/>
      </c>
      <c r="DP81" s="58">
        <f>IF(DM81&lt;&gt;"",IF($E69&lt;&gt;"",$E69,IF(DM81="E","(efecto · indicador de resultado)",IF(DM81="L","(causa directa · riesgo)",IF(DM81="R","CAUSA RAÍZ · componente del proyecto","(fuera del alcance)")))),"")</f>
        <v/>
      </c>
      <c r="DQ81" s="58">
        <f>IF(DM81&lt;&gt;"",IF(LEN(DP81)&gt;74,LEFT(DP81,73)&amp;"…",DP81),"")</f>
        <v/>
      </c>
      <c r="DR81" s="58">
        <f>IF(DM81&lt;&gt;"",IF(LEN(DQ81)&lt;=37,LEN(DQ81)+1,IFERROR(FIND("~",SUBSTITUTE(LEFT(DQ81,38)," ","~",LEN(LEFT(DQ81,38))-LEN(SUBSTITUTE(LEFT(DQ81,38)," ","")))),38)),"")</f>
        <v/>
      </c>
      <c r="DS81" s="58">
        <f>IF(DM81&lt;&gt;"",SUBSTITUTE(SUBSTITUTE(SUBSTITUTE(SUBSTITUTE(SUBSTITUTE(SUBSTITUTE(SUBSTITUTE(TRIM(CLEAN(TRIM(LEFT(DQ81,DR81-1)))),"&amp;","&amp;amp;"),"&lt;","&amp;lt;"),"&gt;","&amp;gt;"),CHAR(34),"&amp;quot;"),CHAR(10)," "),CHAR(9)," "),CHAR(13)," "),"")</f>
        <v/>
      </c>
      <c r="DT81" s="58">
        <f>IF(DM81&lt;&gt;"",SUBSTITUTE(SUBSTITUTE(SUBSTITUTE(SUBSTITUTE(SUBSTITUTE(SUBSTITUTE(SUBSTITUTE(TRIM(CLEAN(IF(LEN(TRIM(MID(DQ81,DR81,80)))&gt;37,LEFT(TRIM(MID(DQ81,DR81,80)),36)&amp;"…",TRIM(MID(DQ81,DR81,80))))),"&amp;","&amp;amp;"),"&lt;","&amp;lt;"),"&gt;","&amp;gt;"),CHAR(34),"&amp;quot;"),CHAR(10)," "),CHAR(9)," "),CHAR(13)," "),"")</f>
        <v/>
      </c>
      <c r="DU81" s="58">
        <f>IF(DM81&lt;&gt;"",(1200-(MIN(5,IF(DM81="E",$DM$5,IF(DM81="L",$DM$8,IF(DM81="R",$DM$11,$DM$14)))-INT((DN81-1)/5)*5)*216+(MIN(5,IF(DM81="E",$DM$5,IF(DM81="L",$DM$8,IF(DM81="R",$DM$11,$DM$14)))-INT((DN81-1)/5)*5)-1)*14))/2+MOD(DN81-1,5)*(216+14),"")</f>
        <v/>
      </c>
      <c r="DV81" s="58">
        <f>IF(DM81&lt;&gt;"",IF(DM81="E",$DM$17,IF(DM81="L",$DM$21,IF(DM81="R",$DM$23,$DM$25)))+24+INT((DN81-1)/5)*(64+12),"")</f>
        <v/>
      </c>
      <c r="DW81" s="58">
        <f>IF(DM81&lt;&gt;"","&lt;rect x='"&amp;SUBSTITUTE(ROUND(DU81,1),",",".")&amp;"' y='"&amp;SUBSTITUTE(ROUND(DV81,1),",",".")&amp;"' width='216' height='64' rx='9' fill='"&amp;IF(DM81="E","#B9D9EB",IF(DM81="L","#9EB9D4",IF(DM81="R","#6699CC","#F5F5F5")))&amp;"' stroke='#2A3439' stroke-width='1'"&amp;IF(DM81="A"," stroke-dasharray='5 3'","")&amp;"/&gt;"&amp;"&lt;text x='"&amp;SUBSTITUTE(ROUND((DU81+108),1),",",".")&amp;"' y='"&amp;SUBSTITUTE(ROUND(DV81+20,1),",",".")&amp;"' font-size='12' font-weight='bold'&gt;"&amp;DO81&amp;"&lt;/text&gt;"&amp;"&lt;text x='"&amp;SUBSTITUTE(ROUND((DU81+108),1),",",".")&amp;"' y='"&amp;SUBSTITUTE(ROUND(DV81+38,1),",",".")&amp;"' font-size='10'&gt;"&amp;DS81&amp;"&lt;/text&gt;"&amp;"&lt;text x='"&amp;SUBSTITUTE(ROUND((DU81+108),1),",",".")&amp;"' y='"&amp;SUBSTITUTE(ROUND(DV81+53,1),",",".")&amp;"' font-size='10'&gt;"&amp;DT81&amp;"&lt;/text&gt;","")</f>
        <v/>
      </c>
    </row>
    <row r="82">
      <c r="DL82" s="58" t="n">
        <v>31</v>
      </c>
      <c r="DM82" s="58">
        <f>IF(AND($DM$4=1,DL82&lt;=nVariables),IF('M6'!$I40="Resultado","E",IF('M6'!$I40="Enlace","L",IF('M6'!$I40="Motriz","R",IF('M6'!$I40="Autónoma","A","")))),"")</f>
        <v/>
      </c>
      <c r="DN82" s="58">
        <f>IF(DM82&lt;&gt;"",COUNTIF($DM$52:DM82,DM82),"")</f>
        <v/>
      </c>
      <c r="DO82" s="58">
        <f>IF(DM82&lt;&gt;"",SUBSTITUTE(SUBSTITUTE(SUBSTITUTE(SUBSTITUTE(SUBSTITUTE(SUBSTITUTE(SUBSTITUTE(TRIM(CLEAN(IF(LEN(31&amp;" · "&amp;$D70)&gt;30,LEFT(31&amp;" · "&amp;$D70,29)&amp;"…",31&amp;" · "&amp;$D70))),"&amp;","&amp;amp;"),"&lt;","&amp;lt;"),"&gt;","&amp;gt;"),CHAR(34),"&amp;quot;"),CHAR(10)," "),CHAR(9)," "),CHAR(13)," "),"")</f>
        <v/>
      </c>
      <c r="DP82" s="58">
        <f>IF(DM82&lt;&gt;"",IF($E70&lt;&gt;"",$E70,IF(DM82="E","(efecto · indicador de resultado)",IF(DM82="L","(causa directa · riesgo)",IF(DM82="R","CAUSA RAÍZ · componente del proyecto","(fuera del alcance)")))),"")</f>
        <v/>
      </c>
      <c r="DQ82" s="58">
        <f>IF(DM82&lt;&gt;"",IF(LEN(DP82)&gt;74,LEFT(DP82,73)&amp;"…",DP82),"")</f>
        <v/>
      </c>
      <c r="DR82" s="58">
        <f>IF(DM82&lt;&gt;"",IF(LEN(DQ82)&lt;=37,LEN(DQ82)+1,IFERROR(FIND("~",SUBSTITUTE(LEFT(DQ82,38)," ","~",LEN(LEFT(DQ82,38))-LEN(SUBSTITUTE(LEFT(DQ82,38)," ","")))),38)),"")</f>
        <v/>
      </c>
      <c r="DS82" s="58">
        <f>IF(DM82&lt;&gt;"",SUBSTITUTE(SUBSTITUTE(SUBSTITUTE(SUBSTITUTE(SUBSTITUTE(SUBSTITUTE(SUBSTITUTE(TRIM(CLEAN(TRIM(LEFT(DQ82,DR82-1)))),"&amp;","&amp;amp;"),"&lt;","&amp;lt;"),"&gt;","&amp;gt;"),CHAR(34),"&amp;quot;"),CHAR(10)," "),CHAR(9)," "),CHAR(13)," "),"")</f>
        <v/>
      </c>
      <c r="DT82" s="58">
        <f>IF(DM82&lt;&gt;"",SUBSTITUTE(SUBSTITUTE(SUBSTITUTE(SUBSTITUTE(SUBSTITUTE(SUBSTITUTE(SUBSTITUTE(TRIM(CLEAN(IF(LEN(TRIM(MID(DQ82,DR82,80)))&gt;37,LEFT(TRIM(MID(DQ82,DR82,80)),36)&amp;"…",TRIM(MID(DQ82,DR82,80))))),"&amp;","&amp;amp;"),"&lt;","&amp;lt;"),"&gt;","&amp;gt;"),CHAR(34),"&amp;quot;"),CHAR(10)," "),CHAR(9)," "),CHAR(13)," "),"")</f>
        <v/>
      </c>
      <c r="DU82" s="58">
        <f>IF(DM82&lt;&gt;"",(1200-(MIN(5,IF(DM82="E",$DM$5,IF(DM82="L",$DM$8,IF(DM82="R",$DM$11,$DM$14)))-INT((DN82-1)/5)*5)*216+(MIN(5,IF(DM82="E",$DM$5,IF(DM82="L",$DM$8,IF(DM82="R",$DM$11,$DM$14)))-INT((DN82-1)/5)*5)-1)*14))/2+MOD(DN82-1,5)*(216+14),"")</f>
        <v/>
      </c>
      <c r="DV82" s="58">
        <f>IF(DM82&lt;&gt;"",IF(DM82="E",$DM$17,IF(DM82="L",$DM$21,IF(DM82="R",$DM$23,$DM$25)))+24+INT((DN82-1)/5)*(64+12),"")</f>
        <v/>
      </c>
      <c r="DW82" s="58">
        <f>IF(DM82&lt;&gt;"","&lt;rect x='"&amp;SUBSTITUTE(ROUND(DU82,1),",",".")&amp;"' y='"&amp;SUBSTITUTE(ROUND(DV82,1),",",".")&amp;"' width='216' height='64' rx='9' fill='"&amp;IF(DM82="E","#B9D9EB",IF(DM82="L","#9EB9D4",IF(DM82="R","#6699CC","#F5F5F5")))&amp;"' stroke='#2A3439' stroke-width='1'"&amp;IF(DM82="A"," stroke-dasharray='5 3'","")&amp;"/&gt;"&amp;"&lt;text x='"&amp;SUBSTITUTE(ROUND((DU82+108),1),",",".")&amp;"' y='"&amp;SUBSTITUTE(ROUND(DV82+20,1),",",".")&amp;"' font-size='12' font-weight='bold'&gt;"&amp;DO82&amp;"&lt;/text&gt;"&amp;"&lt;text x='"&amp;SUBSTITUTE(ROUND((DU82+108),1),",",".")&amp;"' y='"&amp;SUBSTITUTE(ROUND(DV82+38,1),",",".")&amp;"' font-size='10'&gt;"&amp;DS82&amp;"&lt;/text&gt;"&amp;"&lt;text x='"&amp;SUBSTITUTE(ROUND((DU82+108),1),",",".")&amp;"' y='"&amp;SUBSTITUTE(ROUND(DV82+53,1),",",".")&amp;"' font-size='10'&gt;"&amp;DT82&amp;"&lt;/text&gt;","")</f>
        <v/>
      </c>
    </row>
    <row r="83">
      <c r="DL83" s="58" t="n">
        <v>32</v>
      </c>
      <c r="DM83" s="58">
        <f>IF(AND($DM$4=1,DL83&lt;=nVariables),IF('M6'!$I41="Resultado","E",IF('M6'!$I41="Enlace","L",IF('M6'!$I41="Motriz","R",IF('M6'!$I41="Autónoma","A","")))),"")</f>
        <v/>
      </c>
      <c r="DN83" s="58">
        <f>IF(DM83&lt;&gt;"",COUNTIF($DM$52:DM83,DM83),"")</f>
        <v/>
      </c>
      <c r="DO83" s="58">
        <f>IF(DM83&lt;&gt;"",SUBSTITUTE(SUBSTITUTE(SUBSTITUTE(SUBSTITUTE(SUBSTITUTE(SUBSTITUTE(SUBSTITUTE(TRIM(CLEAN(IF(LEN(32&amp;" · "&amp;$D71)&gt;30,LEFT(32&amp;" · "&amp;$D71,29)&amp;"…",32&amp;" · "&amp;$D71))),"&amp;","&amp;amp;"),"&lt;","&amp;lt;"),"&gt;","&amp;gt;"),CHAR(34),"&amp;quot;"),CHAR(10)," "),CHAR(9)," "),CHAR(13)," "),"")</f>
        <v/>
      </c>
      <c r="DP83" s="58">
        <f>IF(DM83&lt;&gt;"",IF($E71&lt;&gt;"",$E71,IF(DM83="E","(efecto · indicador de resultado)",IF(DM83="L","(causa directa · riesgo)",IF(DM83="R","CAUSA RAÍZ · componente del proyecto","(fuera del alcance)")))),"")</f>
        <v/>
      </c>
      <c r="DQ83" s="58">
        <f>IF(DM83&lt;&gt;"",IF(LEN(DP83)&gt;74,LEFT(DP83,73)&amp;"…",DP83),"")</f>
        <v/>
      </c>
      <c r="DR83" s="58">
        <f>IF(DM83&lt;&gt;"",IF(LEN(DQ83)&lt;=37,LEN(DQ83)+1,IFERROR(FIND("~",SUBSTITUTE(LEFT(DQ83,38)," ","~",LEN(LEFT(DQ83,38))-LEN(SUBSTITUTE(LEFT(DQ83,38)," ","")))),38)),"")</f>
        <v/>
      </c>
      <c r="DS83" s="58">
        <f>IF(DM83&lt;&gt;"",SUBSTITUTE(SUBSTITUTE(SUBSTITUTE(SUBSTITUTE(SUBSTITUTE(SUBSTITUTE(SUBSTITUTE(TRIM(CLEAN(TRIM(LEFT(DQ83,DR83-1)))),"&amp;","&amp;amp;"),"&lt;","&amp;lt;"),"&gt;","&amp;gt;"),CHAR(34),"&amp;quot;"),CHAR(10)," "),CHAR(9)," "),CHAR(13)," "),"")</f>
        <v/>
      </c>
      <c r="DT83" s="58">
        <f>IF(DM83&lt;&gt;"",SUBSTITUTE(SUBSTITUTE(SUBSTITUTE(SUBSTITUTE(SUBSTITUTE(SUBSTITUTE(SUBSTITUTE(TRIM(CLEAN(IF(LEN(TRIM(MID(DQ83,DR83,80)))&gt;37,LEFT(TRIM(MID(DQ83,DR83,80)),36)&amp;"…",TRIM(MID(DQ83,DR83,80))))),"&amp;","&amp;amp;"),"&lt;","&amp;lt;"),"&gt;","&amp;gt;"),CHAR(34),"&amp;quot;"),CHAR(10)," "),CHAR(9)," "),CHAR(13)," "),"")</f>
        <v/>
      </c>
      <c r="DU83" s="58">
        <f>IF(DM83&lt;&gt;"",(1200-(MIN(5,IF(DM83="E",$DM$5,IF(DM83="L",$DM$8,IF(DM83="R",$DM$11,$DM$14)))-INT((DN83-1)/5)*5)*216+(MIN(5,IF(DM83="E",$DM$5,IF(DM83="L",$DM$8,IF(DM83="R",$DM$11,$DM$14)))-INT((DN83-1)/5)*5)-1)*14))/2+MOD(DN83-1,5)*(216+14),"")</f>
        <v/>
      </c>
      <c r="DV83" s="58">
        <f>IF(DM83&lt;&gt;"",IF(DM83="E",$DM$17,IF(DM83="L",$DM$21,IF(DM83="R",$DM$23,$DM$25)))+24+INT((DN83-1)/5)*(64+12),"")</f>
        <v/>
      </c>
      <c r="DW83" s="58">
        <f>IF(DM83&lt;&gt;"","&lt;rect x='"&amp;SUBSTITUTE(ROUND(DU83,1),",",".")&amp;"' y='"&amp;SUBSTITUTE(ROUND(DV83,1),",",".")&amp;"' width='216' height='64' rx='9' fill='"&amp;IF(DM83="E","#B9D9EB",IF(DM83="L","#9EB9D4",IF(DM83="R","#6699CC","#F5F5F5")))&amp;"' stroke='#2A3439' stroke-width='1'"&amp;IF(DM83="A"," stroke-dasharray='5 3'","")&amp;"/&gt;"&amp;"&lt;text x='"&amp;SUBSTITUTE(ROUND((DU83+108),1),",",".")&amp;"' y='"&amp;SUBSTITUTE(ROUND(DV83+20,1),",",".")&amp;"' font-size='12' font-weight='bold'&gt;"&amp;DO83&amp;"&lt;/text&gt;"&amp;"&lt;text x='"&amp;SUBSTITUTE(ROUND((DU83+108),1),",",".")&amp;"' y='"&amp;SUBSTITUTE(ROUND(DV83+38,1),",",".")&amp;"' font-size='10'&gt;"&amp;DS83&amp;"&lt;/text&gt;"&amp;"&lt;text x='"&amp;SUBSTITUTE(ROUND((DU83+108),1),",",".")&amp;"' y='"&amp;SUBSTITUTE(ROUND(DV83+53,1),",",".")&amp;"' font-size='10'&gt;"&amp;DT83&amp;"&lt;/text&gt;","")</f>
        <v/>
      </c>
    </row>
    <row r="84">
      <c r="DL84" s="58" t="n">
        <v>33</v>
      </c>
      <c r="DM84" s="58">
        <f>IF(AND($DM$4=1,DL84&lt;=nVariables),IF('M6'!$I42="Resultado","E",IF('M6'!$I42="Enlace","L",IF('M6'!$I42="Motriz","R",IF('M6'!$I42="Autónoma","A","")))),"")</f>
        <v/>
      </c>
      <c r="DN84" s="58">
        <f>IF(DM84&lt;&gt;"",COUNTIF($DM$52:DM84,DM84),"")</f>
        <v/>
      </c>
      <c r="DO84" s="58">
        <f>IF(DM84&lt;&gt;"",SUBSTITUTE(SUBSTITUTE(SUBSTITUTE(SUBSTITUTE(SUBSTITUTE(SUBSTITUTE(SUBSTITUTE(TRIM(CLEAN(IF(LEN(33&amp;" · "&amp;$D72)&gt;30,LEFT(33&amp;" · "&amp;$D72,29)&amp;"…",33&amp;" · "&amp;$D72))),"&amp;","&amp;amp;"),"&lt;","&amp;lt;"),"&gt;","&amp;gt;"),CHAR(34),"&amp;quot;"),CHAR(10)," "),CHAR(9)," "),CHAR(13)," "),"")</f>
        <v/>
      </c>
      <c r="DP84" s="58">
        <f>IF(DM84&lt;&gt;"",IF($E72&lt;&gt;"",$E72,IF(DM84="E","(efecto · indicador de resultado)",IF(DM84="L","(causa directa · riesgo)",IF(DM84="R","CAUSA RAÍZ · componente del proyecto","(fuera del alcance)")))),"")</f>
        <v/>
      </c>
      <c r="DQ84" s="58">
        <f>IF(DM84&lt;&gt;"",IF(LEN(DP84)&gt;74,LEFT(DP84,73)&amp;"…",DP84),"")</f>
        <v/>
      </c>
      <c r="DR84" s="58">
        <f>IF(DM84&lt;&gt;"",IF(LEN(DQ84)&lt;=37,LEN(DQ84)+1,IFERROR(FIND("~",SUBSTITUTE(LEFT(DQ84,38)," ","~",LEN(LEFT(DQ84,38))-LEN(SUBSTITUTE(LEFT(DQ84,38)," ","")))),38)),"")</f>
        <v/>
      </c>
      <c r="DS84" s="58">
        <f>IF(DM84&lt;&gt;"",SUBSTITUTE(SUBSTITUTE(SUBSTITUTE(SUBSTITUTE(SUBSTITUTE(SUBSTITUTE(SUBSTITUTE(TRIM(CLEAN(TRIM(LEFT(DQ84,DR84-1)))),"&amp;","&amp;amp;"),"&lt;","&amp;lt;"),"&gt;","&amp;gt;"),CHAR(34),"&amp;quot;"),CHAR(10)," "),CHAR(9)," "),CHAR(13)," "),"")</f>
        <v/>
      </c>
      <c r="DT84" s="58">
        <f>IF(DM84&lt;&gt;"",SUBSTITUTE(SUBSTITUTE(SUBSTITUTE(SUBSTITUTE(SUBSTITUTE(SUBSTITUTE(SUBSTITUTE(TRIM(CLEAN(IF(LEN(TRIM(MID(DQ84,DR84,80)))&gt;37,LEFT(TRIM(MID(DQ84,DR84,80)),36)&amp;"…",TRIM(MID(DQ84,DR84,80))))),"&amp;","&amp;amp;"),"&lt;","&amp;lt;"),"&gt;","&amp;gt;"),CHAR(34),"&amp;quot;"),CHAR(10)," "),CHAR(9)," "),CHAR(13)," "),"")</f>
        <v/>
      </c>
      <c r="DU84" s="58">
        <f>IF(DM84&lt;&gt;"",(1200-(MIN(5,IF(DM84="E",$DM$5,IF(DM84="L",$DM$8,IF(DM84="R",$DM$11,$DM$14)))-INT((DN84-1)/5)*5)*216+(MIN(5,IF(DM84="E",$DM$5,IF(DM84="L",$DM$8,IF(DM84="R",$DM$11,$DM$14)))-INT((DN84-1)/5)*5)-1)*14))/2+MOD(DN84-1,5)*(216+14),"")</f>
        <v/>
      </c>
      <c r="DV84" s="58">
        <f>IF(DM84&lt;&gt;"",IF(DM84="E",$DM$17,IF(DM84="L",$DM$21,IF(DM84="R",$DM$23,$DM$25)))+24+INT((DN84-1)/5)*(64+12),"")</f>
        <v/>
      </c>
      <c r="DW84" s="58">
        <f>IF(DM84&lt;&gt;"","&lt;rect x='"&amp;SUBSTITUTE(ROUND(DU84,1),",",".")&amp;"' y='"&amp;SUBSTITUTE(ROUND(DV84,1),",",".")&amp;"' width='216' height='64' rx='9' fill='"&amp;IF(DM84="E","#B9D9EB",IF(DM84="L","#9EB9D4",IF(DM84="R","#6699CC","#F5F5F5")))&amp;"' stroke='#2A3439' stroke-width='1'"&amp;IF(DM84="A"," stroke-dasharray='5 3'","")&amp;"/&gt;"&amp;"&lt;text x='"&amp;SUBSTITUTE(ROUND((DU84+108),1),",",".")&amp;"' y='"&amp;SUBSTITUTE(ROUND(DV84+20,1),",",".")&amp;"' font-size='12' font-weight='bold'&gt;"&amp;DO84&amp;"&lt;/text&gt;"&amp;"&lt;text x='"&amp;SUBSTITUTE(ROUND((DU84+108),1),",",".")&amp;"' y='"&amp;SUBSTITUTE(ROUND(DV84+38,1),",",".")&amp;"' font-size='10'&gt;"&amp;DS84&amp;"&lt;/text&gt;"&amp;"&lt;text x='"&amp;SUBSTITUTE(ROUND((DU84+108),1),",",".")&amp;"' y='"&amp;SUBSTITUTE(ROUND(DV84+53,1),",",".")&amp;"' font-size='10'&gt;"&amp;DT84&amp;"&lt;/text&gt;","")</f>
        <v/>
      </c>
    </row>
    <row r="85">
      <c r="DL85" s="58" t="n">
        <v>34</v>
      </c>
      <c r="DM85" s="58">
        <f>IF(AND($DM$4=1,DL85&lt;=nVariables),IF('M6'!$I43="Resultado","E",IF('M6'!$I43="Enlace","L",IF('M6'!$I43="Motriz","R",IF('M6'!$I43="Autónoma","A","")))),"")</f>
        <v/>
      </c>
      <c r="DN85" s="58">
        <f>IF(DM85&lt;&gt;"",COUNTIF($DM$52:DM85,DM85),"")</f>
        <v/>
      </c>
      <c r="DO85" s="58">
        <f>IF(DM85&lt;&gt;"",SUBSTITUTE(SUBSTITUTE(SUBSTITUTE(SUBSTITUTE(SUBSTITUTE(SUBSTITUTE(SUBSTITUTE(TRIM(CLEAN(IF(LEN(34&amp;" · "&amp;$D73)&gt;30,LEFT(34&amp;" · "&amp;$D73,29)&amp;"…",34&amp;" · "&amp;$D73))),"&amp;","&amp;amp;"),"&lt;","&amp;lt;"),"&gt;","&amp;gt;"),CHAR(34),"&amp;quot;"),CHAR(10)," "),CHAR(9)," "),CHAR(13)," "),"")</f>
        <v/>
      </c>
      <c r="DP85" s="58">
        <f>IF(DM85&lt;&gt;"",IF($E73&lt;&gt;"",$E73,IF(DM85="E","(efecto · indicador de resultado)",IF(DM85="L","(causa directa · riesgo)",IF(DM85="R","CAUSA RAÍZ · componente del proyecto","(fuera del alcance)")))),"")</f>
        <v/>
      </c>
      <c r="DQ85" s="58">
        <f>IF(DM85&lt;&gt;"",IF(LEN(DP85)&gt;74,LEFT(DP85,73)&amp;"…",DP85),"")</f>
        <v/>
      </c>
      <c r="DR85" s="58">
        <f>IF(DM85&lt;&gt;"",IF(LEN(DQ85)&lt;=37,LEN(DQ85)+1,IFERROR(FIND("~",SUBSTITUTE(LEFT(DQ85,38)," ","~",LEN(LEFT(DQ85,38))-LEN(SUBSTITUTE(LEFT(DQ85,38)," ","")))),38)),"")</f>
        <v/>
      </c>
      <c r="DS85" s="58">
        <f>IF(DM85&lt;&gt;"",SUBSTITUTE(SUBSTITUTE(SUBSTITUTE(SUBSTITUTE(SUBSTITUTE(SUBSTITUTE(SUBSTITUTE(TRIM(CLEAN(TRIM(LEFT(DQ85,DR85-1)))),"&amp;","&amp;amp;"),"&lt;","&amp;lt;"),"&gt;","&amp;gt;"),CHAR(34),"&amp;quot;"),CHAR(10)," "),CHAR(9)," "),CHAR(13)," "),"")</f>
        <v/>
      </c>
      <c r="DT85" s="58">
        <f>IF(DM85&lt;&gt;"",SUBSTITUTE(SUBSTITUTE(SUBSTITUTE(SUBSTITUTE(SUBSTITUTE(SUBSTITUTE(SUBSTITUTE(TRIM(CLEAN(IF(LEN(TRIM(MID(DQ85,DR85,80)))&gt;37,LEFT(TRIM(MID(DQ85,DR85,80)),36)&amp;"…",TRIM(MID(DQ85,DR85,80))))),"&amp;","&amp;amp;"),"&lt;","&amp;lt;"),"&gt;","&amp;gt;"),CHAR(34),"&amp;quot;"),CHAR(10)," "),CHAR(9)," "),CHAR(13)," "),"")</f>
        <v/>
      </c>
      <c r="DU85" s="58">
        <f>IF(DM85&lt;&gt;"",(1200-(MIN(5,IF(DM85="E",$DM$5,IF(DM85="L",$DM$8,IF(DM85="R",$DM$11,$DM$14)))-INT((DN85-1)/5)*5)*216+(MIN(5,IF(DM85="E",$DM$5,IF(DM85="L",$DM$8,IF(DM85="R",$DM$11,$DM$14)))-INT((DN85-1)/5)*5)-1)*14))/2+MOD(DN85-1,5)*(216+14),"")</f>
        <v/>
      </c>
      <c r="DV85" s="58">
        <f>IF(DM85&lt;&gt;"",IF(DM85="E",$DM$17,IF(DM85="L",$DM$21,IF(DM85="R",$DM$23,$DM$25)))+24+INT((DN85-1)/5)*(64+12),"")</f>
        <v/>
      </c>
      <c r="DW85" s="58">
        <f>IF(DM85&lt;&gt;"","&lt;rect x='"&amp;SUBSTITUTE(ROUND(DU85,1),",",".")&amp;"' y='"&amp;SUBSTITUTE(ROUND(DV85,1),",",".")&amp;"' width='216' height='64' rx='9' fill='"&amp;IF(DM85="E","#B9D9EB",IF(DM85="L","#9EB9D4",IF(DM85="R","#6699CC","#F5F5F5")))&amp;"' stroke='#2A3439' stroke-width='1'"&amp;IF(DM85="A"," stroke-dasharray='5 3'","")&amp;"/&gt;"&amp;"&lt;text x='"&amp;SUBSTITUTE(ROUND((DU85+108),1),",",".")&amp;"' y='"&amp;SUBSTITUTE(ROUND(DV85+20,1),",",".")&amp;"' font-size='12' font-weight='bold'&gt;"&amp;DO85&amp;"&lt;/text&gt;"&amp;"&lt;text x='"&amp;SUBSTITUTE(ROUND((DU85+108),1),",",".")&amp;"' y='"&amp;SUBSTITUTE(ROUND(DV85+38,1),",",".")&amp;"' font-size='10'&gt;"&amp;DS85&amp;"&lt;/text&gt;"&amp;"&lt;text x='"&amp;SUBSTITUTE(ROUND((DU85+108),1),",",".")&amp;"' y='"&amp;SUBSTITUTE(ROUND(DV85+53,1),",",".")&amp;"' font-size='10'&gt;"&amp;DT85&amp;"&lt;/text&gt;","")</f>
        <v/>
      </c>
    </row>
    <row r="86">
      <c r="DL86" s="58" t="n">
        <v>35</v>
      </c>
      <c r="DM86" s="58">
        <f>IF(AND($DM$4=1,DL86&lt;=nVariables),IF('M6'!$I44="Resultado","E",IF('M6'!$I44="Enlace","L",IF('M6'!$I44="Motriz","R",IF('M6'!$I44="Autónoma","A","")))),"")</f>
        <v/>
      </c>
      <c r="DN86" s="58">
        <f>IF(DM86&lt;&gt;"",COUNTIF($DM$52:DM86,DM86),"")</f>
        <v/>
      </c>
      <c r="DO86" s="58">
        <f>IF(DM86&lt;&gt;"",SUBSTITUTE(SUBSTITUTE(SUBSTITUTE(SUBSTITUTE(SUBSTITUTE(SUBSTITUTE(SUBSTITUTE(TRIM(CLEAN(IF(LEN(35&amp;" · "&amp;$D74)&gt;30,LEFT(35&amp;" · "&amp;$D74,29)&amp;"…",35&amp;" · "&amp;$D74))),"&amp;","&amp;amp;"),"&lt;","&amp;lt;"),"&gt;","&amp;gt;"),CHAR(34),"&amp;quot;"),CHAR(10)," "),CHAR(9)," "),CHAR(13)," "),"")</f>
        <v/>
      </c>
      <c r="DP86" s="58">
        <f>IF(DM86&lt;&gt;"",IF($E74&lt;&gt;"",$E74,IF(DM86="E","(efecto · indicador de resultado)",IF(DM86="L","(causa directa · riesgo)",IF(DM86="R","CAUSA RAÍZ · componente del proyecto","(fuera del alcance)")))),"")</f>
        <v/>
      </c>
      <c r="DQ86" s="58">
        <f>IF(DM86&lt;&gt;"",IF(LEN(DP86)&gt;74,LEFT(DP86,73)&amp;"…",DP86),"")</f>
        <v/>
      </c>
      <c r="DR86" s="58">
        <f>IF(DM86&lt;&gt;"",IF(LEN(DQ86)&lt;=37,LEN(DQ86)+1,IFERROR(FIND("~",SUBSTITUTE(LEFT(DQ86,38)," ","~",LEN(LEFT(DQ86,38))-LEN(SUBSTITUTE(LEFT(DQ86,38)," ","")))),38)),"")</f>
        <v/>
      </c>
      <c r="DS86" s="58">
        <f>IF(DM86&lt;&gt;"",SUBSTITUTE(SUBSTITUTE(SUBSTITUTE(SUBSTITUTE(SUBSTITUTE(SUBSTITUTE(SUBSTITUTE(TRIM(CLEAN(TRIM(LEFT(DQ86,DR86-1)))),"&amp;","&amp;amp;"),"&lt;","&amp;lt;"),"&gt;","&amp;gt;"),CHAR(34),"&amp;quot;"),CHAR(10)," "),CHAR(9)," "),CHAR(13)," "),"")</f>
        <v/>
      </c>
      <c r="DT86" s="58">
        <f>IF(DM86&lt;&gt;"",SUBSTITUTE(SUBSTITUTE(SUBSTITUTE(SUBSTITUTE(SUBSTITUTE(SUBSTITUTE(SUBSTITUTE(TRIM(CLEAN(IF(LEN(TRIM(MID(DQ86,DR86,80)))&gt;37,LEFT(TRIM(MID(DQ86,DR86,80)),36)&amp;"…",TRIM(MID(DQ86,DR86,80))))),"&amp;","&amp;amp;"),"&lt;","&amp;lt;"),"&gt;","&amp;gt;"),CHAR(34),"&amp;quot;"),CHAR(10)," "),CHAR(9)," "),CHAR(13)," "),"")</f>
        <v/>
      </c>
      <c r="DU86" s="58">
        <f>IF(DM86&lt;&gt;"",(1200-(MIN(5,IF(DM86="E",$DM$5,IF(DM86="L",$DM$8,IF(DM86="R",$DM$11,$DM$14)))-INT((DN86-1)/5)*5)*216+(MIN(5,IF(DM86="E",$DM$5,IF(DM86="L",$DM$8,IF(DM86="R",$DM$11,$DM$14)))-INT((DN86-1)/5)*5)-1)*14))/2+MOD(DN86-1,5)*(216+14),"")</f>
        <v/>
      </c>
      <c r="DV86" s="58">
        <f>IF(DM86&lt;&gt;"",IF(DM86="E",$DM$17,IF(DM86="L",$DM$21,IF(DM86="R",$DM$23,$DM$25)))+24+INT((DN86-1)/5)*(64+12),"")</f>
        <v/>
      </c>
      <c r="DW86" s="58">
        <f>IF(DM86&lt;&gt;"","&lt;rect x='"&amp;SUBSTITUTE(ROUND(DU86,1),",",".")&amp;"' y='"&amp;SUBSTITUTE(ROUND(DV86,1),",",".")&amp;"' width='216' height='64' rx='9' fill='"&amp;IF(DM86="E","#B9D9EB",IF(DM86="L","#9EB9D4",IF(DM86="R","#6699CC","#F5F5F5")))&amp;"' stroke='#2A3439' stroke-width='1'"&amp;IF(DM86="A"," stroke-dasharray='5 3'","")&amp;"/&gt;"&amp;"&lt;text x='"&amp;SUBSTITUTE(ROUND((DU86+108),1),",",".")&amp;"' y='"&amp;SUBSTITUTE(ROUND(DV86+20,1),",",".")&amp;"' font-size='12' font-weight='bold'&gt;"&amp;DO86&amp;"&lt;/text&gt;"&amp;"&lt;text x='"&amp;SUBSTITUTE(ROUND((DU86+108),1),",",".")&amp;"' y='"&amp;SUBSTITUTE(ROUND(DV86+38,1),",",".")&amp;"' font-size='10'&gt;"&amp;DS86&amp;"&lt;/text&gt;"&amp;"&lt;text x='"&amp;SUBSTITUTE(ROUND((DU86+108),1),",",".")&amp;"' y='"&amp;SUBSTITUTE(ROUND(DV86+53,1),",",".")&amp;"' font-size='10'&gt;"&amp;DT86&amp;"&lt;/text&gt;","")</f>
        <v/>
      </c>
    </row>
    <row r="87">
      <c r="DL87" s="58" t="n">
        <v>36</v>
      </c>
      <c r="DM87" s="58">
        <f>IF(AND($DM$4=1,DL87&lt;=nVariables),IF('M6'!$I45="Resultado","E",IF('M6'!$I45="Enlace","L",IF('M6'!$I45="Motriz","R",IF('M6'!$I45="Autónoma","A","")))),"")</f>
        <v/>
      </c>
      <c r="DN87" s="58">
        <f>IF(DM87&lt;&gt;"",COUNTIF($DM$52:DM87,DM87),"")</f>
        <v/>
      </c>
      <c r="DO87" s="58">
        <f>IF(DM87&lt;&gt;"",SUBSTITUTE(SUBSTITUTE(SUBSTITUTE(SUBSTITUTE(SUBSTITUTE(SUBSTITUTE(SUBSTITUTE(TRIM(CLEAN(IF(LEN(36&amp;" · "&amp;$D75)&gt;30,LEFT(36&amp;" · "&amp;$D75,29)&amp;"…",36&amp;" · "&amp;$D75))),"&amp;","&amp;amp;"),"&lt;","&amp;lt;"),"&gt;","&amp;gt;"),CHAR(34),"&amp;quot;"),CHAR(10)," "),CHAR(9)," "),CHAR(13)," "),"")</f>
        <v/>
      </c>
      <c r="DP87" s="58">
        <f>IF(DM87&lt;&gt;"",IF($E75&lt;&gt;"",$E75,IF(DM87="E","(efecto · indicador de resultado)",IF(DM87="L","(causa directa · riesgo)",IF(DM87="R","CAUSA RAÍZ · componente del proyecto","(fuera del alcance)")))),"")</f>
        <v/>
      </c>
      <c r="DQ87" s="58">
        <f>IF(DM87&lt;&gt;"",IF(LEN(DP87)&gt;74,LEFT(DP87,73)&amp;"…",DP87),"")</f>
        <v/>
      </c>
      <c r="DR87" s="58">
        <f>IF(DM87&lt;&gt;"",IF(LEN(DQ87)&lt;=37,LEN(DQ87)+1,IFERROR(FIND("~",SUBSTITUTE(LEFT(DQ87,38)," ","~",LEN(LEFT(DQ87,38))-LEN(SUBSTITUTE(LEFT(DQ87,38)," ","")))),38)),"")</f>
        <v/>
      </c>
      <c r="DS87" s="58">
        <f>IF(DM87&lt;&gt;"",SUBSTITUTE(SUBSTITUTE(SUBSTITUTE(SUBSTITUTE(SUBSTITUTE(SUBSTITUTE(SUBSTITUTE(TRIM(CLEAN(TRIM(LEFT(DQ87,DR87-1)))),"&amp;","&amp;amp;"),"&lt;","&amp;lt;"),"&gt;","&amp;gt;"),CHAR(34),"&amp;quot;"),CHAR(10)," "),CHAR(9)," "),CHAR(13)," "),"")</f>
        <v/>
      </c>
      <c r="DT87" s="58">
        <f>IF(DM87&lt;&gt;"",SUBSTITUTE(SUBSTITUTE(SUBSTITUTE(SUBSTITUTE(SUBSTITUTE(SUBSTITUTE(SUBSTITUTE(TRIM(CLEAN(IF(LEN(TRIM(MID(DQ87,DR87,80)))&gt;37,LEFT(TRIM(MID(DQ87,DR87,80)),36)&amp;"…",TRIM(MID(DQ87,DR87,80))))),"&amp;","&amp;amp;"),"&lt;","&amp;lt;"),"&gt;","&amp;gt;"),CHAR(34),"&amp;quot;"),CHAR(10)," "),CHAR(9)," "),CHAR(13)," "),"")</f>
        <v/>
      </c>
      <c r="DU87" s="58">
        <f>IF(DM87&lt;&gt;"",(1200-(MIN(5,IF(DM87="E",$DM$5,IF(DM87="L",$DM$8,IF(DM87="R",$DM$11,$DM$14)))-INT((DN87-1)/5)*5)*216+(MIN(5,IF(DM87="E",$DM$5,IF(DM87="L",$DM$8,IF(DM87="R",$DM$11,$DM$14)))-INT((DN87-1)/5)*5)-1)*14))/2+MOD(DN87-1,5)*(216+14),"")</f>
        <v/>
      </c>
      <c r="DV87" s="58">
        <f>IF(DM87&lt;&gt;"",IF(DM87="E",$DM$17,IF(DM87="L",$DM$21,IF(DM87="R",$DM$23,$DM$25)))+24+INT((DN87-1)/5)*(64+12),"")</f>
        <v/>
      </c>
      <c r="DW87" s="58">
        <f>IF(DM87&lt;&gt;"","&lt;rect x='"&amp;SUBSTITUTE(ROUND(DU87,1),",",".")&amp;"' y='"&amp;SUBSTITUTE(ROUND(DV87,1),",",".")&amp;"' width='216' height='64' rx='9' fill='"&amp;IF(DM87="E","#B9D9EB",IF(DM87="L","#9EB9D4",IF(DM87="R","#6699CC","#F5F5F5")))&amp;"' stroke='#2A3439' stroke-width='1'"&amp;IF(DM87="A"," stroke-dasharray='5 3'","")&amp;"/&gt;"&amp;"&lt;text x='"&amp;SUBSTITUTE(ROUND((DU87+108),1),",",".")&amp;"' y='"&amp;SUBSTITUTE(ROUND(DV87+20,1),",",".")&amp;"' font-size='12' font-weight='bold'&gt;"&amp;DO87&amp;"&lt;/text&gt;"&amp;"&lt;text x='"&amp;SUBSTITUTE(ROUND((DU87+108),1),",",".")&amp;"' y='"&amp;SUBSTITUTE(ROUND(DV87+38,1),",",".")&amp;"' font-size='10'&gt;"&amp;DS87&amp;"&lt;/text&gt;"&amp;"&lt;text x='"&amp;SUBSTITUTE(ROUND((DU87+108),1),",",".")&amp;"' y='"&amp;SUBSTITUTE(ROUND(DV87+53,1),",",".")&amp;"' font-size='10'&gt;"&amp;DT87&amp;"&lt;/text&gt;","")</f>
        <v/>
      </c>
    </row>
    <row r="88">
      <c r="DL88" s="58" t="n">
        <v>37</v>
      </c>
      <c r="DM88" s="58">
        <f>IF(AND($DM$4=1,DL88&lt;=nVariables),IF('M6'!$I46="Resultado","E",IF('M6'!$I46="Enlace","L",IF('M6'!$I46="Motriz","R",IF('M6'!$I46="Autónoma","A","")))),"")</f>
        <v/>
      </c>
      <c r="DN88" s="58">
        <f>IF(DM88&lt;&gt;"",COUNTIF($DM$52:DM88,DM88),"")</f>
        <v/>
      </c>
      <c r="DO88" s="58">
        <f>IF(DM88&lt;&gt;"",SUBSTITUTE(SUBSTITUTE(SUBSTITUTE(SUBSTITUTE(SUBSTITUTE(SUBSTITUTE(SUBSTITUTE(TRIM(CLEAN(IF(LEN(37&amp;" · "&amp;$D76)&gt;30,LEFT(37&amp;" · "&amp;$D76,29)&amp;"…",37&amp;" · "&amp;$D76))),"&amp;","&amp;amp;"),"&lt;","&amp;lt;"),"&gt;","&amp;gt;"),CHAR(34),"&amp;quot;"),CHAR(10)," "),CHAR(9)," "),CHAR(13)," "),"")</f>
        <v/>
      </c>
      <c r="DP88" s="58">
        <f>IF(DM88&lt;&gt;"",IF($E76&lt;&gt;"",$E76,IF(DM88="E","(efecto · indicador de resultado)",IF(DM88="L","(causa directa · riesgo)",IF(DM88="R","CAUSA RAÍZ · componente del proyecto","(fuera del alcance)")))),"")</f>
        <v/>
      </c>
      <c r="DQ88" s="58">
        <f>IF(DM88&lt;&gt;"",IF(LEN(DP88)&gt;74,LEFT(DP88,73)&amp;"…",DP88),"")</f>
        <v/>
      </c>
      <c r="DR88" s="58">
        <f>IF(DM88&lt;&gt;"",IF(LEN(DQ88)&lt;=37,LEN(DQ88)+1,IFERROR(FIND("~",SUBSTITUTE(LEFT(DQ88,38)," ","~",LEN(LEFT(DQ88,38))-LEN(SUBSTITUTE(LEFT(DQ88,38)," ","")))),38)),"")</f>
        <v/>
      </c>
      <c r="DS88" s="58">
        <f>IF(DM88&lt;&gt;"",SUBSTITUTE(SUBSTITUTE(SUBSTITUTE(SUBSTITUTE(SUBSTITUTE(SUBSTITUTE(SUBSTITUTE(TRIM(CLEAN(TRIM(LEFT(DQ88,DR88-1)))),"&amp;","&amp;amp;"),"&lt;","&amp;lt;"),"&gt;","&amp;gt;"),CHAR(34),"&amp;quot;"),CHAR(10)," "),CHAR(9)," "),CHAR(13)," "),"")</f>
        <v/>
      </c>
      <c r="DT88" s="58">
        <f>IF(DM88&lt;&gt;"",SUBSTITUTE(SUBSTITUTE(SUBSTITUTE(SUBSTITUTE(SUBSTITUTE(SUBSTITUTE(SUBSTITUTE(TRIM(CLEAN(IF(LEN(TRIM(MID(DQ88,DR88,80)))&gt;37,LEFT(TRIM(MID(DQ88,DR88,80)),36)&amp;"…",TRIM(MID(DQ88,DR88,80))))),"&amp;","&amp;amp;"),"&lt;","&amp;lt;"),"&gt;","&amp;gt;"),CHAR(34),"&amp;quot;"),CHAR(10)," "),CHAR(9)," "),CHAR(13)," "),"")</f>
        <v/>
      </c>
      <c r="DU88" s="58">
        <f>IF(DM88&lt;&gt;"",(1200-(MIN(5,IF(DM88="E",$DM$5,IF(DM88="L",$DM$8,IF(DM88="R",$DM$11,$DM$14)))-INT((DN88-1)/5)*5)*216+(MIN(5,IF(DM88="E",$DM$5,IF(DM88="L",$DM$8,IF(DM88="R",$DM$11,$DM$14)))-INT((DN88-1)/5)*5)-1)*14))/2+MOD(DN88-1,5)*(216+14),"")</f>
        <v/>
      </c>
      <c r="DV88" s="58">
        <f>IF(DM88&lt;&gt;"",IF(DM88="E",$DM$17,IF(DM88="L",$DM$21,IF(DM88="R",$DM$23,$DM$25)))+24+INT((DN88-1)/5)*(64+12),"")</f>
        <v/>
      </c>
      <c r="DW88" s="58">
        <f>IF(DM88&lt;&gt;"","&lt;rect x='"&amp;SUBSTITUTE(ROUND(DU88,1),",",".")&amp;"' y='"&amp;SUBSTITUTE(ROUND(DV88,1),",",".")&amp;"' width='216' height='64' rx='9' fill='"&amp;IF(DM88="E","#B9D9EB",IF(DM88="L","#9EB9D4",IF(DM88="R","#6699CC","#F5F5F5")))&amp;"' stroke='#2A3439' stroke-width='1'"&amp;IF(DM88="A"," stroke-dasharray='5 3'","")&amp;"/&gt;"&amp;"&lt;text x='"&amp;SUBSTITUTE(ROUND((DU88+108),1),",",".")&amp;"' y='"&amp;SUBSTITUTE(ROUND(DV88+20,1),",",".")&amp;"' font-size='12' font-weight='bold'&gt;"&amp;DO88&amp;"&lt;/text&gt;"&amp;"&lt;text x='"&amp;SUBSTITUTE(ROUND((DU88+108),1),",",".")&amp;"' y='"&amp;SUBSTITUTE(ROUND(DV88+38,1),",",".")&amp;"' font-size='10'&gt;"&amp;DS88&amp;"&lt;/text&gt;"&amp;"&lt;text x='"&amp;SUBSTITUTE(ROUND((DU88+108),1),",",".")&amp;"' y='"&amp;SUBSTITUTE(ROUND(DV88+53,1),",",".")&amp;"' font-size='10'&gt;"&amp;DT88&amp;"&lt;/text&gt;","")</f>
        <v/>
      </c>
    </row>
    <row r="89">
      <c r="DL89" s="58" t="n">
        <v>38</v>
      </c>
      <c r="DM89" s="58">
        <f>IF(AND($DM$4=1,DL89&lt;=nVariables),IF('M6'!$I47="Resultado","E",IF('M6'!$I47="Enlace","L",IF('M6'!$I47="Motriz","R",IF('M6'!$I47="Autónoma","A","")))),"")</f>
        <v/>
      </c>
      <c r="DN89" s="58">
        <f>IF(DM89&lt;&gt;"",COUNTIF($DM$52:DM89,DM89),"")</f>
        <v/>
      </c>
      <c r="DO89" s="58">
        <f>IF(DM89&lt;&gt;"",SUBSTITUTE(SUBSTITUTE(SUBSTITUTE(SUBSTITUTE(SUBSTITUTE(SUBSTITUTE(SUBSTITUTE(TRIM(CLEAN(IF(LEN(38&amp;" · "&amp;$D77)&gt;30,LEFT(38&amp;" · "&amp;$D77,29)&amp;"…",38&amp;" · "&amp;$D77))),"&amp;","&amp;amp;"),"&lt;","&amp;lt;"),"&gt;","&amp;gt;"),CHAR(34),"&amp;quot;"),CHAR(10)," "),CHAR(9)," "),CHAR(13)," "),"")</f>
        <v/>
      </c>
      <c r="DP89" s="58">
        <f>IF(DM89&lt;&gt;"",IF($E77&lt;&gt;"",$E77,IF(DM89="E","(efecto · indicador de resultado)",IF(DM89="L","(causa directa · riesgo)",IF(DM89="R","CAUSA RAÍZ · componente del proyecto","(fuera del alcance)")))),"")</f>
        <v/>
      </c>
      <c r="DQ89" s="58">
        <f>IF(DM89&lt;&gt;"",IF(LEN(DP89)&gt;74,LEFT(DP89,73)&amp;"…",DP89),"")</f>
        <v/>
      </c>
      <c r="DR89" s="58">
        <f>IF(DM89&lt;&gt;"",IF(LEN(DQ89)&lt;=37,LEN(DQ89)+1,IFERROR(FIND("~",SUBSTITUTE(LEFT(DQ89,38)," ","~",LEN(LEFT(DQ89,38))-LEN(SUBSTITUTE(LEFT(DQ89,38)," ","")))),38)),"")</f>
        <v/>
      </c>
      <c r="DS89" s="58">
        <f>IF(DM89&lt;&gt;"",SUBSTITUTE(SUBSTITUTE(SUBSTITUTE(SUBSTITUTE(SUBSTITUTE(SUBSTITUTE(SUBSTITUTE(TRIM(CLEAN(TRIM(LEFT(DQ89,DR89-1)))),"&amp;","&amp;amp;"),"&lt;","&amp;lt;"),"&gt;","&amp;gt;"),CHAR(34),"&amp;quot;"),CHAR(10)," "),CHAR(9)," "),CHAR(13)," "),"")</f>
        <v/>
      </c>
      <c r="DT89" s="58">
        <f>IF(DM89&lt;&gt;"",SUBSTITUTE(SUBSTITUTE(SUBSTITUTE(SUBSTITUTE(SUBSTITUTE(SUBSTITUTE(SUBSTITUTE(TRIM(CLEAN(IF(LEN(TRIM(MID(DQ89,DR89,80)))&gt;37,LEFT(TRIM(MID(DQ89,DR89,80)),36)&amp;"…",TRIM(MID(DQ89,DR89,80))))),"&amp;","&amp;amp;"),"&lt;","&amp;lt;"),"&gt;","&amp;gt;"),CHAR(34),"&amp;quot;"),CHAR(10)," "),CHAR(9)," "),CHAR(13)," "),"")</f>
        <v/>
      </c>
      <c r="DU89" s="58">
        <f>IF(DM89&lt;&gt;"",(1200-(MIN(5,IF(DM89="E",$DM$5,IF(DM89="L",$DM$8,IF(DM89="R",$DM$11,$DM$14)))-INT((DN89-1)/5)*5)*216+(MIN(5,IF(DM89="E",$DM$5,IF(DM89="L",$DM$8,IF(DM89="R",$DM$11,$DM$14)))-INT((DN89-1)/5)*5)-1)*14))/2+MOD(DN89-1,5)*(216+14),"")</f>
        <v/>
      </c>
      <c r="DV89" s="58">
        <f>IF(DM89&lt;&gt;"",IF(DM89="E",$DM$17,IF(DM89="L",$DM$21,IF(DM89="R",$DM$23,$DM$25)))+24+INT((DN89-1)/5)*(64+12),"")</f>
        <v/>
      </c>
      <c r="DW89" s="58">
        <f>IF(DM89&lt;&gt;"","&lt;rect x='"&amp;SUBSTITUTE(ROUND(DU89,1),",",".")&amp;"' y='"&amp;SUBSTITUTE(ROUND(DV89,1),",",".")&amp;"' width='216' height='64' rx='9' fill='"&amp;IF(DM89="E","#B9D9EB",IF(DM89="L","#9EB9D4",IF(DM89="R","#6699CC","#F5F5F5")))&amp;"' stroke='#2A3439' stroke-width='1'"&amp;IF(DM89="A"," stroke-dasharray='5 3'","")&amp;"/&gt;"&amp;"&lt;text x='"&amp;SUBSTITUTE(ROUND((DU89+108),1),",",".")&amp;"' y='"&amp;SUBSTITUTE(ROUND(DV89+20,1),",",".")&amp;"' font-size='12' font-weight='bold'&gt;"&amp;DO89&amp;"&lt;/text&gt;"&amp;"&lt;text x='"&amp;SUBSTITUTE(ROUND((DU89+108),1),",",".")&amp;"' y='"&amp;SUBSTITUTE(ROUND(DV89+38,1),",",".")&amp;"' font-size='10'&gt;"&amp;DS89&amp;"&lt;/text&gt;"&amp;"&lt;text x='"&amp;SUBSTITUTE(ROUND((DU89+108),1),",",".")&amp;"' y='"&amp;SUBSTITUTE(ROUND(DV89+53,1),",",".")&amp;"' font-size='10'&gt;"&amp;DT89&amp;"&lt;/text&gt;","")</f>
        <v/>
      </c>
    </row>
    <row r="90">
      <c r="DL90" s="58" t="n">
        <v>39</v>
      </c>
      <c r="DM90" s="58">
        <f>IF(AND($DM$4=1,DL90&lt;=nVariables),IF('M6'!$I48="Resultado","E",IF('M6'!$I48="Enlace","L",IF('M6'!$I48="Motriz","R",IF('M6'!$I48="Autónoma","A","")))),"")</f>
        <v/>
      </c>
      <c r="DN90" s="58">
        <f>IF(DM90&lt;&gt;"",COUNTIF($DM$52:DM90,DM90),"")</f>
        <v/>
      </c>
      <c r="DO90" s="58">
        <f>IF(DM90&lt;&gt;"",SUBSTITUTE(SUBSTITUTE(SUBSTITUTE(SUBSTITUTE(SUBSTITUTE(SUBSTITUTE(SUBSTITUTE(TRIM(CLEAN(IF(LEN(39&amp;" · "&amp;$D78)&gt;30,LEFT(39&amp;" · "&amp;$D78,29)&amp;"…",39&amp;" · "&amp;$D78))),"&amp;","&amp;amp;"),"&lt;","&amp;lt;"),"&gt;","&amp;gt;"),CHAR(34),"&amp;quot;"),CHAR(10)," "),CHAR(9)," "),CHAR(13)," "),"")</f>
        <v/>
      </c>
      <c r="DP90" s="58">
        <f>IF(DM90&lt;&gt;"",IF($E78&lt;&gt;"",$E78,IF(DM90="E","(efecto · indicador de resultado)",IF(DM90="L","(causa directa · riesgo)",IF(DM90="R","CAUSA RAÍZ · componente del proyecto","(fuera del alcance)")))),"")</f>
        <v/>
      </c>
      <c r="DQ90" s="58">
        <f>IF(DM90&lt;&gt;"",IF(LEN(DP90)&gt;74,LEFT(DP90,73)&amp;"…",DP90),"")</f>
        <v/>
      </c>
      <c r="DR90" s="58">
        <f>IF(DM90&lt;&gt;"",IF(LEN(DQ90)&lt;=37,LEN(DQ90)+1,IFERROR(FIND("~",SUBSTITUTE(LEFT(DQ90,38)," ","~",LEN(LEFT(DQ90,38))-LEN(SUBSTITUTE(LEFT(DQ90,38)," ","")))),38)),"")</f>
        <v/>
      </c>
      <c r="DS90" s="58">
        <f>IF(DM90&lt;&gt;"",SUBSTITUTE(SUBSTITUTE(SUBSTITUTE(SUBSTITUTE(SUBSTITUTE(SUBSTITUTE(SUBSTITUTE(TRIM(CLEAN(TRIM(LEFT(DQ90,DR90-1)))),"&amp;","&amp;amp;"),"&lt;","&amp;lt;"),"&gt;","&amp;gt;"),CHAR(34),"&amp;quot;"),CHAR(10)," "),CHAR(9)," "),CHAR(13)," "),"")</f>
        <v/>
      </c>
      <c r="DT90" s="58">
        <f>IF(DM90&lt;&gt;"",SUBSTITUTE(SUBSTITUTE(SUBSTITUTE(SUBSTITUTE(SUBSTITUTE(SUBSTITUTE(SUBSTITUTE(TRIM(CLEAN(IF(LEN(TRIM(MID(DQ90,DR90,80)))&gt;37,LEFT(TRIM(MID(DQ90,DR90,80)),36)&amp;"…",TRIM(MID(DQ90,DR90,80))))),"&amp;","&amp;amp;"),"&lt;","&amp;lt;"),"&gt;","&amp;gt;"),CHAR(34),"&amp;quot;"),CHAR(10)," "),CHAR(9)," "),CHAR(13)," "),"")</f>
        <v/>
      </c>
      <c r="DU90" s="58">
        <f>IF(DM90&lt;&gt;"",(1200-(MIN(5,IF(DM90="E",$DM$5,IF(DM90="L",$DM$8,IF(DM90="R",$DM$11,$DM$14)))-INT((DN90-1)/5)*5)*216+(MIN(5,IF(DM90="E",$DM$5,IF(DM90="L",$DM$8,IF(DM90="R",$DM$11,$DM$14)))-INT((DN90-1)/5)*5)-1)*14))/2+MOD(DN90-1,5)*(216+14),"")</f>
        <v/>
      </c>
      <c r="DV90" s="58">
        <f>IF(DM90&lt;&gt;"",IF(DM90="E",$DM$17,IF(DM90="L",$DM$21,IF(DM90="R",$DM$23,$DM$25)))+24+INT((DN90-1)/5)*(64+12),"")</f>
        <v/>
      </c>
      <c r="DW90" s="58">
        <f>IF(DM90&lt;&gt;"","&lt;rect x='"&amp;SUBSTITUTE(ROUND(DU90,1),",",".")&amp;"' y='"&amp;SUBSTITUTE(ROUND(DV90,1),",",".")&amp;"' width='216' height='64' rx='9' fill='"&amp;IF(DM90="E","#B9D9EB",IF(DM90="L","#9EB9D4",IF(DM90="R","#6699CC","#F5F5F5")))&amp;"' stroke='#2A3439' stroke-width='1'"&amp;IF(DM90="A"," stroke-dasharray='5 3'","")&amp;"/&gt;"&amp;"&lt;text x='"&amp;SUBSTITUTE(ROUND((DU90+108),1),",",".")&amp;"' y='"&amp;SUBSTITUTE(ROUND(DV90+20,1),",",".")&amp;"' font-size='12' font-weight='bold'&gt;"&amp;DO90&amp;"&lt;/text&gt;"&amp;"&lt;text x='"&amp;SUBSTITUTE(ROUND((DU90+108),1),",",".")&amp;"' y='"&amp;SUBSTITUTE(ROUND(DV90+38,1),",",".")&amp;"' font-size='10'&gt;"&amp;DS90&amp;"&lt;/text&gt;"&amp;"&lt;text x='"&amp;SUBSTITUTE(ROUND((DU90+108),1),",",".")&amp;"' y='"&amp;SUBSTITUTE(ROUND(DV90+53,1),",",".")&amp;"' font-size='10'&gt;"&amp;DT90&amp;"&lt;/text&gt;","")</f>
        <v/>
      </c>
    </row>
    <row r="91">
      <c r="DL91" s="58" t="n">
        <v>40</v>
      </c>
      <c r="DM91" s="58">
        <f>IF(AND($DM$4=1,DL91&lt;=nVariables),IF('M6'!$I49="Resultado","E",IF('M6'!$I49="Enlace","L",IF('M6'!$I49="Motriz","R",IF('M6'!$I49="Autónoma","A","")))),"")</f>
        <v/>
      </c>
      <c r="DN91" s="58">
        <f>IF(DM91&lt;&gt;"",COUNTIF($DM$52:DM91,DM91),"")</f>
        <v/>
      </c>
      <c r="DO91" s="58">
        <f>IF(DM91&lt;&gt;"",SUBSTITUTE(SUBSTITUTE(SUBSTITUTE(SUBSTITUTE(SUBSTITUTE(SUBSTITUTE(SUBSTITUTE(TRIM(CLEAN(IF(LEN(40&amp;" · "&amp;$D79)&gt;30,LEFT(40&amp;" · "&amp;$D79,29)&amp;"…",40&amp;" · "&amp;$D79))),"&amp;","&amp;amp;"),"&lt;","&amp;lt;"),"&gt;","&amp;gt;"),CHAR(34),"&amp;quot;"),CHAR(10)," "),CHAR(9)," "),CHAR(13)," "),"")</f>
        <v/>
      </c>
      <c r="DP91" s="58">
        <f>IF(DM91&lt;&gt;"",IF($E79&lt;&gt;"",$E79,IF(DM91="E","(efecto · indicador de resultado)",IF(DM91="L","(causa directa · riesgo)",IF(DM91="R","CAUSA RAÍZ · componente del proyecto","(fuera del alcance)")))),"")</f>
        <v/>
      </c>
      <c r="DQ91" s="58">
        <f>IF(DM91&lt;&gt;"",IF(LEN(DP91)&gt;74,LEFT(DP91,73)&amp;"…",DP91),"")</f>
        <v/>
      </c>
      <c r="DR91" s="58">
        <f>IF(DM91&lt;&gt;"",IF(LEN(DQ91)&lt;=37,LEN(DQ91)+1,IFERROR(FIND("~",SUBSTITUTE(LEFT(DQ91,38)," ","~",LEN(LEFT(DQ91,38))-LEN(SUBSTITUTE(LEFT(DQ91,38)," ","")))),38)),"")</f>
        <v/>
      </c>
      <c r="DS91" s="58">
        <f>IF(DM91&lt;&gt;"",SUBSTITUTE(SUBSTITUTE(SUBSTITUTE(SUBSTITUTE(SUBSTITUTE(SUBSTITUTE(SUBSTITUTE(TRIM(CLEAN(TRIM(LEFT(DQ91,DR91-1)))),"&amp;","&amp;amp;"),"&lt;","&amp;lt;"),"&gt;","&amp;gt;"),CHAR(34),"&amp;quot;"),CHAR(10)," "),CHAR(9)," "),CHAR(13)," "),"")</f>
        <v/>
      </c>
      <c r="DT91" s="58">
        <f>IF(DM91&lt;&gt;"",SUBSTITUTE(SUBSTITUTE(SUBSTITUTE(SUBSTITUTE(SUBSTITUTE(SUBSTITUTE(SUBSTITUTE(TRIM(CLEAN(IF(LEN(TRIM(MID(DQ91,DR91,80)))&gt;37,LEFT(TRIM(MID(DQ91,DR91,80)),36)&amp;"…",TRIM(MID(DQ91,DR91,80))))),"&amp;","&amp;amp;"),"&lt;","&amp;lt;"),"&gt;","&amp;gt;"),CHAR(34),"&amp;quot;"),CHAR(10)," "),CHAR(9)," "),CHAR(13)," "),"")</f>
        <v/>
      </c>
      <c r="DU91" s="58">
        <f>IF(DM91&lt;&gt;"",(1200-(MIN(5,IF(DM91="E",$DM$5,IF(DM91="L",$DM$8,IF(DM91="R",$DM$11,$DM$14)))-INT((DN91-1)/5)*5)*216+(MIN(5,IF(DM91="E",$DM$5,IF(DM91="L",$DM$8,IF(DM91="R",$DM$11,$DM$14)))-INT((DN91-1)/5)*5)-1)*14))/2+MOD(DN91-1,5)*(216+14),"")</f>
        <v/>
      </c>
      <c r="DV91" s="58">
        <f>IF(DM91&lt;&gt;"",IF(DM91="E",$DM$17,IF(DM91="L",$DM$21,IF(DM91="R",$DM$23,$DM$25)))+24+INT((DN91-1)/5)*(64+12),"")</f>
        <v/>
      </c>
      <c r="DW91" s="58">
        <f>IF(DM91&lt;&gt;"","&lt;rect x='"&amp;SUBSTITUTE(ROUND(DU91,1),",",".")&amp;"' y='"&amp;SUBSTITUTE(ROUND(DV91,1),",",".")&amp;"' width='216' height='64' rx='9' fill='"&amp;IF(DM91="E","#B9D9EB",IF(DM91="L","#9EB9D4",IF(DM91="R","#6699CC","#F5F5F5")))&amp;"' stroke='#2A3439' stroke-width='1'"&amp;IF(DM91="A"," stroke-dasharray='5 3'","")&amp;"/&gt;"&amp;"&lt;text x='"&amp;SUBSTITUTE(ROUND((DU91+108),1),",",".")&amp;"' y='"&amp;SUBSTITUTE(ROUND(DV91+20,1),",",".")&amp;"' font-size='12' font-weight='bold'&gt;"&amp;DO91&amp;"&lt;/text&gt;"&amp;"&lt;text x='"&amp;SUBSTITUTE(ROUND((DU91+108),1),",",".")&amp;"' y='"&amp;SUBSTITUTE(ROUND(DV91+38,1),",",".")&amp;"' font-size='10'&gt;"&amp;DS91&amp;"&lt;/text&gt;"&amp;"&lt;text x='"&amp;SUBSTITUTE(ROUND((DU91+108),1),",",".")&amp;"' y='"&amp;SUBSTITUTE(ROUND(DV91+53,1),",",".")&amp;"' font-size='10'&gt;"&amp;DT91&amp;"&lt;/text&gt;","")</f>
        <v/>
      </c>
    </row>
  </sheetData>
  <pageMargins left="0.75" right="0.75" top="1" bottom="1" header="0.5" footer="0.5"/>
</worksheet>
</file>

<file path=xl/worksheets/sheet16.xml><?xml version="1.0" encoding="utf-8"?>
<worksheet xmlns="http://schemas.openxmlformats.org/spreadsheetml/2006/main">
  <sheetPr>
    <tabColor rgb="FF9EB9D4"/>
    <outlinePr summaryBelow="1" summaryRight="1"/>
    <pageSetUpPr/>
  </sheetPr>
  <dimension ref="A1:AP109"/>
  <sheetViews>
    <sheetView zoomScale="70" workbookViewId="0">
      <selection activeCell="A1" sqref="A1"/>
    </sheetView>
  </sheetViews>
  <sheetFormatPr baseColWidth="10" defaultColWidth="8.83203125" defaultRowHeight="15"/>
  <cols>
    <col width="6" customWidth="1" style="62" min="1" max="1"/>
    <col width="12" customWidth="1" style="62" min="2" max="2"/>
  </cols>
  <sheetData>
    <row r="1">
      <c r="A1" s="57" t="inlineStr">
        <is>
          <t>Hoja auxiliar (no edite): puntúa cada relación directa raíz → (enlace | resultado) y arma las listas por nivel del Árbol de Problemas.</t>
        </is>
      </c>
      <c r="C1" s="58" t="n">
        <v>1</v>
      </c>
      <c r="D1" s="58" t="n">
        <v>2</v>
      </c>
      <c r="E1" s="58" t="n">
        <v>3</v>
      </c>
      <c r="F1" s="58" t="n">
        <v>4</v>
      </c>
      <c r="G1" s="58" t="n">
        <v>5</v>
      </c>
      <c r="H1" s="58" t="n">
        <v>6</v>
      </c>
      <c r="I1" s="58" t="n">
        <v>7</v>
      </c>
      <c r="J1" s="58" t="n">
        <v>8</v>
      </c>
      <c r="K1" s="58" t="n">
        <v>9</v>
      </c>
      <c r="L1" s="58" t="n">
        <v>10</v>
      </c>
      <c r="M1" s="58" t="n">
        <v>11</v>
      </c>
      <c r="N1" s="58" t="n">
        <v>12</v>
      </c>
      <c r="O1" s="58" t="n">
        <v>13</v>
      </c>
      <c r="P1" s="58" t="n">
        <v>14</v>
      </c>
      <c r="Q1" s="58" t="n">
        <v>15</v>
      </c>
      <c r="R1" s="58" t="n">
        <v>16</v>
      </c>
      <c r="S1" s="58" t="n">
        <v>17</v>
      </c>
      <c r="T1" s="58" t="n">
        <v>18</v>
      </c>
      <c r="U1" s="58" t="n">
        <v>19</v>
      </c>
      <c r="V1" s="58" t="n">
        <v>20</v>
      </c>
      <c r="W1" s="58" t="n">
        <v>21</v>
      </c>
      <c r="X1" s="58" t="n">
        <v>22</v>
      </c>
      <c r="Y1" s="58" t="n">
        <v>23</v>
      </c>
      <c r="Z1" s="58" t="n">
        <v>24</v>
      </c>
      <c r="AA1" s="58" t="n">
        <v>25</v>
      </c>
      <c r="AB1" s="58" t="n">
        <v>26</v>
      </c>
      <c r="AC1" s="58" t="n">
        <v>27</v>
      </c>
      <c r="AD1" s="58" t="n">
        <v>28</v>
      </c>
      <c r="AE1" s="58" t="n">
        <v>29</v>
      </c>
      <c r="AF1" s="58" t="n">
        <v>30</v>
      </c>
      <c r="AG1" s="58" t="n">
        <v>31</v>
      </c>
      <c r="AH1" s="58" t="n">
        <v>32</v>
      </c>
      <c r="AI1" s="58" t="n">
        <v>33</v>
      </c>
      <c r="AJ1" s="58" t="n">
        <v>34</v>
      </c>
      <c r="AK1" s="58" t="n">
        <v>35</v>
      </c>
      <c r="AL1" s="58" t="n">
        <v>36</v>
      </c>
      <c r="AM1" s="58" t="n">
        <v>37</v>
      </c>
      <c r="AN1" s="58" t="n">
        <v>38</v>
      </c>
      <c r="AO1" s="58" t="n">
        <v>39</v>
      </c>
      <c r="AP1" s="58" t="n">
        <v>40</v>
      </c>
    </row>
    <row r="2">
      <c r="A2" s="60" t="inlineStr">
        <is>
          <t>i \ t</t>
        </is>
      </c>
      <c r="B2" s="60" t="inlineStr">
        <is>
          <t>papel</t>
        </is>
      </c>
      <c r="C2" s="58">
        <f>IF(C$1&lt;=nVariables,INDEX('M6'!$I$10:$I$49,C$1),"")</f>
        <v/>
      </c>
      <c r="D2" s="58">
        <f>IF(D$1&lt;=nVariables,INDEX('M6'!$I$10:$I$49,D$1),"")</f>
        <v/>
      </c>
      <c r="E2" s="58">
        <f>IF(E$1&lt;=nVariables,INDEX('M6'!$I$10:$I$49,E$1),"")</f>
        <v/>
      </c>
      <c r="F2" s="58">
        <f>IF(F$1&lt;=nVariables,INDEX('M6'!$I$10:$I$49,F$1),"")</f>
        <v/>
      </c>
      <c r="G2" s="58">
        <f>IF(G$1&lt;=nVariables,INDEX('M6'!$I$10:$I$49,G$1),"")</f>
        <v/>
      </c>
      <c r="H2" s="58">
        <f>IF(H$1&lt;=nVariables,INDEX('M6'!$I$10:$I$49,H$1),"")</f>
        <v/>
      </c>
      <c r="I2" s="58">
        <f>IF(I$1&lt;=nVariables,INDEX('M6'!$I$10:$I$49,I$1),"")</f>
        <v/>
      </c>
      <c r="J2" s="58">
        <f>IF(J$1&lt;=nVariables,INDEX('M6'!$I$10:$I$49,J$1),"")</f>
        <v/>
      </c>
      <c r="K2" s="58">
        <f>IF(K$1&lt;=nVariables,INDEX('M6'!$I$10:$I$49,K$1),"")</f>
        <v/>
      </c>
      <c r="L2" s="58">
        <f>IF(L$1&lt;=nVariables,INDEX('M6'!$I$10:$I$49,L$1),"")</f>
        <v/>
      </c>
      <c r="M2" s="58">
        <f>IF(M$1&lt;=nVariables,INDEX('M6'!$I$10:$I$49,M$1),"")</f>
        <v/>
      </c>
      <c r="N2" s="58">
        <f>IF(N$1&lt;=nVariables,INDEX('M6'!$I$10:$I$49,N$1),"")</f>
        <v/>
      </c>
      <c r="O2" s="58">
        <f>IF(O$1&lt;=nVariables,INDEX('M6'!$I$10:$I$49,O$1),"")</f>
        <v/>
      </c>
      <c r="P2" s="58">
        <f>IF(P$1&lt;=nVariables,INDEX('M6'!$I$10:$I$49,P$1),"")</f>
        <v/>
      </c>
      <c r="Q2" s="58">
        <f>IF(Q$1&lt;=nVariables,INDEX('M6'!$I$10:$I$49,Q$1),"")</f>
        <v/>
      </c>
      <c r="R2" s="58">
        <f>IF(R$1&lt;=nVariables,INDEX('M6'!$I$10:$I$49,R$1),"")</f>
        <v/>
      </c>
      <c r="S2" s="58">
        <f>IF(S$1&lt;=nVariables,INDEX('M6'!$I$10:$I$49,S$1),"")</f>
        <v/>
      </c>
      <c r="T2" s="58">
        <f>IF(T$1&lt;=nVariables,INDEX('M6'!$I$10:$I$49,T$1),"")</f>
        <v/>
      </c>
      <c r="U2" s="58">
        <f>IF(U$1&lt;=nVariables,INDEX('M6'!$I$10:$I$49,U$1),"")</f>
        <v/>
      </c>
      <c r="V2" s="58">
        <f>IF(V$1&lt;=nVariables,INDEX('M6'!$I$10:$I$49,V$1),"")</f>
        <v/>
      </c>
      <c r="W2" s="58">
        <f>IF(W$1&lt;=nVariables,INDEX('M6'!$I$10:$I$49,W$1),"")</f>
        <v/>
      </c>
      <c r="X2" s="58">
        <f>IF(X$1&lt;=nVariables,INDEX('M6'!$I$10:$I$49,X$1),"")</f>
        <v/>
      </c>
      <c r="Y2" s="58">
        <f>IF(Y$1&lt;=nVariables,INDEX('M6'!$I$10:$I$49,Y$1),"")</f>
        <v/>
      </c>
      <c r="Z2" s="58">
        <f>IF(Z$1&lt;=nVariables,INDEX('M6'!$I$10:$I$49,Z$1),"")</f>
        <v/>
      </c>
      <c r="AA2" s="58">
        <f>IF(AA$1&lt;=nVariables,INDEX('M6'!$I$10:$I$49,AA$1),"")</f>
        <v/>
      </c>
      <c r="AB2" s="58">
        <f>IF(AB$1&lt;=nVariables,INDEX('M6'!$I$10:$I$49,AB$1),"")</f>
        <v/>
      </c>
      <c r="AC2" s="58">
        <f>IF(AC$1&lt;=nVariables,INDEX('M6'!$I$10:$I$49,AC$1),"")</f>
        <v/>
      </c>
      <c r="AD2" s="58">
        <f>IF(AD$1&lt;=nVariables,INDEX('M6'!$I$10:$I$49,AD$1),"")</f>
        <v/>
      </c>
      <c r="AE2" s="58">
        <f>IF(AE$1&lt;=nVariables,INDEX('M6'!$I$10:$I$49,AE$1),"")</f>
        <v/>
      </c>
      <c r="AF2" s="58">
        <f>IF(AF$1&lt;=nVariables,INDEX('M6'!$I$10:$I$49,AF$1),"")</f>
        <v/>
      </c>
      <c r="AG2" s="58">
        <f>IF(AG$1&lt;=nVariables,INDEX('M6'!$I$10:$I$49,AG$1),"")</f>
        <v/>
      </c>
      <c r="AH2" s="58">
        <f>IF(AH$1&lt;=nVariables,INDEX('M6'!$I$10:$I$49,AH$1),"")</f>
        <v/>
      </c>
      <c r="AI2" s="58">
        <f>IF(AI$1&lt;=nVariables,INDEX('M6'!$I$10:$I$49,AI$1),"")</f>
        <v/>
      </c>
      <c r="AJ2" s="58">
        <f>IF(AJ$1&lt;=nVariables,INDEX('M6'!$I$10:$I$49,AJ$1),"")</f>
        <v/>
      </c>
      <c r="AK2" s="58">
        <f>IF(AK$1&lt;=nVariables,INDEX('M6'!$I$10:$I$49,AK$1),"")</f>
        <v/>
      </c>
      <c r="AL2" s="58">
        <f>IF(AL$1&lt;=nVariables,INDEX('M6'!$I$10:$I$49,AL$1),"")</f>
        <v/>
      </c>
      <c r="AM2" s="58">
        <f>IF(AM$1&lt;=nVariables,INDEX('M6'!$I$10:$I$49,AM$1),"")</f>
        <v/>
      </c>
      <c r="AN2" s="58">
        <f>IF(AN$1&lt;=nVariables,INDEX('M6'!$I$10:$I$49,AN$1),"")</f>
        <v/>
      </c>
      <c r="AO2" s="58">
        <f>IF(AO$1&lt;=nVariables,INDEX('M6'!$I$10:$I$49,AO$1),"")</f>
        <v/>
      </c>
      <c r="AP2" s="58">
        <f>IF(AP$1&lt;=nVariables,INDEX('M6'!$I$10:$I$49,AP$1),"")</f>
        <v/>
      </c>
    </row>
    <row r="3">
      <c r="A3" s="58" t="n">
        <v>1</v>
      </c>
      <c r="B3" s="58">
        <f>IF($A3&lt;=nVariables,INDEX('M6'!$I$10:$I$49,$A3),"")</f>
        <v/>
      </c>
      <c r="C3" s="58">
        <f>IF(AND(matrizOK,$B3="Motriz",OR(C$2="Enlace",C$2="Resultado"),'M1'!M10&gt;=1),'M1'!M10*1000000+(41-$A3)*1000+(41-C$1),0)</f>
        <v/>
      </c>
      <c r="D3" s="58">
        <f>IF(AND(matrizOK,$B3="Motriz",OR(D$2="Enlace",D$2="Resultado"),'M1'!N10&gt;=1),'M1'!N10*1000000+(41-$A3)*1000+(41-D$1),0)</f>
        <v/>
      </c>
      <c r="E3" s="58">
        <f>IF(AND(matrizOK,$B3="Motriz",OR(E$2="Enlace",E$2="Resultado"),'M1'!O10&gt;=1),'M1'!O10*1000000+(41-$A3)*1000+(41-E$1),0)</f>
        <v/>
      </c>
      <c r="F3" s="58">
        <f>IF(AND(matrizOK,$B3="Motriz",OR(F$2="Enlace",F$2="Resultado"),'M1'!P10&gt;=1),'M1'!P10*1000000+(41-$A3)*1000+(41-F$1),0)</f>
        <v/>
      </c>
      <c r="G3" s="58">
        <f>IF(AND(matrizOK,$B3="Motriz",OR(G$2="Enlace",G$2="Resultado"),'M1'!Q10&gt;=1),'M1'!Q10*1000000+(41-$A3)*1000+(41-G$1),0)</f>
        <v/>
      </c>
      <c r="H3" s="58">
        <f>IF(AND(matrizOK,$B3="Motriz",OR(H$2="Enlace",H$2="Resultado"),'M1'!R10&gt;=1),'M1'!R10*1000000+(41-$A3)*1000+(41-H$1),0)</f>
        <v/>
      </c>
      <c r="I3" s="58">
        <f>IF(AND(matrizOK,$B3="Motriz",OR(I$2="Enlace",I$2="Resultado"),'M1'!S10&gt;=1),'M1'!S10*1000000+(41-$A3)*1000+(41-I$1),0)</f>
        <v/>
      </c>
      <c r="J3" s="58">
        <f>IF(AND(matrizOK,$B3="Motriz",OR(J$2="Enlace",J$2="Resultado"),'M1'!T10&gt;=1),'M1'!T10*1000000+(41-$A3)*1000+(41-J$1),0)</f>
        <v/>
      </c>
      <c r="K3" s="58">
        <f>IF(AND(matrizOK,$B3="Motriz",OR(K$2="Enlace",K$2="Resultado"),'M1'!U10&gt;=1),'M1'!U10*1000000+(41-$A3)*1000+(41-K$1),0)</f>
        <v/>
      </c>
      <c r="L3" s="58">
        <f>IF(AND(matrizOK,$B3="Motriz",OR(L$2="Enlace",L$2="Resultado"),'M1'!V10&gt;=1),'M1'!V10*1000000+(41-$A3)*1000+(41-L$1),0)</f>
        <v/>
      </c>
      <c r="M3" s="58">
        <f>IF(AND(matrizOK,$B3="Motriz",OR(M$2="Enlace",M$2="Resultado"),'M1'!W10&gt;=1),'M1'!W10*1000000+(41-$A3)*1000+(41-M$1),0)</f>
        <v/>
      </c>
      <c r="N3" s="58">
        <f>IF(AND(matrizOK,$B3="Motriz",OR(N$2="Enlace",N$2="Resultado"),'M1'!X10&gt;=1),'M1'!X10*1000000+(41-$A3)*1000+(41-N$1),0)</f>
        <v/>
      </c>
      <c r="O3" s="58">
        <f>IF(AND(matrizOK,$B3="Motriz",OR(O$2="Enlace",O$2="Resultado"),'M1'!Y10&gt;=1),'M1'!Y10*1000000+(41-$A3)*1000+(41-O$1),0)</f>
        <v/>
      </c>
      <c r="P3" s="58">
        <f>IF(AND(matrizOK,$B3="Motriz",OR(P$2="Enlace",P$2="Resultado"),'M1'!Z10&gt;=1),'M1'!Z10*1000000+(41-$A3)*1000+(41-P$1),0)</f>
        <v/>
      </c>
      <c r="Q3" s="58">
        <f>IF(AND(matrizOK,$B3="Motriz",OR(Q$2="Enlace",Q$2="Resultado"),'M1'!AA10&gt;=1),'M1'!AA10*1000000+(41-$A3)*1000+(41-Q$1),0)</f>
        <v/>
      </c>
      <c r="R3" s="58">
        <f>IF(AND(matrizOK,$B3="Motriz",OR(R$2="Enlace",R$2="Resultado"),'M1'!AB10&gt;=1),'M1'!AB10*1000000+(41-$A3)*1000+(41-R$1),0)</f>
        <v/>
      </c>
      <c r="S3" s="58">
        <f>IF(AND(matrizOK,$B3="Motriz",OR(S$2="Enlace",S$2="Resultado"),'M1'!AC10&gt;=1),'M1'!AC10*1000000+(41-$A3)*1000+(41-S$1),0)</f>
        <v/>
      </c>
      <c r="T3" s="58">
        <f>IF(AND(matrizOK,$B3="Motriz",OR(T$2="Enlace",T$2="Resultado"),'M1'!AD10&gt;=1),'M1'!AD10*1000000+(41-$A3)*1000+(41-T$1),0)</f>
        <v/>
      </c>
      <c r="U3" s="58">
        <f>IF(AND(matrizOK,$B3="Motriz",OR(U$2="Enlace",U$2="Resultado"),'M1'!AE10&gt;=1),'M1'!AE10*1000000+(41-$A3)*1000+(41-U$1),0)</f>
        <v/>
      </c>
      <c r="V3" s="58">
        <f>IF(AND(matrizOK,$B3="Motriz",OR(V$2="Enlace",V$2="Resultado"),'M1'!AF10&gt;=1),'M1'!AF10*1000000+(41-$A3)*1000+(41-V$1),0)</f>
        <v/>
      </c>
      <c r="W3" s="58">
        <f>IF(AND(matrizOK,$B3="Motriz",OR(W$2="Enlace",W$2="Resultado"),'M1'!AG10&gt;=1),'M1'!AG10*1000000+(41-$A3)*1000+(41-W$1),0)</f>
        <v/>
      </c>
      <c r="X3" s="58">
        <f>IF(AND(matrizOK,$B3="Motriz",OR(X$2="Enlace",X$2="Resultado"),'M1'!AH10&gt;=1),'M1'!AH10*1000000+(41-$A3)*1000+(41-X$1),0)</f>
        <v/>
      </c>
      <c r="Y3" s="58">
        <f>IF(AND(matrizOK,$B3="Motriz",OR(Y$2="Enlace",Y$2="Resultado"),'M1'!AI10&gt;=1),'M1'!AI10*1000000+(41-$A3)*1000+(41-Y$1),0)</f>
        <v/>
      </c>
      <c r="Z3" s="58">
        <f>IF(AND(matrizOK,$B3="Motriz",OR(Z$2="Enlace",Z$2="Resultado"),'M1'!AJ10&gt;=1),'M1'!AJ10*1000000+(41-$A3)*1000+(41-Z$1),0)</f>
        <v/>
      </c>
      <c r="AA3" s="58">
        <f>IF(AND(matrizOK,$B3="Motriz",OR(AA$2="Enlace",AA$2="Resultado"),'M1'!AK10&gt;=1),'M1'!AK10*1000000+(41-$A3)*1000+(41-AA$1),0)</f>
        <v/>
      </c>
      <c r="AB3" s="58">
        <f>IF(AND(matrizOK,$B3="Motriz",OR(AB$2="Enlace",AB$2="Resultado"),'M1'!AL10&gt;=1),'M1'!AL10*1000000+(41-$A3)*1000+(41-AB$1),0)</f>
        <v/>
      </c>
      <c r="AC3" s="58">
        <f>IF(AND(matrizOK,$B3="Motriz",OR(AC$2="Enlace",AC$2="Resultado"),'M1'!AM10&gt;=1),'M1'!AM10*1000000+(41-$A3)*1000+(41-AC$1),0)</f>
        <v/>
      </c>
      <c r="AD3" s="58">
        <f>IF(AND(matrizOK,$B3="Motriz",OR(AD$2="Enlace",AD$2="Resultado"),'M1'!AN10&gt;=1),'M1'!AN10*1000000+(41-$A3)*1000+(41-AD$1),0)</f>
        <v/>
      </c>
      <c r="AE3" s="58">
        <f>IF(AND(matrizOK,$B3="Motriz",OR(AE$2="Enlace",AE$2="Resultado"),'M1'!AO10&gt;=1),'M1'!AO10*1000000+(41-$A3)*1000+(41-AE$1),0)</f>
        <v/>
      </c>
      <c r="AF3" s="58">
        <f>IF(AND(matrizOK,$B3="Motriz",OR(AF$2="Enlace",AF$2="Resultado"),'M1'!AP10&gt;=1),'M1'!AP10*1000000+(41-$A3)*1000+(41-AF$1),0)</f>
        <v/>
      </c>
      <c r="AG3" s="58">
        <f>IF(AND(matrizOK,$B3="Motriz",OR(AG$2="Enlace",AG$2="Resultado"),'M1'!AQ10&gt;=1),'M1'!AQ10*1000000+(41-$A3)*1000+(41-AG$1),0)</f>
        <v/>
      </c>
      <c r="AH3" s="58">
        <f>IF(AND(matrizOK,$B3="Motriz",OR(AH$2="Enlace",AH$2="Resultado"),'M1'!AR10&gt;=1),'M1'!AR10*1000000+(41-$A3)*1000+(41-AH$1),0)</f>
        <v/>
      </c>
      <c r="AI3" s="58">
        <f>IF(AND(matrizOK,$B3="Motriz",OR(AI$2="Enlace",AI$2="Resultado"),'M1'!AS10&gt;=1),'M1'!AS10*1000000+(41-$A3)*1000+(41-AI$1),0)</f>
        <v/>
      </c>
      <c r="AJ3" s="58">
        <f>IF(AND(matrizOK,$B3="Motriz",OR(AJ$2="Enlace",AJ$2="Resultado"),'M1'!AT10&gt;=1),'M1'!AT10*1000000+(41-$A3)*1000+(41-AJ$1),0)</f>
        <v/>
      </c>
      <c r="AK3" s="58">
        <f>IF(AND(matrizOK,$B3="Motriz",OR(AK$2="Enlace",AK$2="Resultado"),'M1'!AU10&gt;=1),'M1'!AU10*1000000+(41-$A3)*1000+(41-AK$1),0)</f>
        <v/>
      </c>
      <c r="AL3" s="58">
        <f>IF(AND(matrizOK,$B3="Motriz",OR(AL$2="Enlace",AL$2="Resultado"),'M1'!AV10&gt;=1),'M1'!AV10*1000000+(41-$A3)*1000+(41-AL$1),0)</f>
        <v/>
      </c>
      <c r="AM3" s="58">
        <f>IF(AND(matrizOK,$B3="Motriz",OR(AM$2="Enlace",AM$2="Resultado"),'M1'!AW10&gt;=1),'M1'!AW10*1000000+(41-$A3)*1000+(41-AM$1),0)</f>
        <v/>
      </c>
      <c r="AN3" s="58">
        <f>IF(AND(matrizOK,$B3="Motriz",OR(AN$2="Enlace",AN$2="Resultado"),'M1'!AX10&gt;=1),'M1'!AX10*1000000+(41-$A3)*1000+(41-AN$1),0)</f>
        <v/>
      </c>
      <c r="AO3" s="58">
        <f>IF(AND(matrizOK,$B3="Motriz",OR(AO$2="Enlace",AO$2="Resultado"),'M1'!AY10&gt;=1),'M1'!AY10*1000000+(41-$A3)*1000+(41-AO$1),0)</f>
        <v/>
      </c>
      <c r="AP3" s="58">
        <f>IF(AND(matrizOK,$B3="Motriz",OR(AP$2="Enlace",AP$2="Resultado"),'M1'!AZ10&gt;=1),'M1'!AZ10*1000000+(41-$A3)*1000+(41-AP$1),0)</f>
        <v/>
      </c>
    </row>
    <row r="4">
      <c r="A4" s="58" t="n">
        <v>2</v>
      </c>
      <c r="B4" s="58">
        <f>IF($A4&lt;=nVariables,INDEX('M6'!$I$10:$I$49,$A4),"")</f>
        <v/>
      </c>
      <c r="C4" s="58">
        <f>IF(AND(matrizOK,$B4="Motriz",OR(C$2="Enlace",C$2="Resultado"),'M1'!M11&gt;=1),'M1'!M11*1000000+(41-$A4)*1000+(41-C$1),0)</f>
        <v/>
      </c>
      <c r="D4" s="58">
        <f>IF(AND(matrizOK,$B4="Motriz",OR(D$2="Enlace",D$2="Resultado"),'M1'!N11&gt;=1),'M1'!N11*1000000+(41-$A4)*1000+(41-D$1),0)</f>
        <v/>
      </c>
      <c r="E4" s="58">
        <f>IF(AND(matrizOK,$B4="Motriz",OR(E$2="Enlace",E$2="Resultado"),'M1'!O11&gt;=1),'M1'!O11*1000000+(41-$A4)*1000+(41-E$1),0)</f>
        <v/>
      </c>
      <c r="F4" s="58">
        <f>IF(AND(matrizOK,$B4="Motriz",OR(F$2="Enlace",F$2="Resultado"),'M1'!P11&gt;=1),'M1'!P11*1000000+(41-$A4)*1000+(41-F$1),0)</f>
        <v/>
      </c>
      <c r="G4" s="58">
        <f>IF(AND(matrizOK,$B4="Motriz",OR(G$2="Enlace",G$2="Resultado"),'M1'!Q11&gt;=1),'M1'!Q11*1000000+(41-$A4)*1000+(41-G$1),0)</f>
        <v/>
      </c>
      <c r="H4" s="58">
        <f>IF(AND(matrizOK,$B4="Motriz",OR(H$2="Enlace",H$2="Resultado"),'M1'!R11&gt;=1),'M1'!R11*1000000+(41-$A4)*1000+(41-H$1),0)</f>
        <v/>
      </c>
      <c r="I4" s="58">
        <f>IF(AND(matrizOK,$B4="Motriz",OR(I$2="Enlace",I$2="Resultado"),'M1'!S11&gt;=1),'M1'!S11*1000000+(41-$A4)*1000+(41-I$1),0)</f>
        <v/>
      </c>
      <c r="J4" s="58">
        <f>IF(AND(matrizOK,$B4="Motriz",OR(J$2="Enlace",J$2="Resultado"),'M1'!T11&gt;=1),'M1'!T11*1000000+(41-$A4)*1000+(41-J$1),0)</f>
        <v/>
      </c>
      <c r="K4" s="58">
        <f>IF(AND(matrizOK,$B4="Motriz",OR(K$2="Enlace",K$2="Resultado"),'M1'!U11&gt;=1),'M1'!U11*1000000+(41-$A4)*1000+(41-K$1),0)</f>
        <v/>
      </c>
      <c r="L4" s="58">
        <f>IF(AND(matrizOK,$B4="Motriz",OR(L$2="Enlace",L$2="Resultado"),'M1'!V11&gt;=1),'M1'!V11*1000000+(41-$A4)*1000+(41-L$1),0)</f>
        <v/>
      </c>
      <c r="M4" s="58">
        <f>IF(AND(matrizOK,$B4="Motriz",OR(M$2="Enlace",M$2="Resultado"),'M1'!W11&gt;=1),'M1'!W11*1000000+(41-$A4)*1000+(41-M$1),0)</f>
        <v/>
      </c>
      <c r="N4" s="58">
        <f>IF(AND(matrizOK,$B4="Motriz",OR(N$2="Enlace",N$2="Resultado"),'M1'!X11&gt;=1),'M1'!X11*1000000+(41-$A4)*1000+(41-N$1),0)</f>
        <v/>
      </c>
      <c r="O4" s="58">
        <f>IF(AND(matrizOK,$B4="Motriz",OR(O$2="Enlace",O$2="Resultado"),'M1'!Y11&gt;=1),'M1'!Y11*1000000+(41-$A4)*1000+(41-O$1),0)</f>
        <v/>
      </c>
      <c r="P4" s="58">
        <f>IF(AND(matrizOK,$B4="Motriz",OR(P$2="Enlace",P$2="Resultado"),'M1'!Z11&gt;=1),'M1'!Z11*1000000+(41-$A4)*1000+(41-P$1),0)</f>
        <v/>
      </c>
      <c r="Q4" s="58">
        <f>IF(AND(matrizOK,$B4="Motriz",OR(Q$2="Enlace",Q$2="Resultado"),'M1'!AA11&gt;=1),'M1'!AA11*1000000+(41-$A4)*1000+(41-Q$1),0)</f>
        <v/>
      </c>
      <c r="R4" s="58">
        <f>IF(AND(matrizOK,$B4="Motriz",OR(R$2="Enlace",R$2="Resultado"),'M1'!AB11&gt;=1),'M1'!AB11*1000000+(41-$A4)*1000+(41-R$1),0)</f>
        <v/>
      </c>
      <c r="S4" s="58">
        <f>IF(AND(matrizOK,$B4="Motriz",OR(S$2="Enlace",S$2="Resultado"),'M1'!AC11&gt;=1),'M1'!AC11*1000000+(41-$A4)*1000+(41-S$1),0)</f>
        <v/>
      </c>
      <c r="T4" s="58">
        <f>IF(AND(matrizOK,$B4="Motriz",OR(T$2="Enlace",T$2="Resultado"),'M1'!AD11&gt;=1),'M1'!AD11*1000000+(41-$A4)*1000+(41-T$1),0)</f>
        <v/>
      </c>
      <c r="U4" s="58">
        <f>IF(AND(matrizOK,$B4="Motriz",OR(U$2="Enlace",U$2="Resultado"),'M1'!AE11&gt;=1),'M1'!AE11*1000000+(41-$A4)*1000+(41-U$1),0)</f>
        <v/>
      </c>
      <c r="V4" s="58">
        <f>IF(AND(matrizOK,$B4="Motriz",OR(V$2="Enlace",V$2="Resultado"),'M1'!AF11&gt;=1),'M1'!AF11*1000000+(41-$A4)*1000+(41-V$1),0)</f>
        <v/>
      </c>
      <c r="W4" s="58">
        <f>IF(AND(matrizOK,$B4="Motriz",OR(W$2="Enlace",W$2="Resultado"),'M1'!AG11&gt;=1),'M1'!AG11*1000000+(41-$A4)*1000+(41-W$1),0)</f>
        <v/>
      </c>
      <c r="X4" s="58">
        <f>IF(AND(matrizOK,$B4="Motriz",OR(X$2="Enlace",X$2="Resultado"),'M1'!AH11&gt;=1),'M1'!AH11*1000000+(41-$A4)*1000+(41-X$1),0)</f>
        <v/>
      </c>
      <c r="Y4" s="58">
        <f>IF(AND(matrizOK,$B4="Motriz",OR(Y$2="Enlace",Y$2="Resultado"),'M1'!AI11&gt;=1),'M1'!AI11*1000000+(41-$A4)*1000+(41-Y$1),0)</f>
        <v/>
      </c>
      <c r="Z4" s="58">
        <f>IF(AND(matrizOK,$B4="Motriz",OR(Z$2="Enlace",Z$2="Resultado"),'M1'!AJ11&gt;=1),'M1'!AJ11*1000000+(41-$A4)*1000+(41-Z$1),0)</f>
        <v/>
      </c>
      <c r="AA4" s="58">
        <f>IF(AND(matrizOK,$B4="Motriz",OR(AA$2="Enlace",AA$2="Resultado"),'M1'!AK11&gt;=1),'M1'!AK11*1000000+(41-$A4)*1000+(41-AA$1),0)</f>
        <v/>
      </c>
      <c r="AB4" s="58">
        <f>IF(AND(matrizOK,$B4="Motriz",OR(AB$2="Enlace",AB$2="Resultado"),'M1'!AL11&gt;=1),'M1'!AL11*1000000+(41-$A4)*1000+(41-AB$1),0)</f>
        <v/>
      </c>
      <c r="AC4" s="58">
        <f>IF(AND(matrizOK,$B4="Motriz",OR(AC$2="Enlace",AC$2="Resultado"),'M1'!AM11&gt;=1),'M1'!AM11*1000000+(41-$A4)*1000+(41-AC$1),0)</f>
        <v/>
      </c>
      <c r="AD4" s="58">
        <f>IF(AND(matrizOK,$B4="Motriz",OR(AD$2="Enlace",AD$2="Resultado"),'M1'!AN11&gt;=1),'M1'!AN11*1000000+(41-$A4)*1000+(41-AD$1),0)</f>
        <v/>
      </c>
      <c r="AE4" s="58">
        <f>IF(AND(matrizOK,$B4="Motriz",OR(AE$2="Enlace",AE$2="Resultado"),'M1'!AO11&gt;=1),'M1'!AO11*1000000+(41-$A4)*1000+(41-AE$1),0)</f>
        <v/>
      </c>
      <c r="AF4" s="58">
        <f>IF(AND(matrizOK,$B4="Motriz",OR(AF$2="Enlace",AF$2="Resultado"),'M1'!AP11&gt;=1),'M1'!AP11*1000000+(41-$A4)*1000+(41-AF$1),0)</f>
        <v/>
      </c>
      <c r="AG4" s="58">
        <f>IF(AND(matrizOK,$B4="Motriz",OR(AG$2="Enlace",AG$2="Resultado"),'M1'!AQ11&gt;=1),'M1'!AQ11*1000000+(41-$A4)*1000+(41-AG$1),0)</f>
        <v/>
      </c>
      <c r="AH4" s="58">
        <f>IF(AND(matrizOK,$B4="Motriz",OR(AH$2="Enlace",AH$2="Resultado"),'M1'!AR11&gt;=1),'M1'!AR11*1000000+(41-$A4)*1000+(41-AH$1),0)</f>
        <v/>
      </c>
      <c r="AI4" s="58">
        <f>IF(AND(matrizOK,$B4="Motriz",OR(AI$2="Enlace",AI$2="Resultado"),'M1'!AS11&gt;=1),'M1'!AS11*1000000+(41-$A4)*1000+(41-AI$1),0)</f>
        <v/>
      </c>
      <c r="AJ4" s="58">
        <f>IF(AND(matrizOK,$B4="Motriz",OR(AJ$2="Enlace",AJ$2="Resultado"),'M1'!AT11&gt;=1),'M1'!AT11*1000000+(41-$A4)*1000+(41-AJ$1),0)</f>
        <v/>
      </c>
      <c r="AK4" s="58">
        <f>IF(AND(matrizOK,$B4="Motriz",OR(AK$2="Enlace",AK$2="Resultado"),'M1'!AU11&gt;=1),'M1'!AU11*1000000+(41-$A4)*1000+(41-AK$1),0)</f>
        <v/>
      </c>
      <c r="AL4" s="58">
        <f>IF(AND(matrizOK,$B4="Motriz",OR(AL$2="Enlace",AL$2="Resultado"),'M1'!AV11&gt;=1),'M1'!AV11*1000000+(41-$A4)*1000+(41-AL$1),0)</f>
        <v/>
      </c>
      <c r="AM4" s="58">
        <f>IF(AND(matrizOK,$B4="Motriz",OR(AM$2="Enlace",AM$2="Resultado"),'M1'!AW11&gt;=1),'M1'!AW11*1000000+(41-$A4)*1000+(41-AM$1),0)</f>
        <v/>
      </c>
      <c r="AN4" s="58">
        <f>IF(AND(matrizOK,$B4="Motriz",OR(AN$2="Enlace",AN$2="Resultado"),'M1'!AX11&gt;=1),'M1'!AX11*1000000+(41-$A4)*1000+(41-AN$1),0)</f>
        <v/>
      </c>
      <c r="AO4" s="58">
        <f>IF(AND(matrizOK,$B4="Motriz",OR(AO$2="Enlace",AO$2="Resultado"),'M1'!AY11&gt;=1),'M1'!AY11*1000000+(41-$A4)*1000+(41-AO$1),0)</f>
        <v/>
      </c>
      <c r="AP4" s="58">
        <f>IF(AND(matrizOK,$B4="Motriz",OR(AP$2="Enlace",AP$2="Resultado"),'M1'!AZ11&gt;=1),'M1'!AZ11*1000000+(41-$A4)*1000+(41-AP$1),0)</f>
        <v/>
      </c>
    </row>
    <row r="5">
      <c r="A5" s="58" t="n">
        <v>3</v>
      </c>
      <c r="B5" s="58">
        <f>IF($A5&lt;=nVariables,INDEX('M6'!$I$10:$I$49,$A5),"")</f>
        <v/>
      </c>
      <c r="C5" s="58">
        <f>IF(AND(matrizOK,$B5="Motriz",OR(C$2="Enlace",C$2="Resultado"),'M1'!M12&gt;=1),'M1'!M12*1000000+(41-$A5)*1000+(41-C$1),0)</f>
        <v/>
      </c>
      <c r="D5" s="58">
        <f>IF(AND(matrizOK,$B5="Motriz",OR(D$2="Enlace",D$2="Resultado"),'M1'!N12&gt;=1),'M1'!N12*1000000+(41-$A5)*1000+(41-D$1),0)</f>
        <v/>
      </c>
      <c r="E5" s="58">
        <f>IF(AND(matrizOK,$B5="Motriz",OR(E$2="Enlace",E$2="Resultado"),'M1'!O12&gt;=1),'M1'!O12*1000000+(41-$A5)*1000+(41-E$1),0)</f>
        <v/>
      </c>
      <c r="F5" s="58">
        <f>IF(AND(matrizOK,$B5="Motriz",OR(F$2="Enlace",F$2="Resultado"),'M1'!P12&gt;=1),'M1'!P12*1000000+(41-$A5)*1000+(41-F$1),0)</f>
        <v/>
      </c>
      <c r="G5" s="58">
        <f>IF(AND(matrizOK,$B5="Motriz",OR(G$2="Enlace",G$2="Resultado"),'M1'!Q12&gt;=1),'M1'!Q12*1000000+(41-$A5)*1000+(41-G$1),0)</f>
        <v/>
      </c>
      <c r="H5" s="58">
        <f>IF(AND(matrizOK,$B5="Motriz",OR(H$2="Enlace",H$2="Resultado"),'M1'!R12&gt;=1),'M1'!R12*1000000+(41-$A5)*1000+(41-H$1),0)</f>
        <v/>
      </c>
      <c r="I5" s="58">
        <f>IF(AND(matrizOK,$B5="Motriz",OR(I$2="Enlace",I$2="Resultado"),'M1'!S12&gt;=1),'M1'!S12*1000000+(41-$A5)*1000+(41-I$1),0)</f>
        <v/>
      </c>
      <c r="J5" s="58">
        <f>IF(AND(matrizOK,$B5="Motriz",OR(J$2="Enlace",J$2="Resultado"),'M1'!T12&gt;=1),'M1'!T12*1000000+(41-$A5)*1000+(41-J$1),0)</f>
        <v/>
      </c>
      <c r="K5" s="58">
        <f>IF(AND(matrizOK,$B5="Motriz",OR(K$2="Enlace",K$2="Resultado"),'M1'!U12&gt;=1),'M1'!U12*1000000+(41-$A5)*1000+(41-K$1),0)</f>
        <v/>
      </c>
      <c r="L5" s="58">
        <f>IF(AND(matrizOK,$B5="Motriz",OR(L$2="Enlace",L$2="Resultado"),'M1'!V12&gt;=1),'M1'!V12*1000000+(41-$A5)*1000+(41-L$1),0)</f>
        <v/>
      </c>
      <c r="M5" s="58">
        <f>IF(AND(matrizOK,$B5="Motriz",OR(M$2="Enlace",M$2="Resultado"),'M1'!W12&gt;=1),'M1'!W12*1000000+(41-$A5)*1000+(41-M$1),0)</f>
        <v/>
      </c>
      <c r="N5" s="58">
        <f>IF(AND(matrizOK,$B5="Motriz",OR(N$2="Enlace",N$2="Resultado"),'M1'!X12&gt;=1),'M1'!X12*1000000+(41-$A5)*1000+(41-N$1),0)</f>
        <v/>
      </c>
      <c r="O5" s="58">
        <f>IF(AND(matrizOK,$B5="Motriz",OR(O$2="Enlace",O$2="Resultado"),'M1'!Y12&gt;=1),'M1'!Y12*1000000+(41-$A5)*1000+(41-O$1),0)</f>
        <v/>
      </c>
      <c r="P5" s="58">
        <f>IF(AND(matrizOK,$B5="Motriz",OR(P$2="Enlace",P$2="Resultado"),'M1'!Z12&gt;=1),'M1'!Z12*1000000+(41-$A5)*1000+(41-P$1),0)</f>
        <v/>
      </c>
      <c r="Q5" s="58">
        <f>IF(AND(matrizOK,$B5="Motriz",OR(Q$2="Enlace",Q$2="Resultado"),'M1'!AA12&gt;=1),'M1'!AA12*1000000+(41-$A5)*1000+(41-Q$1),0)</f>
        <v/>
      </c>
      <c r="R5" s="58">
        <f>IF(AND(matrizOK,$B5="Motriz",OR(R$2="Enlace",R$2="Resultado"),'M1'!AB12&gt;=1),'M1'!AB12*1000000+(41-$A5)*1000+(41-R$1),0)</f>
        <v/>
      </c>
      <c r="S5" s="58">
        <f>IF(AND(matrizOK,$B5="Motriz",OR(S$2="Enlace",S$2="Resultado"),'M1'!AC12&gt;=1),'M1'!AC12*1000000+(41-$A5)*1000+(41-S$1),0)</f>
        <v/>
      </c>
      <c r="T5" s="58">
        <f>IF(AND(matrizOK,$B5="Motriz",OR(T$2="Enlace",T$2="Resultado"),'M1'!AD12&gt;=1),'M1'!AD12*1000000+(41-$A5)*1000+(41-T$1),0)</f>
        <v/>
      </c>
      <c r="U5" s="58">
        <f>IF(AND(matrizOK,$B5="Motriz",OR(U$2="Enlace",U$2="Resultado"),'M1'!AE12&gt;=1),'M1'!AE12*1000000+(41-$A5)*1000+(41-U$1),0)</f>
        <v/>
      </c>
      <c r="V5" s="58">
        <f>IF(AND(matrizOK,$B5="Motriz",OR(V$2="Enlace",V$2="Resultado"),'M1'!AF12&gt;=1),'M1'!AF12*1000000+(41-$A5)*1000+(41-V$1),0)</f>
        <v/>
      </c>
      <c r="W5" s="58">
        <f>IF(AND(matrizOK,$B5="Motriz",OR(W$2="Enlace",W$2="Resultado"),'M1'!AG12&gt;=1),'M1'!AG12*1000000+(41-$A5)*1000+(41-W$1),0)</f>
        <v/>
      </c>
      <c r="X5" s="58">
        <f>IF(AND(matrizOK,$B5="Motriz",OR(X$2="Enlace",X$2="Resultado"),'M1'!AH12&gt;=1),'M1'!AH12*1000000+(41-$A5)*1000+(41-X$1),0)</f>
        <v/>
      </c>
      <c r="Y5" s="58">
        <f>IF(AND(matrizOK,$B5="Motriz",OR(Y$2="Enlace",Y$2="Resultado"),'M1'!AI12&gt;=1),'M1'!AI12*1000000+(41-$A5)*1000+(41-Y$1),0)</f>
        <v/>
      </c>
      <c r="Z5" s="58">
        <f>IF(AND(matrizOK,$B5="Motriz",OR(Z$2="Enlace",Z$2="Resultado"),'M1'!AJ12&gt;=1),'M1'!AJ12*1000000+(41-$A5)*1000+(41-Z$1),0)</f>
        <v/>
      </c>
      <c r="AA5" s="58">
        <f>IF(AND(matrizOK,$B5="Motriz",OR(AA$2="Enlace",AA$2="Resultado"),'M1'!AK12&gt;=1),'M1'!AK12*1000000+(41-$A5)*1000+(41-AA$1),0)</f>
        <v/>
      </c>
      <c r="AB5" s="58">
        <f>IF(AND(matrizOK,$B5="Motriz",OR(AB$2="Enlace",AB$2="Resultado"),'M1'!AL12&gt;=1),'M1'!AL12*1000000+(41-$A5)*1000+(41-AB$1),0)</f>
        <v/>
      </c>
      <c r="AC5" s="58">
        <f>IF(AND(matrizOK,$B5="Motriz",OR(AC$2="Enlace",AC$2="Resultado"),'M1'!AM12&gt;=1),'M1'!AM12*1000000+(41-$A5)*1000+(41-AC$1),0)</f>
        <v/>
      </c>
      <c r="AD5" s="58">
        <f>IF(AND(matrizOK,$B5="Motriz",OR(AD$2="Enlace",AD$2="Resultado"),'M1'!AN12&gt;=1),'M1'!AN12*1000000+(41-$A5)*1000+(41-AD$1),0)</f>
        <v/>
      </c>
      <c r="AE5" s="58">
        <f>IF(AND(matrizOK,$B5="Motriz",OR(AE$2="Enlace",AE$2="Resultado"),'M1'!AO12&gt;=1),'M1'!AO12*1000000+(41-$A5)*1000+(41-AE$1),0)</f>
        <v/>
      </c>
      <c r="AF5" s="58">
        <f>IF(AND(matrizOK,$B5="Motriz",OR(AF$2="Enlace",AF$2="Resultado"),'M1'!AP12&gt;=1),'M1'!AP12*1000000+(41-$A5)*1000+(41-AF$1),0)</f>
        <v/>
      </c>
      <c r="AG5" s="58">
        <f>IF(AND(matrizOK,$B5="Motriz",OR(AG$2="Enlace",AG$2="Resultado"),'M1'!AQ12&gt;=1),'M1'!AQ12*1000000+(41-$A5)*1000+(41-AG$1),0)</f>
        <v/>
      </c>
      <c r="AH5" s="58">
        <f>IF(AND(matrizOK,$B5="Motriz",OR(AH$2="Enlace",AH$2="Resultado"),'M1'!AR12&gt;=1),'M1'!AR12*1000000+(41-$A5)*1000+(41-AH$1),0)</f>
        <v/>
      </c>
      <c r="AI5" s="58">
        <f>IF(AND(matrizOK,$B5="Motriz",OR(AI$2="Enlace",AI$2="Resultado"),'M1'!AS12&gt;=1),'M1'!AS12*1000000+(41-$A5)*1000+(41-AI$1),0)</f>
        <v/>
      </c>
      <c r="AJ5" s="58">
        <f>IF(AND(matrizOK,$B5="Motriz",OR(AJ$2="Enlace",AJ$2="Resultado"),'M1'!AT12&gt;=1),'M1'!AT12*1000000+(41-$A5)*1000+(41-AJ$1),0)</f>
        <v/>
      </c>
      <c r="AK5" s="58">
        <f>IF(AND(matrizOK,$B5="Motriz",OR(AK$2="Enlace",AK$2="Resultado"),'M1'!AU12&gt;=1),'M1'!AU12*1000000+(41-$A5)*1000+(41-AK$1),0)</f>
        <v/>
      </c>
      <c r="AL5" s="58">
        <f>IF(AND(matrizOK,$B5="Motriz",OR(AL$2="Enlace",AL$2="Resultado"),'M1'!AV12&gt;=1),'M1'!AV12*1000000+(41-$A5)*1000+(41-AL$1),0)</f>
        <v/>
      </c>
      <c r="AM5" s="58">
        <f>IF(AND(matrizOK,$B5="Motriz",OR(AM$2="Enlace",AM$2="Resultado"),'M1'!AW12&gt;=1),'M1'!AW12*1000000+(41-$A5)*1000+(41-AM$1),0)</f>
        <v/>
      </c>
      <c r="AN5" s="58">
        <f>IF(AND(matrizOK,$B5="Motriz",OR(AN$2="Enlace",AN$2="Resultado"),'M1'!AX12&gt;=1),'M1'!AX12*1000000+(41-$A5)*1000+(41-AN$1),0)</f>
        <v/>
      </c>
      <c r="AO5" s="58">
        <f>IF(AND(matrizOK,$B5="Motriz",OR(AO$2="Enlace",AO$2="Resultado"),'M1'!AY12&gt;=1),'M1'!AY12*1000000+(41-$A5)*1000+(41-AO$1),0)</f>
        <v/>
      </c>
      <c r="AP5" s="58">
        <f>IF(AND(matrizOK,$B5="Motriz",OR(AP$2="Enlace",AP$2="Resultado"),'M1'!AZ12&gt;=1),'M1'!AZ12*1000000+(41-$A5)*1000+(41-AP$1),0)</f>
        <v/>
      </c>
    </row>
    <row r="6">
      <c r="A6" s="58" t="n">
        <v>4</v>
      </c>
      <c r="B6" s="58">
        <f>IF($A6&lt;=nVariables,INDEX('M6'!$I$10:$I$49,$A6),"")</f>
        <v/>
      </c>
      <c r="C6" s="58">
        <f>IF(AND(matrizOK,$B6="Motriz",OR(C$2="Enlace",C$2="Resultado"),'M1'!M13&gt;=1),'M1'!M13*1000000+(41-$A6)*1000+(41-C$1),0)</f>
        <v/>
      </c>
      <c r="D6" s="58">
        <f>IF(AND(matrizOK,$B6="Motriz",OR(D$2="Enlace",D$2="Resultado"),'M1'!N13&gt;=1),'M1'!N13*1000000+(41-$A6)*1000+(41-D$1),0)</f>
        <v/>
      </c>
      <c r="E6" s="58">
        <f>IF(AND(matrizOK,$B6="Motriz",OR(E$2="Enlace",E$2="Resultado"),'M1'!O13&gt;=1),'M1'!O13*1000000+(41-$A6)*1000+(41-E$1),0)</f>
        <v/>
      </c>
      <c r="F6" s="58">
        <f>IF(AND(matrizOK,$B6="Motriz",OR(F$2="Enlace",F$2="Resultado"),'M1'!P13&gt;=1),'M1'!P13*1000000+(41-$A6)*1000+(41-F$1),0)</f>
        <v/>
      </c>
      <c r="G6" s="58">
        <f>IF(AND(matrizOK,$B6="Motriz",OR(G$2="Enlace",G$2="Resultado"),'M1'!Q13&gt;=1),'M1'!Q13*1000000+(41-$A6)*1000+(41-G$1),0)</f>
        <v/>
      </c>
      <c r="H6" s="58">
        <f>IF(AND(matrizOK,$B6="Motriz",OR(H$2="Enlace",H$2="Resultado"),'M1'!R13&gt;=1),'M1'!R13*1000000+(41-$A6)*1000+(41-H$1),0)</f>
        <v/>
      </c>
      <c r="I6" s="58">
        <f>IF(AND(matrizOK,$B6="Motriz",OR(I$2="Enlace",I$2="Resultado"),'M1'!S13&gt;=1),'M1'!S13*1000000+(41-$A6)*1000+(41-I$1),0)</f>
        <v/>
      </c>
      <c r="J6" s="58">
        <f>IF(AND(matrizOK,$B6="Motriz",OR(J$2="Enlace",J$2="Resultado"),'M1'!T13&gt;=1),'M1'!T13*1000000+(41-$A6)*1000+(41-J$1),0)</f>
        <v/>
      </c>
      <c r="K6" s="58">
        <f>IF(AND(matrizOK,$B6="Motriz",OR(K$2="Enlace",K$2="Resultado"),'M1'!U13&gt;=1),'M1'!U13*1000000+(41-$A6)*1000+(41-K$1),0)</f>
        <v/>
      </c>
      <c r="L6" s="58">
        <f>IF(AND(matrizOK,$B6="Motriz",OR(L$2="Enlace",L$2="Resultado"),'M1'!V13&gt;=1),'M1'!V13*1000000+(41-$A6)*1000+(41-L$1),0)</f>
        <v/>
      </c>
      <c r="M6" s="58">
        <f>IF(AND(matrizOK,$B6="Motriz",OR(M$2="Enlace",M$2="Resultado"),'M1'!W13&gt;=1),'M1'!W13*1000000+(41-$A6)*1000+(41-M$1),0)</f>
        <v/>
      </c>
      <c r="N6" s="58">
        <f>IF(AND(matrizOK,$B6="Motriz",OR(N$2="Enlace",N$2="Resultado"),'M1'!X13&gt;=1),'M1'!X13*1000000+(41-$A6)*1000+(41-N$1),0)</f>
        <v/>
      </c>
      <c r="O6" s="58">
        <f>IF(AND(matrizOK,$B6="Motriz",OR(O$2="Enlace",O$2="Resultado"),'M1'!Y13&gt;=1),'M1'!Y13*1000000+(41-$A6)*1000+(41-O$1),0)</f>
        <v/>
      </c>
      <c r="P6" s="58">
        <f>IF(AND(matrizOK,$B6="Motriz",OR(P$2="Enlace",P$2="Resultado"),'M1'!Z13&gt;=1),'M1'!Z13*1000000+(41-$A6)*1000+(41-P$1),0)</f>
        <v/>
      </c>
      <c r="Q6" s="58">
        <f>IF(AND(matrizOK,$B6="Motriz",OR(Q$2="Enlace",Q$2="Resultado"),'M1'!AA13&gt;=1),'M1'!AA13*1000000+(41-$A6)*1000+(41-Q$1),0)</f>
        <v/>
      </c>
      <c r="R6" s="58">
        <f>IF(AND(matrizOK,$B6="Motriz",OR(R$2="Enlace",R$2="Resultado"),'M1'!AB13&gt;=1),'M1'!AB13*1000000+(41-$A6)*1000+(41-R$1),0)</f>
        <v/>
      </c>
      <c r="S6" s="58">
        <f>IF(AND(matrizOK,$B6="Motriz",OR(S$2="Enlace",S$2="Resultado"),'M1'!AC13&gt;=1),'M1'!AC13*1000000+(41-$A6)*1000+(41-S$1),0)</f>
        <v/>
      </c>
      <c r="T6" s="58">
        <f>IF(AND(matrizOK,$B6="Motriz",OR(T$2="Enlace",T$2="Resultado"),'M1'!AD13&gt;=1),'M1'!AD13*1000000+(41-$A6)*1000+(41-T$1),0)</f>
        <v/>
      </c>
      <c r="U6" s="58">
        <f>IF(AND(matrizOK,$B6="Motriz",OR(U$2="Enlace",U$2="Resultado"),'M1'!AE13&gt;=1),'M1'!AE13*1000000+(41-$A6)*1000+(41-U$1),0)</f>
        <v/>
      </c>
      <c r="V6" s="58">
        <f>IF(AND(matrizOK,$B6="Motriz",OR(V$2="Enlace",V$2="Resultado"),'M1'!AF13&gt;=1),'M1'!AF13*1000000+(41-$A6)*1000+(41-V$1),0)</f>
        <v/>
      </c>
      <c r="W6" s="58">
        <f>IF(AND(matrizOK,$B6="Motriz",OR(W$2="Enlace",W$2="Resultado"),'M1'!AG13&gt;=1),'M1'!AG13*1000000+(41-$A6)*1000+(41-W$1),0)</f>
        <v/>
      </c>
      <c r="X6" s="58">
        <f>IF(AND(matrizOK,$B6="Motriz",OR(X$2="Enlace",X$2="Resultado"),'M1'!AH13&gt;=1),'M1'!AH13*1000000+(41-$A6)*1000+(41-X$1),0)</f>
        <v/>
      </c>
      <c r="Y6" s="58">
        <f>IF(AND(matrizOK,$B6="Motriz",OR(Y$2="Enlace",Y$2="Resultado"),'M1'!AI13&gt;=1),'M1'!AI13*1000000+(41-$A6)*1000+(41-Y$1),0)</f>
        <v/>
      </c>
      <c r="Z6" s="58">
        <f>IF(AND(matrizOK,$B6="Motriz",OR(Z$2="Enlace",Z$2="Resultado"),'M1'!AJ13&gt;=1),'M1'!AJ13*1000000+(41-$A6)*1000+(41-Z$1),0)</f>
        <v/>
      </c>
      <c r="AA6" s="58">
        <f>IF(AND(matrizOK,$B6="Motriz",OR(AA$2="Enlace",AA$2="Resultado"),'M1'!AK13&gt;=1),'M1'!AK13*1000000+(41-$A6)*1000+(41-AA$1),0)</f>
        <v/>
      </c>
      <c r="AB6" s="58">
        <f>IF(AND(matrizOK,$B6="Motriz",OR(AB$2="Enlace",AB$2="Resultado"),'M1'!AL13&gt;=1),'M1'!AL13*1000000+(41-$A6)*1000+(41-AB$1),0)</f>
        <v/>
      </c>
      <c r="AC6" s="58">
        <f>IF(AND(matrizOK,$B6="Motriz",OR(AC$2="Enlace",AC$2="Resultado"),'M1'!AM13&gt;=1),'M1'!AM13*1000000+(41-$A6)*1000+(41-AC$1),0)</f>
        <v/>
      </c>
      <c r="AD6" s="58">
        <f>IF(AND(matrizOK,$B6="Motriz",OR(AD$2="Enlace",AD$2="Resultado"),'M1'!AN13&gt;=1),'M1'!AN13*1000000+(41-$A6)*1000+(41-AD$1),0)</f>
        <v/>
      </c>
      <c r="AE6" s="58">
        <f>IF(AND(matrizOK,$B6="Motriz",OR(AE$2="Enlace",AE$2="Resultado"),'M1'!AO13&gt;=1),'M1'!AO13*1000000+(41-$A6)*1000+(41-AE$1),0)</f>
        <v/>
      </c>
      <c r="AF6" s="58">
        <f>IF(AND(matrizOK,$B6="Motriz",OR(AF$2="Enlace",AF$2="Resultado"),'M1'!AP13&gt;=1),'M1'!AP13*1000000+(41-$A6)*1000+(41-AF$1),0)</f>
        <v/>
      </c>
      <c r="AG6" s="58">
        <f>IF(AND(matrizOK,$B6="Motriz",OR(AG$2="Enlace",AG$2="Resultado"),'M1'!AQ13&gt;=1),'M1'!AQ13*1000000+(41-$A6)*1000+(41-AG$1),0)</f>
        <v/>
      </c>
      <c r="AH6" s="58">
        <f>IF(AND(matrizOK,$B6="Motriz",OR(AH$2="Enlace",AH$2="Resultado"),'M1'!AR13&gt;=1),'M1'!AR13*1000000+(41-$A6)*1000+(41-AH$1),0)</f>
        <v/>
      </c>
      <c r="AI6" s="58">
        <f>IF(AND(matrizOK,$B6="Motriz",OR(AI$2="Enlace",AI$2="Resultado"),'M1'!AS13&gt;=1),'M1'!AS13*1000000+(41-$A6)*1000+(41-AI$1),0)</f>
        <v/>
      </c>
      <c r="AJ6" s="58">
        <f>IF(AND(matrizOK,$B6="Motriz",OR(AJ$2="Enlace",AJ$2="Resultado"),'M1'!AT13&gt;=1),'M1'!AT13*1000000+(41-$A6)*1000+(41-AJ$1),0)</f>
        <v/>
      </c>
      <c r="AK6" s="58">
        <f>IF(AND(matrizOK,$B6="Motriz",OR(AK$2="Enlace",AK$2="Resultado"),'M1'!AU13&gt;=1),'M1'!AU13*1000000+(41-$A6)*1000+(41-AK$1),0)</f>
        <v/>
      </c>
      <c r="AL6" s="58">
        <f>IF(AND(matrizOK,$B6="Motriz",OR(AL$2="Enlace",AL$2="Resultado"),'M1'!AV13&gt;=1),'M1'!AV13*1000000+(41-$A6)*1000+(41-AL$1),0)</f>
        <v/>
      </c>
      <c r="AM6" s="58">
        <f>IF(AND(matrizOK,$B6="Motriz",OR(AM$2="Enlace",AM$2="Resultado"),'M1'!AW13&gt;=1),'M1'!AW13*1000000+(41-$A6)*1000+(41-AM$1),0)</f>
        <v/>
      </c>
      <c r="AN6" s="58">
        <f>IF(AND(matrizOK,$B6="Motriz",OR(AN$2="Enlace",AN$2="Resultado"),'M1'!AX13&gt;=1),'M1'!AX13*1000000+(41-$A6)*1000+(41-AN$1),0)</f>
        <v/>
      </c>
      <c r="AO6" s="58">
        <f>IF(AND(matrizOK,$B6="Motriz",OR(AO$2="Enlace",AO$2="Resultado"),'M1'!AY13&gt;=1),'M1'!AY13*1000000+(41-$A6)*1000+(41-AO$1),0)</f>
        <v/>
      </c>
      <c r="AP6" s="58">
        <f>IF(AND(matrizOK,$B6="Motriz",OR(AP$2="Enlace",AP$2="Resultado"),'M1'!AZ13&gt;=1),'M1'!AZ13*1000000+(41-$A6)*1000+(41-AP$1),0)</f>
        <v/>
      </c>
    </row>
    <row r="7">
      <c r="A7" s="58" t="n">
        <v>5</v>
      </c>
      <c r="B7" s="58">
        <f>IF($A7&lt;=nVariables,INDEX('M6'!$I$10:$I$49,$A7),"")</f>
        <v/>
      </c>
      <c r="C7" s="58">
        <f>IF(AND(matrizOK,$B7="Motriz",OR(C$2="Enlace",C$2="Resultado"),'M1'!M14&gt;=1),'M1'!M14*1000000+(41-$A7)*1000+(41-C$1),0)</f>
        <v/>
      </c>
      <c r="D7" s="58">
        <f>IF(AND(matrizOK,$B7="Motriz",OR(D$2="Enlace",D$2="Resultado"),'M1'!N14&gt;=1),'M1'!N14*1000000+(41-$A7)*1000+(41-D$1),0)</f>
        <v/>
      </c>
      <c r="E7" s="58">
        <f>IF(AND(matrizOK,$B7="Motriz",OR(E$2="Enlace",E$2="Resultado"),'M1'!O14&gt;=1),'M1'!O14*1000000+(41-$A7)*1000+(41-E$1),0)</f>
        <v/>
      </c>
      <c r="F7" s="58">
        <f>IF(AND(matrizOK,$B7="Motriz",OR(F$2="Enlace",F$2="Resultado"),'M1'!P14&gt;=1),'M1'!P14*1000000+(41-$A7)*1000+(41-F$1),0)</f>
        <v/>
      </c>
      <c r="G7" s="58">
        <f>IF(AND(matrizOK,$B7="Motriz",OR(G$2="Enlace",G$2="Resultado"),'M1'!Q14&gt;=1),'M1'!Q14*1000000+(41-$A7)*1000+(41-G$1),0)</f>
        <v/>
      </c>
      <c r="H7" s="58">
        <f>IF(AND(matrizOK,$B7="Motriz",OR(H$2="Enlace",H$2="Resultado"),'M1'!R14&gt;=1),'M1'!R14*1000000+(41-$A7)*1000+(41-H$1),0)</f>
        <v/>
      </c>
      <c r="I7" s="58">
        <f>IF(AND(matrizOK,$B7="Motriz",OR(I$2="Enlace",I$2="Resultado"),'M1'!S14&gt;=1),'M1'!S14*1000000+(41-$A7)*1000+(41-I$1),0)</f>
        <v/>
      </c>
      <c r="J7" s="58">
        <f>IF(AND(matrizOK,$B7="Motriz",OR(J$2="Enlace",J$2="Resultado"),'M1'!T14&gt;=1),'M1'!T14*1000000+(41-$A7)*1000+(41-J$1),0)</f>
        <v/>
      </c>
      <c r="K7" s="58">
        <f>IF(AND(matrizOK,$B7="Motriz",OR(K$2="Enlace",K$2="Resultado"),'M1'!U14&gt;=1),'M1'!U14*1000000+(41-$A7)*1000+(41-K$1),0)</f>
        <v/>
      </c>
      <c r="L7" s="58">
        <f>IF(AND(matrizOK,$B7="Motriz",OR(L$2="Enlace",L$2="Resultado"),'M1'!V14&gt;=1),'M1'!V14*1000000+(41-$A7)*1000+(41-L$1),0)</f>
        <v/>
      </c>
      <c r="M7" s="58">
        <f>IF(AND(matrizOK,$B7="Motriz",OR(M$2="Enlace",M$2="Resultado"),'M1'!W14&gt;=1),'M1'!W14*1000000+(41-$A7)*1000+(41-M$1),0)</f>
        <v/>
      </c>
      <c r="N7" s="58">
        <f>IF(AND(matrizOK,$B7="Motriz",OR(N$2="Enlace",N$2="Resultado"),'M1'!X14&gt;=1),'M1'!X14*1000000+(41-$A7)*1000+(41-N$1),0)</f>
        <v/>
      </c>
      <c r="O7" s="58">
        <f>IF(AND(matrizOK,$B7="Motriz",OR(O$2="Enlace",O$2="Resultado"),'M1'!Y14&gt;=1),'M1'!Y14*1000000+(41-$A7)*1000+(41-O$1),0)</f>
        <v/>
      </c>
      <c r="P7" s="58">
        <f>IF(AND(matrizOK,$B7="Motriz",OR(P$2="Enlace",P$2="Resultado"),'M1'!Z14&gt;=1),'M1'!Z14*1000000+(41-$A7)*1000+(41-P$1),0)</f>
        <v/>
      </c>
      <c r="Q7" s="58">
        <f>IF(AND(matrizOK,$B7="Motriz",OR(Q$2="Enlace",Q$2="Resultado"),'M1'!AA14&gt;=1),'M1'!AA14*1000000+(41-$A7)*1000+(41-Q$1),0)</f>
        <v/>
      </c>
      <c r="R7" s="58">
        <f>IF(AND(matrizOK,$B7="Motriz",OR(R$2="Enlace",R$2="Resultado"),'M1'!AB14&gt;=1),'M1'!AB14*1000000+(41-$A7)*1000+(41-R$1),0)</f>
        <v/>
      </c>
      <c r="S7" s="58">
        <f>IF(AND(matrizOK,$B7="Motriz",OR(S$2="Enlace",S$2="Resultado"),'M1'!AC14&gt;=1),'M1'!AC14*1000000+(41-$A7)*1000+(41-S$1),0)</f>
        <v/>
      </c>
      <c r="T7" s="58">
        <f>IF(AND(matrizOK,$B7="Motriz",OR(T$2="Enlace",T$2="Resultado"),'M1'!AD14&gt;=1),'M1'!AD14*1000000+(41-$A7)*1000+(41-T$1),0)</f>
        <v/>
      </c>
      <c r="U7" s="58">
        <f>IF(AND(matrizOK,$B7="Motriz",OR(U$2="Enlace",U$2="Resultado"),'M1'!AE14&gt;=1),'M1'!AE14*1000000+(41-$A7)*1000+(41-U$1),0)</f>
        <v/>
      </c>
      <c r="V7" s="58">
        <f>IF(AND(matrizOK,$B7="Motriz",OR(V$2="Enlace",V$2="Resultado"),'M1'!AF14&gt;=1),'M1'!AF14*1000000+(41-$A7)*1000+(41-V$1),0)</f>
        <v/>
      </c>
      <c r="W7" s="58">
        <f>IF(AND(matrizOK,$B7="Motriz",OR(W$2="Enlace",W$2="Resultado"),'M1'!AG14&gt;=1),'M1'!AG14*1000000+(41-$A7)*1000+(41-W$1),0)</f>
        <v/>
      </c>
      <c r="X7" s="58">
        <f>IF(AND(matrizOK,$B7="Motriz",OR(X$2="Enlace",X$2="Resultado"),'M1'!AH14&gt;=1),'M1'!AH14*1000000+(41-$A7)*1000+(41-X$1),0)</f>
        <v/>
      </c>
      <c r="Y7" s="58">
        <f>IF(AND(matrizOK,$B7="Motriz",OR(Y$2="Enlace",Y$2="Resultado"),'M1'!AI14&gt;=1),'M1'!AI14*1000000+(41-$A7)*1000+(41-Y$1),0)</f>
        <v/>
      </c>
      <c r="Z7" s="58">
        <f>IF(AND(matrizOK,$B7="Motriz",OR(Z$2="Enlace",Z$2="Resultado"),'M1'!AJ14&gt;=1),'M1'!AJ14*1000000+(41-$A7)*1000+(41-Z$1),0)</f>
        <v/>
      </c>
      <c r="AA7" s="58">
        <f>IF(AND(matrizOK,$B7="Motriz",OR(AA$2="Enlace",AA$2="Resultado"),'M1'!AK14&gt;=1),'M1'!AK14*1000000+(41-$A7)*1000+(41-AA$1),0)</f>
        <v/>
      </c>
      <c r="AB7" s="58">
        <f>IF(AND(matrizOK,$B7="Motriz",OR(AB$2="Enlace",AB$2="Resultado"),'M1'!AL14&gt;=1),'M1'!AL14*1000000+(41-$A7)*1000+(41-AB$1),0)</f>
        <v/>
      </c>
      <c r="AC7" s="58">
        <f>IF(AND(matrizOK,$B7="Motriz",OR(AC$2="Enlace",AC$2="Resultado"),'M1'!AM14&gt;=1),'M1'!AM14*1000000+(41-$A7)*1000+(41-AC$1),0)</f>
        <v/>
      </c>
      <c r="AD7" s="58">
        <f>IF(AND(matrizOK,$B7="Motriz",OR(AD$2="Enlace",AD$2="Resultado"),'M1'!AN14&gt;=1),'M1'!AN14*1000000+(41-$A7)*1000+(41-AD$1),0)</f>
        <v/>
      </c>
      <c r="AE7" s="58">
        <f>IF(AND(matrizOK,$B7="Motriz",OR(AE$2="Enlace",AE$2="Resultado"),'M1'!AO14&gt;=1),'M1'!AO14*1000000+(41-$A7)*1000+(41-AE$1),0)</f>
        <v/>
      </c>
      <c r="AF7" s="58">
        <f>IF(AND(matrizOK,$B7="Motriz",OR(AF$2="Enlace",AF$2="Resultado"),'M1'!AP14&gt;=1),'M1'!AP14*1000000+(41-$A7)*1000+(41-AF$1),0)</f>
        <v/>
      </c>
      <c r="AG7" s="58">
        <f>IF(AND(matrizOK,$B7="Motriz",OR(AG$2="Enlace",AG$2="Resultado"),'M1'!AQ14&gt;=1),'M1'!AQ14*1000000+(41-$A7)*1000+(41-AG$1),0)</f>
        <v/>
      </c>
      <c r="AH7" s="58">
        <f>IF(AND(matrizOK,$B7="Motriz",OR(AH$2="Enlace",AH$2="Resultado"),'M1'!AR14&gt;=1),'M1'!AR14*1000000+(41-$A7)*1000+(41-AH$1),0)</f>
        <v/>
      </c>
      <c r="AI7" s="58">
        <f>IF(AND(matrizOK,$B7="Motriz",OR(AI$2="Enlace",AI$2="Resultado"),'M1'!AS14&gt;=1),'M1'!AS14*1000000+(41-$A7)*1000+(41-AI$1),0)</f>
        <v/>
      </c>
      <c r="AJ7" s="58">
        <f>IF(AND(matrizOK,$B7="Motriz",OR(AJ$2="Enlace",AJ$2="Resultado"),'M1'!AT14&gt;=1),'M1'!AT14*1000000+(41-$A7)*1000+(41-AJ$1),0)</f>
        <v/>
      </c>
      <c r="AK7" s="58">
        <f>IF(AND(matrizOK,$B7="Motriz",OR(AK$2="Enlace",AK$2="Resultado"),'M1'!AU14&gt;=1),'M1'!AU14*1000000+(41-$A7)*1000+(41-AK$1),0)</f>
        <v/>
      </c>
      <c r="AL7" s="58">
        <f>IF(AND(matrizOK,$B7="Motriz",OR(AL$2="Enlace",AL$2="Resultado"),'M1'!AV14&gt;=1),'M1'!AV14*1000000+(41-$A7)*1000+(41-AL$1),0)</f>
        <v/>
      </c>
      <c r="AM7" s="58">
        <f>IF(AND(matrizOK,$B7="Motriz",OR(AM$2="Enlace",AM$2="Resultado"),'M1'!AW14&gt;=1),'M1'!AW14*1000000+(41-$A7)*1000+(41-AM$1),0)</f>
        <v/>
      </c>
      <c r="AN7" s="58">
        <f>IF(AND(matrizOK,$B7="Motriz",OR(AN$2="Enlace",AN$2="Resultado"),'M1'!AX14&gt;=1),'M1'!AX14*1000000+(41-$A7)*1000+(41-AN$1),0)</f>
        <v/>
      </c>
      <c r="AO7" s="58">
        <f>IF(AND(matrizOK,$B7="Motriz",OR(AO$2="Enlace",AO$2="Resultado"),'M1'!AY14&gt;=1),'M1'!AY14*1000000+(41-$A7)*1000+(41-AO$1),0)</f>
        <v/>
      </c>
      <c r="AP7" s="58">
        <f>IF(AND(matrizOK,$B7="Motriz",OR(AP$2="Enlace",AP$2="Resultado"),'M1'!AZ14&gt;=1),'M1'!AZ14*1000000+(41-$A7)*1000+(41-AP$1),0)</f>
        <v/>
      </c>
    </row>
    <row r="8">
      <c r="A8" s="58" t="n">
        <v>6</v>
      </c>
      <c r="B8" s="58">
        <f>IF($A8&lt;=nVariables,INDEX('M6'!$I$10:$I$49,$A8),"")</f>
        <v/>
      </c>
      <c r="C8" s="58">
        <f>IF(AND(matrizOK,$B8="Motriz",OR(C$2="Enlace",C$2="Resultado"),'M1'!M15&gt;=1),'M1'!M15*1000000+(41-$A8)*1000+(41-C$1),0)</f>
        <v/>
      </c>
      <c r="D8" s="58">
        <f>IF(AND(matrizOK,$B8="Motriz",OR(D$2="Enlace",D$2="Resultado"),'M1'!N15&gt;=1),'M1'!N15*1000000+(41-$A8)*1000+(41-D$1),0)</f>
        <v/>
      </c>
      <c r="E8" s="58">
        <f>IF(AND(matrizOK,$B8="Motriz",OR(E$2="Enlace",E$2="Resultado"),'M1'!O15&gt;=1),'M1'!O15*1000000+(41-$A8)*1000+(41-E$1),0)</f>
        <v/>
      </c>
      <c r="F8" s="58">
        <f>IF(AND(matrizOK,$B8="Motriz",OR(F$2="Enlace",F$2="Resultado"),'M1'!P15&gt;=1),'M1'!P15*1000000+(41-$A8)*1000+(41-F$1),0)</f>
        <v/>
      </c>
      <c r="G8" s="58">
        <f>IF(AND(matrizOK,$B8="Motriz",OR(G$2="Enlace",G$2="Resultado"),'M1'!Q15&gt;=1),'M1'!Q15*1000000+(41-$A8)*1000+(41-G$1),0)</f>
        <v/>
      </c>
      <c r="H8" s="58">
        <f>IF(AND(matrizOK,$B8="Motriz",OR(H$2="Enlace",H$2="Resultado"),'M1'!R15&gt;=1),'M1'!R15*1000000+(41-$A8)*1000+(41-H$1),0)</f>
        <v/>
      </c>
      <c r="I8" s="58">
        <f>IF(AND(matrizOK,$B8="Motriz",OR(I$2="Enlace",I$2="Resultado"),'M1'!S15&gt;=1),'M1'!S15*1000000+(41-$A8)*1000+(41-I$1),0)</f>
        <v/>
      </c>
      <c r="J8" s="58">
        <f>IF(AND(matrizOK,$B8="Motriz",OR(J$2="Enlace",J$2="Resultado"),'M1'!T15&gt;=1),'M1'!T15*1000000+(41-$A8)*1000+(41-J$1),0)</f>
        <v/>
      </c>
      <c r="K8" s="58">
        <f>IF(AND(matrizOK,$B8="Motriz",OR(K$2="Enlace",K$2="Resultado"),'M1'!U15&gt;=1),'M1'!U15*1000000+(41-$A8)*1000+(41-K$1),0)</f>
        <v/>
      </c>
      <c r="L8" s="58">
        <f>IF(AND(matrizOK,$B8="Motriz",OR(L$2="Enlace",L$2="Resultado"),'M1'!V15&gt;=1),'M1'!V15*1000000+(41-$A8)*1000+(41-L$1),0)</f>
        <v/>
      </c>
      <c r="M8" s="58">
        <f>IF(AND(matrizOK,$B8="Motriz",OR(M$2="Enlace",M$2="Resultado"),'M1'!W15&gt;=1),'M1'!W15*1000000+(41-$A8)*1000+(41-M$1),0)</f>
        <v/>
      </c>
      <c r="N8" s="58">
        <f>IF(AND(matrizOK,$B8="Motriz",OR(N$2="Enlace",N$2="Resultado"),'M1'!X15&gt;=1),'M1'!X15*1000000+(41-$A8)*1000+(41-N$1),0)</f>
        <v/>
      </c>
      <c r="O8" s="58">
        <f>IF(AND(matrizOK,$B8="Motriz",OR(O$2="Enlace",O$2="Resultado"),'M1'!Y15&gt;=1),'M1'!Y15*1000000+(41-$A8)*1000+(41-O$1),0)</f>
        <v/>
      </c>
      <c r="P8" s="58">
        <f>IF(AND(matrizOK,$B8="Motriz",OR(P$2="Enlace",P$2="Resultado"),'M1'!Z15&gt;=1),'M1'!Z15*1000000+(41-$A8)*1000+(41-P$1),0)</f>
        <v/>
      </c>
      <c r="Q8" s="58">
        <f>IF(AND(matrizOK,$B8="Motriz",OR(Q$2="Enlace",Q$2="Resultado"),'M1'!AA15&gt;=1),'M1'!AA15*1000000+(41-$A8)*1000+(41-Q$1),0)</f>
        <v/>
      </c>
      <c r="R8" s="58">
        <f>IF(AND(matrizOK,$B8="Motriz",OR(R$2="Enlace",R$2="Resultado"),'M1'!AB15&gt;=1),'M1'!AB15*1000000+(41-$A8)*1000+(41-R$1),0)</f>
        <v/>
      </c>
      <c r="S8" s="58">
        <f>IF(AND(matrizOK,$B8="Motriz",OR(S$2="Enlace",S$2="Resultado"),'M1'!AC15&gt;=1),'M1'!AC15*1000000+(41-$A8)*1000+(41-S$1),0)</f>
        <v/>
      </c>
      <c r="T8" s="58">
        <f>IF(AND(matrizOK,$B8="Motriz",OR(T$2="Enlace",T$2="Resultado"),'M1'!AD15&gt;=1),'M1'!AD15*1000000+(41-$A8)*1000+(41-T$1),0)</f>
        <v/>
      </c>
      <c r="U8" s="58">
        <f>IF(AND(matrizOK,$B8="Motriz",OR(U$2="Enlace",U$2="Resultado"),'M1'!AE15&gt;=1),'M1'!AE15*1000000+(41-$A8)*1000+(41-U$1),0)</f>
        <v/>
      </c>
      <c r="V8" s="58">
        <f>IF(AND(matrizOK,$B8="Motriz",OR(V$2="Enlace",V$2="Resultado"),'M1'!AF15&gt;=1),'M1'!AF15*1000000+(41-$A8)*1000+(41-V$1),0)</f>
        <v/>
      </c>
      <c r="W8" s="58">
        <f>IF(AND(matrizOK,$B8="Motriz",OR(W$2="Enlace",W$2="Resultado"),'M1'!AG15&gt;=1),'M1'!AG15*1000000+(41-$A8)*1000+(41-W$1),0)</f>
        <v/>
      </c>
      <c r="X8" s="58">
        <f>IF(AND(matrizOK,$B8="Motriz",OR(X$2="Enlace",X$2="Resultado"),'M1'!AH15&gt;=1),'M1'!AH15*1000000+(41-$A8)*1000+(41-X$1),0)</f>
        <v/>
      </c>
      <c r="Y8" s="58">
        <f>IF(AND(matrizOK,$B8="Motriz",OR(Y$2="Enlace",Y$2="Resultado"),'M1'!AI15&gt;=1),'M1'!AI15*1000000+(41-$A8)*1000+(41-Y$1),0)</f>
        <v/>
      </c>
      <c r="Z8" s="58">
        <f>IF(AND(matrizOK,$B8="Motriz",OR(Z$2="Enlace",Z$2="Resultado"),'M1'!AJ15&gt;=1),'M1'!AJ15*1000000+(41-$A8)*1000+(41-Z$1),0)</f>
        <v/>
      </c>
      <c r="AA8" s="58">
        <f>IF(AND(matrizOK,$B8="Motriz",OR(AA$2="Enlace",AA$2="Resultado"),'M1'!AK15&gt;=1),'M1'!AK15*1000000+(41-$A8)*1000+(41-AA$1),0)</f>
        <v/>
      </c>
      <c r="AB8" s="58">
        <f>IF(AND(matrizOK,$B8="Motriz",OR(AB$2="Enlace",AB$2="Resultado"),'M1'!AL15&gt;=1),'M1'!AL15*1000000+(41-$A8)*1000+(41-AB$1),0)</f>
        <v/>
      </c>
      <c r="AC8" s="58">
        <f>IF(AND(matrizOK,$B8="Motriz",OR(AC$2="Enlace",AC$2="Resultado"),'M1'!AM15&gt;=1),'M1'!AM15*1000000+(41-$A8)*1000+(41-AC$1),0)</f>
        <v/>
      </c>
      <c r="AD8" s="58">
        <f>IF(AND(matrizOK,$B8="Motriz",OR(AD$2="Enlace",AD$2="Resultado"),'M1'!AN15&gt;=1),'M1'!AN15*1000000+(41-$A8)*1000+(41-AD$1),0)</f>
        <v/>
      </c>
      <c r="AE8" s="58">
        <f>IF(AND(matrizOK,$B8="Motriz",OR(AE$2="Enlace",AE$2="Resultado"),'M1'!AO15&gt;=1),'M1'!AO15*1000000+(41-$A8)*1000+(41-AE$1),0)</f>
        <v/>
      </c>
      <c r="AF8" s="58">
        <f>IF(AND(matrizOK,$B8="Motriz",OR(AF$2="Enlace",AF$2="Resultado"),'M1'!AP15&gt;=1),'M1'!AP15*1000000+(41-$A8)*1000+(41-AF$1),0)</f>
        <v/>
      </c>
      <c r="AG8" s="58">
        <f>IF(AND(matrizOK,$B8="Motriz",OR(AG$2="Enlace",AG$2="Resultado"),'M1'!AQ15&gt;=1),'M1'!AQ15*1000000+(41-$A8)*1000+(41-AG$1),0)</f>
        <v/>
      </c>
      <c r="AH8" s="58">
        <f>IF(AND(matrizOK,$B8="Motriz",OR(AH$2="Enlace",AH$2="Resultado"),'M1'!AR15&gt;=1),'M1'!AR15*1000000+(41-$A8)*1000+(41-AH$1),0)</f>
        <v/>
      </c>
      <c r="AI8" s="58">
        <f>IF(AND(matrizOK,$B8="Motriz",OR(AI$2="Enlace",AI$2="Resultado"),'M1'!AS15&gt;=1),'M1'!AS15*1000000+(41-$A8)*1000+(41-AI$1),0)</f>
        <v/>
      </c>
      <c r="AJ8" s="58">
        <f>IF(AND(matrizOK,$B8="Motriz",OR(AJ$2="Enlace",AJ$2="Resultado"),'M1'!AT15&gt;=1),'M1'!AT15*1000000+(41-$A8)*1000+(41-AJ$1),0)</f>
        <v/>
      </c>
      <c r="AK8" s="58">
        <f>IF(AND(matrizOK,$B8="Motriz",OR(AK$2="Enlace",AK$2="Resultado"),'M1'!AU15&gt;=1),'M1'!AU15*1000000+(41-$A8)*1000+(41-AK$1),0)</f>
        <v/>
      </c>
      <c r="AL8" s="58">
        <f>IF(AND(matrizOK,$B8="Motriz",OR(AL$2="Enlace",AL$2="Resultado"),'M1'!AV15&gt;=1),'M1'!AV15*1000000+(41-$A8)*1000+(41-AL$1),0)</f>
        <v/>
      </c>
      <c r="AM8" s="58">
        <f>IF(AND(matrizOK,$B8="Motriz",OR(AM$2="Enlace",AM$2="Resultado"),'M1'!AW15&gt;=1),'M1'!AW15*1000000+(41-$A8)*1000+(41-AM$1),0)</f>
        <v/>
      </c>
      <c r="AN8" s="58">
        <f>IF(AND(matrizOK,$B8="Motriz",OR(AN$2="Enlace",AN$2="Resultado"),'M1'!AX15&gt;=1),'M1'!AX15*1000000+(41-$A8)*1000+(41-AN$1),0)</f>
        <v/>
      </c>
      <c r="AO8" s="58">
        <f>IF(AND(matrizOK,$B8="Motriz",OR(AO$2="Enlace",AO$2="Resultado"),'M1'!AY15&gt;=1),'M1'!AY15*1000000+(41-$A8)*1000+(41-AO$1),0)</f>
        <v/>
      </c>
      <c r="AP8" s="58">
        <f>IF(AND(matrizOK,$B8="Motriz",OR(AP$2="Enlace",AP$2="Resultado"),'M1'!AZ15&gt;=1),'M1'!AZ15*1000000+(41-$A8)*1000+(41-AP$1),0)</f>
        <v/>
      </c>
    </row>
    <row r="9">
      <c r="A9" s="58" t="n">
        <v>7</v>
      </c>
      <c r="B9" s="58">
        <f>IF($A9&lt;=nVariables,INDEX('M6'!$I$10:$I$49,$A9),"")</f>
        <v/>
      </c>
      <c r="C9" s="58">
        <f>IF(AND(matrizOK,$B9="Motriz",OR(C$2="Enlace",C$2="Resultado"),'M1'!M16&gt;=1),'M1'!M16*1000000+(41-$A9)*1000+(41-C$1),0)</f>
        <v/>
      </c>
      <c r="D9" s="58">
        <f>IF(AND(matrizOK,$B9="Motriz",OR(D$2="Enlace",D$2="Resultado"),'M1'!N16&gt;=1),'M1'!N16*1000000+(41-$A9)*1000+(41-D$1),0)</f>
        <v/>
      </c>
      <c r="E9" s="58">
        <f>IF(AND(matrizOK,$B9="Motriz",OR(E$2="Enlace",E$2="Resultado"),'M1'!O16&gt;=1),'M1'!O16*1000000+(41-$A9)*1000+(41-E$1),0)</f>
        <v/>
      </c>
      <c r="F9" s="58">
        <f>IF(AND(matrizOK,$B9="Motriz",OR(F$2="Enlace",F$2="Resultado"),'M1'!P16&gt;=1),'M1'!P16*1000000+(41-$A9)*1000+(41-F$1),0)</f>
        <v/>
      </c>
      <c r="G9" s="58">
        <f>IF(AND(matrizOK,$B9="Motriz",OR(G$2="Enlace",G$2="Resultado"),'M1'!Q16&gt;=1),'M1'!Q16*1000000+(41-$A9)*1000+(41-G$1),0)</f>
        <v/>
      </c>
      <c r="H9" s="58">
        <f>IF(AND(matrizOK,$B9="Motriz",OR(H$2="Enlace",H$2="Resultado"),'M1'!R16&gt;=1),'M1'!R16*1000000+(41-$A9)*1000+(41-H$1),0)</f>
        <v/>
      </c>
      <c r="I9" s="58">
        <f>IF(AND(matrizOK,$B9="Motriz",OR(I$2="Enlace",I$2="Resultado"),'M1'!S16&gt;=1),'M1'!S16*1000000+(41-$A9)*1000+(41-I$1),0)</f>
        <v/>
      </c>
      <c r="J9" s="58">
        <f>IF(AND(matrizOK,$B9="Motriz",OR(J$2="Enlace",J$2="Resultado"),'M1'!T16&gt;=1),'M1'!T16*1000000+(41-$A9)*1000+(41-J$1),0)</f>
        <v/>
      </c>
      <c r="K9" s="58">
        <f>IF(AND(matrizOK,$B9="Motriz",OR(K$2="Enlace",K$2="Resultado"),'M1'!U16&gt;=1),'M1'!U16*1000000+(41-$A9)*1000+(41-K$1),0)</f>
        <v/>
      </c>
      <c r="L9" s="58">
        <f>IF(AND(matrizOK,$B9="Motriz",OR(L$2="Enlace",L$2="Resultado"),'M1'!V16&gt;=1),'M1'!V16*1000000+(41-$A9)*1000+(41-L$1),0)</f>
        <v/>
      </c>
      <c r="M9" s="58">
        <f>IF(AND(matrizOK,$B9="Motriz",OR(M$2="Enlace",M$2="Resultado"),'M1'!W16&gt;=1),'M1'!W16*1000000+(41-$A9)*1000+(41-M$1),0)</f>
        <v/>
      </c>
      <c r="N9" s="58">
        <f>IF(AND(matrizOK,$B9="Motriz",OR(N$2="Enlace",N$2="Resultado"),'M1'!X16&gt;=1),'M1'!X16*1000000+(41-$A9)*1000+(41-N$1),0)</f>
        <v/>
      </c>
      <c r="O9" s="58">
        <f>IF(AND(matrizOK,$B9="Motriz",OR(O$2="Enlace",O$2="Resultado"),'M1'!Y16&gt;=1),'M1'!Y16*1000000+(41-$A9)*1000+(41-O$1),0)</f>
        <v/>
      </c>
      <c r="P9" s="58">
        <f>IF(AND(matrizOK,$B9="Motriz",OR(P$2="Enlace",P$2="Resultado"),'M1'!Z16&gt;=1),'M1'!Z16*1000000+(41-$A9)*1000+(41-P$1),0)</f>
        <v/>
      </c>
      <c r="Q9" s="58">
        <f>IF(AND(matrizOK,$B9="Motriz",OR(Q$2="Enlace",Q$2="Resultado"),'M1'!AA16&gt;=1),'M1'!AA16*1000000+(41-$A9)*1000+(41-Q$1),0)</f>
        <v/>
      </c>
      <c r="R9" s="58">
        <f>IF(AND(matrizOK,$B9="Motriz",OR(R$2="Enlace",R$2="Resultado"),'M1'!AB16&gt;=1),'M1'!AB16*1000000+(41-$A9)*1000+(41-R$1),0)</f>
        <v/>
      </c>
      <c r="S9" s="58">
        <f>IF(AND(matrizOK,$B9="Motriz",OR(S$2="Enlace",S$2="Resultado"),'M1'!AC16&gt;=1),'M1'!AC16*1000000+(41-$A9)*1000+(41-S$1),0)</f>
        <v/>
      </c>
      <c r="T9" s="58">
        <f>IF(AND(matrizOK,$B9="Motriz",OR(T$2="Enlace",T$2="Resultado"),'M1'!AD16&gt;=1),'M1'!AD16*1000000+(41-$A9)*1000+(41-T$1),0)</f>
        <v/>
      </c>
      <c r="U9" s="58">
        <f>IF(AND(matrizOK,$B9="Motriz",OR(U$2="Enlace",U$2="Resultado"),'M1'!AE16&gt;=1),'M1'!AE16*1000000+(41-$A9)*1000+(41-U$1),0)</f>
        <v/>
      </c>
      <c r="V9" s="58">
        <f>IF(AND(matrizOK,$B9="Motriz",OR(V$2="Enlace",V$2="Resultado"),'M1'!AF16&gt;=1),'M1'!AF16*1000000+(41-$A9)*1000+(41-V$1),0)</f>
        <v/>
      </c>
      <c r="W9" s="58">
        <f>IF(AND(matrizOK,$B9="Motriz",OR(W$2="Enlace",W$2="Resultado"),'M1'!AG16&gt;=1),'M1'!AG16*1000000+(41-$A9)*1000+(41-W$1),0)</f>
        <v/>
      </c>
      <c r="X9" s="58">
        <f>IF(AND(matrizOK,$B9="Motriz",OR(X$2="Enlace",X$2="Resultado"),'M1'!AH16&gt;=1),'M1'!AH16*1000000+(41-$A9)*1000+(41-X$1),0)</f>
        <v/>
      </c>
      <c r="Y9" s="58">
        <f>IF(AND(matrizOK,$B9="Motriz",OR(Y$2="Enlace",Y$2="Resultado"),'M1'!AI16&gt;=1),'M1'!AI16*1000000+(41-$A9)*1000+(41-Y$1),0)</f>
        <v/>
      </c>
      <c r="Z9" s="58">
        <f>IF(AND(matrizOK,$B9="Motriz",OR(Z$2="Enlace",Z$2="Resultado"),'M1'!AJ16&gt;=1),'M1'!AJ16*1000000+(41-$A9)*1000+(41-Z$1),0)</f>
        <v/>
      </c>
      <c r="AA9" s="58">
        <f>IF(AND(matrizOK,$B9="Motriz",OR(AA$2="Enlace",AA$2="Resultado"),'M1'!AK16&gt;=1),'M1'!AK16*1000000+(41-$A9)*1000+(41-AA$1),0)</f>
        <v/>
      </c>
      <c r="AB9" s="58">
        <f>IF(AND(matrizOK,$B9="Motriz",OR(AB$2="Enlace",AB$2="Resultado"),'M1'!AL16&gt;=1),'M1'!AL16*1000000+(41-$A9)*1000+(41-AB$1),0)</f>
        <v/>
      </c>
      <c r="AC9" s="58">
        <f>IF(AND(matrizOK,$B9="Motriz",OR(AC$2="Enlace",AC$2="Resultado"),'M1'!AM16&gt;=1),'M1'!AM16*1000000+(41-$A9)*1000+(41-AC$1),0)</f>
        <v/>
      </c>
      <c r="AD9" s="58">
        <f>IF(AND(matrizOK,$B9="Motriz",OR(AD$2="Enlace",AD$2="Resultado"),'M1'!AN16&gt;=1),'M1'!AN16*1000000+(41-$A9)*1000+(41-AD$1),0)</f>
        <v/>
      </c>
      <c r="AE9" s="58">
        <f>IF(AND(matrizOK,$B9="Motriz",OR(AE$2="Enlace",AE$2="Resultado"),'M1'!AO16&gt;=1),'M1'!AO16*1000000+(41-$A9)*1000+(41-AE$1),0)</f>
        <v/>
      </c>
      <c r="AF9" s="58">
        <f>IF(AND(matrizOK,$B9="Motriz",OR(AF$2="Enlace",AF$2="Resultado"),'M1'!AP16&gt;=1),'M1'!AP16*1000000+(41-$A9)*1000+(41-AF$1),0)</f>
        <v/>
      </c>
      <c r="AG9" s="58">
        <f>IF(AND(matrizOK,$B9="Motriz",OR(AG$2="Enlace",AG$2="Resultado"),'M1'!AQ16&gt;=1),'M1'!AQ16*1000000+(41-$A9)*1000+(41-AG$1),0)</f>
        <v/>
      </c>
      <c r="AH9" s="58">
        <f>IF(AND(matrizOK,$B9="Motriz",OR(AH$2="Enlace",AH$2="Resultado"),'M1'!AR16&gt;=1),'M1'!AR16*1000000+(41-$A9)*1000+(41-AH$1),0)</f>
        <v/>
      </c>
      <c r="AI9" s="58">
        <f>IF(AND(matrizOK,$B9="Motriz",OR(AI$2="Enlace",AI$2="Resultado"),'M1'!AS16&gt;=1),'M1'!AS16*1000000+(41-$A9)*1000+(41-AI$1),0)</f>
        <v/>
      </c>
      <c r="AJ9" s="58">
        <f>IF(AND(matrizOK,$B9="Motriz",OR(AJ$2="Enlace",AJ$2="Resultado"),'M1'!AT16&gt;=1),'M1'!AT16*1000000+(41-$A9)*1000+(41-AJ$1),0)</f>
        <v/>
      </c>
      <c r="AK9" s="58">
        <f>IF(AND(matrizOK,$B9="Motriz",OR(AK$2="Enlace",AK$2="Resultado"),'M1'!AU16&gt;=1),'M1'!AU16*1000000+(41-$A9)*1000+(41-AK$1),0)</f>
        <v/>
      </c>
      <c r="AL9" s="58">
        <f>IF(AND(matrizOK,$B9="Motriz",OR(AL$2="Enlace",AL$2="Resultado"),'M1'!AV16&gt;=1),'M1'!AV16*1000000+(41-$A9)*1000+(41-AL$1),0)</f>
        <v/>
      </c>
      <c r="AM9" s="58">
        <f>IF(AND(matrizOK,$B9="Motriz",OR(AM$2="Enlace",AM$2="Resultado"),'M1'!AW16&gt;=1),'M1'!AW16*1000000+(41-$A9)*1000+(41-AM$1),0)</f>
        <v/>
      </c>
      <c r="AN9" s="58">
        <f>IF(AND(matrizOK,$B9="Motriz",OR(AN$2="Enlace",AN$2="Resultado"),'M1'!AX16&gt;=1),'M1'!AX16*1000000+(41-$A9)*1000+(41-AN$1),0)</f>
        <v/>
      </c>
      <c r="AO9" s="58">
        <f>IF(AND(matrizOK,$B9="Motriz",OR(AO$2="Enlace",AO$2="Resultado"),'M1'!AY16&gt;=1),'M1'!AY16*1000000+(41-$A9)*1000+(41-AO$1),0)</f>
        <v/>
      </c>
      <c r="AP9" s="58">
        <f>IF(AND(matrizOK,$B9="Motriz",OR(AP$2="Enlace",AP$2="Resultado"),'M1'!AZ16&gt;=1),'M1'!AZ16*1000000+(41-$A9)*1000+(41-AP$1),0)</f>
        <v/>
      </c>
    </row>
    <row r="10">
      <c r="A10" s="58" t="n">
        <v>8</v>
      </c>
      <c r="B10" s="58">
        <f>IF($A10&lt;=nVariables,INDEX('M6'!$I$10:$I$49,$A10),"")</f>
        <v/>
      </c>
      <c r="C10" s="58">
        <f>IF(AND(matrizOK,$B10="Motriz",OR(C$2="Enlace",C$2="Resultado"),'M1'!M17&gt;=1),'M1'!M17*1000000+(41-$A10)*1000+(41-C$1),0)</f>
        <v/>
      </c>
      <c r="D10" s="58">
        <f>IF(AND(matrizOK,$B10="Motriz",OR(D$2="Enlace",D$2="Resultado"),'M1'!N17&gt;=1),'M1'!N17*1000000+(41-$A10)*1000+(41-D$1),0)</f>
        <v/>
      </c>
      <c r="E10" s="58">
        <f>IF(AND(matrizOK,$B10="Motriz",OR(E$2="Enlace",E$2="Resultado"),'M1'!O17&gt;=1),'M1'!O17*1000000+(41-$A10)*1000+(41-E$1),0)</f>
        <v/>
      </c>
      <c r="F10" s="58">
        <f>IF(AND(matrizOK,$B10="Motriz",OR(F$2="Enlace",F$2="Resultado"),'M1'!P17&gt;=1),'M1'!P17*1000000+(41-$A10)*1000+(41-F$1),0)</f>
        <v/>
      </c>
      <c r="G10" s="58">
        <f>IF(AND(matrizOK,$B10="Motriz",OR(G$2="Enlace",G$2="Resultado"),'M1'!Q17&gt;=1),'M1'!Q17*1000000+(41-$A10)*1000+(41-G$1),0)</f>
        <v/>
      </c>
      <c r="H10" s="58">
        <f>IF(AND(matrizOK,$B10="Motriz",OR(H$2="Enlace",H$2="Resultado"),'M1'!R17&gt;=1),'M1'!R17*1000000+(41-$A10)*1000+(41-H$1),0)</f>
        <v/>
      </c>
      <c r="I10" s="58">
        <f>IF(AND(matrizOK,$B10="Motriz",OR(I$2="Enlace",I$2="Resultado"),'M1'!S17&gt;=1),'M1'!S17*1000000+(41-$A10)*1000+(41-I$1),0)</f>
        <v/>
      </c>
      <c r="J10" s="58">
        <f>IF(AND(matrizOK,$B10="Motriz",OR(J$2="Enlace",J$2="Resultado"),'M1'!T17&gt;=1),'M1'!T17*1000000+(41-$A10)*1000+(41-J$1),0)</f>
        <v/>
      </c>
      <c r="K10" s="58">
        <f>IF(AND(matrizOK,$B10="Motriz",OR(K$2="Enlace",K$2="Resultado"),'M1'!U17&gt;=1),'M1'!U17*1000000+(41-$A10)*1000+(41-K$1),0)</f>
        <v/>
      </c>
      <c r="L10" s="58">
        <f>IF(AND(matrizOK,$B10="Motriz",OR(L$2="Enlace",L$2="Resultado"),'M1'!V17&gt;=1),'M1'!V17*1000000+(41-$A10)*1000+(41-L$1),0)</f>
        <v/>
      </c>
      <c r="M10" s="58">
        <f>IF(AND(matrizOK,$B10="Motriz",OR(M$2="Enlace",M$2="Resultado"),'M1'!W17&gt;=1),'M1'!W17*1000000+(41-$A10)*1000+(41-M$1),0)</f>
        <v/>
      </c>
      <c r="N10" s="58">
        <f>IF(AND(matrizOK,$B10="Motriz",OR(N$2="Enlace",N$2="Resultado"),'M1'!X17&gt;=1),'M1'!X17*1000000+(41-$A10)*1000+(41-N$1),0)</f>
        <v/>
      </c>
      <c r="O10" s="58">
        <f>IF(AND(matrizOK,$B10="Motriz",OR(O$2="Enlace",O$2="Resultado"),'M1'!Y17&gt;=1),'M1'!Y17*1000000+(41-$A10)*1000+(41-O$1),0)</f>
        <v/>
      </c>
      <c r="P10" s="58">
        <f>IF(AND(matrizOK,$B10="Motriz",OR(P$2="Enlace",P$2="Resultado"),'M1'!Z17&gt;=1),'M1'!Z17*1000000+(41-$A10)*1000+(41-P$1),0)</f>
        <v/>
      </c>
      <c r="Q10" s="58">
        <f>IF(AND(matrizOK,$B10="Motriz",OR(Q$2="Enlace",Q$2="Resultado"),'M1'!AA17&gt;=1),'M1'!AA17*1000000+(41-$A10)*1000+(41-Q$1),0)</f>
        <v/>
      </c>
      <c r="R10" s="58">
        <f>IF(AND(matrizOK,$B10="Motriz",OR(R$2="Enlace",R$2="Resultado"),'M1'!AB17&gt;=1),'M1'!AB17*1000000+(41-$A10)*1000+(41-R$1),0)</f>
        <v/>
      </c>
      <c r="S10" s="58">
        <f>IF(AND(matrizOK,$B10="Motriz",OR(S$2="Enlace",S$2="Resultado"),'M1'!AC17&gt;=1),'M1'!AC17*1000000+(41-$A10)*1000+(41-S$1),0)</f>
        <v/>
      </c>
      <c r="T10" s="58">
        <f>IF(AND(matrizOK,$B10="Motriz",OR(T$2="Enlace",T$2="Resultado"),'M1'!AD17&gt;=1),'M1'!AD17*1000000+(41-$A10)*1000+(41-T$1),0)</f>
        <v/>
      </c>
      <c r="U10" s="58">
        <f>IF(AND(matrizOK,$B10="Motriz",OR(U$2="Enlace",U$2="Resultado"),'M1'!AE17&gt;=1),'M1'!AE17*1000000+(41-$A10)*1000+(41-U$1),0)</f>
        <v/>
      </c>
      <c r="V10" s="58">
        <f>IF(AND(matrizOK,$B10="Motriz",OR(V$2="Enlace",V$2="Resultado"),'M1'!AF17&gt;=1),'M1'!AF17*1000000+(41-$A10)*1000+(41-V$1),0)</f>
        <v/>
      </c>
      <c r="W10" s="58">
        <f>IF(AND(matrizOK,$B10="Motriz",OR(W$2="Enlace",W$2="Resultado"),'M1'!AG17&gt;=1),'M1'!AG17*1000000+(41-$A10)*1000+(41-W$1),0)</f>
        <v/>
      </c>
      <c r="X10" s="58">
        <f>IF(AND(matrizOK,$B10="Motriz",OR(X$2="Enlace",X$2="Resultado"),'M1'!AH17&gt;=1),'M1'!AH17*1000000+(41-$A10)*1000+(41-X$1),0)</f>
        <v/>
      </c>
      <c r="Y10" s="58">
        <f>IF(AND(matrizOK,$B10="Motriz",OR(Y$2="Enlace",Y$2="Resultado"),'M1'!AI17&gt;=1),'M1'!AI17*1000000+(41-$A10)*1000+(41-Y$1),0)</f>
        <v/>
      </c>
      <c r="Z10" s="58">
        <f>IF(AND(matrizOK,$B10="Motriz",OR(Z$2="Enlace",Z$2="Resultado"),'M1'!AJ17&gt;=1),'M1'!AJ17*1000000+(41-$A10)*1000+(41-Z$1),0)</f>
        <v/>
      </c>
      <c r="AA10" s="58">
        <f>IF(AND(matrizOK,$B10="Motriz",OR(AA$2="Enlace",AA$2="Resultado"),'M1'!AK17&gt;=1),'M1'!AK17*1000000+(41-$A10)*1000+(41-AA$1),0)</f>
        <v/>
      </c>
      <c r="AB10" s="58">
        <f>IF(AND(matrizOK,$B10="Motriz",OR(AB$2="Enlace",AB$2="Resultado"),'M1'!AL17&gt;=1),'M1'!AL17*1000000+(41-$A10)*1000+(41-AB$1),0)</f>
        <v/>
      </c>
      <c r="AC10" s="58">
        <f>IF(AND(matrizOK,$B10="Motriz",OR(AC$2="Enlace",AC$2="Resultado"),'M1'!AM17&gt;=1),'M1'!AM17*1000000+(41-$A10)*1000+(41-AC$1),0)</f>
        <v/>
      </c>
      <c r="AD10" s="58">
        <f>IF(AND(matrizOK,$B10="Motriz",OR(AD$2="Enlace",AD$2="Resultado"),'M1'!AN17&gt;=1),'M1'!AN17*1000000+(41-$A10)*1000+(41-AD$1),0)</f>
        <v/>
      </c>
      <c r="AE10" s="58">
        <f>IF(AND(matrizOK,$B10="Motriz",OR(AE$2="Enlace",AE$2="Resultado"),'M1'!AO17&gt;=1),'M1'!AO17*1000000+(41-$A10)*1000+(41-AE$1),0)</f>
        <v/>
      </c>
      <c r="AF10" s="58">
        <f>IF(AND(matrizOK,$B10="Motriz",OR(AF$2="Enlace",AF$2="Resultado"),'M1'!AP17&gt;=1),'M1'!AP17*1000000+(41-$A10)*1000+(41-AF$1),0)</f>
        <v/>
      </c>
      <c r="AG10" s="58">
        <f>IF(AND(matrizOK,$B10="Motriz",OR(AG$2="Enlace",AG$2="Resultado"),'M1'!AQ17&gt;=1),'M1'!AQ17*1000000+(41-$A10)*1000+(41-AG$1),0)</f>
        <v/>
      </c>
      <c r="AH10" s="58">
        <f>IF(AND(matrizOK,$B10="Motriz",OR(AH$2="Enlace",AH$2="Resultado"),'M1'!AR17&gt;=1),'M1'!AR17*1000000+(41-$A10)*1000+(41-AH$1),0)</f>
        <v/>
      </c>
      <c r="AI10" s="58">
        <f>IF(AND(matrizOK,$B10="Motriz",OR(AI$2="Enlace",AI$2="Resultado"),'M1'!AS17&gt;=1),'M1'!AS17*1000000+(41-$A10)*1000+(41-AI$1),0)</f>
        <v/>
      </c>
      <c r="AJ10" s="58">
        <f>IF(AND(matrizOK,$B10="Motriz",OR(AJ$2="Enlace",AJ$2="Resultado"),'M1'!AT17&gt;=1),'M1'!AT17*1000000+(41-$A10)*1000+(41-AJ$1),0)</f>
        <v/>
      </c>
      <c r="AK10" s="58">
        <f>IF(AND(matrizOK,$B10="Motriz",OR(AK$2="Enlace",AK$2="Resultado"),'M1'!AU17&gt;=1),'M1'!AU17*1000000+(41-$A10)*1000+(41-AK$1),0)</f>
        <v/>
      </c>
      <c r="AL10" s="58">
        <f>IF(AND(matrizOK,$B10="Motriz",OR(AL$2="Enlace",AL$2="Resultado"),'M1'!AV17&gt;=1),'M1'!AV17*1000000+(41-$A10)*1000+(41-AL$1),0)</f>
        <v/>
      </c>
      <c r="AM10" s="58">
        <f>IF(AND(matrizOK,$B10="Motriz",OR(AM$2="Enlace",AM$2="Resultado"),'M1'!AW17&gt;=1),'M1'!AW17*1000000+(41-$A10)*1000+(41-AM$1),0)</f>
        <v/>
      </c>
      <c r="AN10" s="58">
        <f>IF(AND(matrizOK,$B10="Motriz",OR(AN$2="Enlace",AN$2="Resultado"),'M1'!AX17&gt;=1),'M1'!AX17*1000000+(41-$A10)*1000+(41-AN$1),0)</f>
        <v/>
      </c>
      <c r="AO10" s="58">
        <f>IF(AND(matrizOK,$B10="Motriz",OR(AO$2="Enlace",AO$2="Resultado"),'M1'!AY17&gt;=1),'M1'!AY17*1000000+(41-$A10)*1000+(41-AO$1),0)</f>
        <v/>
      </c>
      <c r="AP10" s="58">
        <f>IF(AND(matrizOK,$B10="Motriz",OR(AP$2="Enlace",AP$2="Resultado"),'M1'!AZ17&gt;=1),'M1'!AZ17*1000000+(41-$A10)*1000+(41-AP$1),0)</f>
        <v/>
      </c>
    </row>
    <row r="11">
      <c r="A11" s="58" t="n">
        <v>9</v>
      </c>
      <c r="B11" s="58">
        <f>IF($A11&lt;=nVariables,INDEX('M6'!$I$10:$I$49,$A11),"")</f>
        <v/>
      </c>
      <c r="C11" s="58">
        <f>IF(AND(matrizOK,$B11="Motriz",OR(C$2="Enlace",C$2="Resultado"),'M1'!M18&gt;=1),'M1'!M18*1000000+(41-$A11)*1000+(41-C$1),0)</f>
        <v/>
      </c>
      <c r="D11" s="58">
        <f>IF(AND(matrizOK,$B11="Motriz",OR(D$2="Enlace",D$2="Resultado"),'M1'!N18&gt;=1),'M1'!N18*1000000+(41-$A11)*1000+(41-D$1),0)</f>
        <v/>
      </c>
      <c r="E11" s="58">
        <f>IF(AND(matrizOK,$B11="Motriz",OR(E$2="Enlace",E$2="Resultado"),'M1'!O18&gt;=1),'M1'!O18*1000000+(41-$A11)*1000+(41-E$1),0)</f>
        <v/>
      </c>
      <c r="F11" s="58">
        <f>IF(AND(matrizOK,$B11="Motriz",OR(F$2="Enlace",F$2="Resultado"),'M1'!P18&gt;=1),'M1'!P18*1000000+(41-$A11)*1000+(41-F$1),0)</f>
        <v/>
      </c>
      <c r="G11" s="58">
        <f>IF(AND(matrizOK,$B11="Motriz",OR(G$2="Enlace",G$2="Resultado"),'M1'!Q18&gt;=1),'M1'!Q18*1000000+(41-$A11)*1000+(41-G$1),0)</f>
        <v/>
      </c>
      <c r="H11" s="58">
        <f>IF(AND(matrizOK,$B11="Motriz",OR(H$2="Enlace",H$2="Resultado"),'M1'!R18&gt;=1),'M1'!R18*1000000+(41-$A11)*1000+(41-H$1),0)</f>
        <v/>
      </c>
      <c r="I11" s="58">
        <f>IF(AND(matrizOK,$B11="Motriz",OR(I$2="Enlace",I$2="Resultado"),'M1'!S18&gt;=1),'M1'!S18*1000000+(41-$A11)*1000+(41-I$1),0)</f>
        <v/>
      </c>
      <c r="J11" s="58">
        <f>IF(AND(matrizOK,$B11="Motriz",OR(J$2="Enlace",J$2="Resultado"),'M1'!T18&gt;=1),'M1'!T18*1000000+(41-$A11)*1000+(41-J$1),0)</f>
        <v/>
      </c>
      <c r="K11" s="58">
        <f>IF(AND(matrizOK,$B11="Motriz",OR(K$2="Enlace",K$2="Resultado"),'M1'!U18&gt;=1),'M1'!U18*1000000+(41-$A11)*1000+(41-K$1),0)</f>
        <v/>
      </c>
      <c r="L11" s="58">
        <f>IF(AND(matrizOK,$B11="Motriz",OR(L$2="Enlace",L$2="Resultado"),'M1'!V18&gt;=1),'M1'!V18*1000000+(41-$A11)*1000+(41-L$1),0)</f>
        <v/>
      </c>
      <c r="M11" s="58">
        <f>IF(AND(matrizOK,$B11="Motriz",OR(M$2="Enlace",M$2="Resultado"),'M1'!W18&gt;=1),'M1'!W18*1000000+(41-$A11)*1000+(41-M$1),0)</f>
        <v/>
      </c>
      <c r="N11" s="58">
        <f>IF(AND(matrizOK,$B11="Motriz",OR(N$2="Enlace",N$2="Resultado"),'M1'!X18&gt;=1),'M1'!X18*1000000+(41-$A11)*1000+(41-N$1),0)</f>
        <v/>
      </c>
      <c r="O11" s="58">
        <f>IF(AND(matrizOK,$B11="Motriz",OR(O$2="Enlace",O$2="Resultado"),'M1'!Y18&gt;=1),'M1'!Y18*1000000+(41-$A11)*1000+(41-O$1),0)</f>
        <v/>
      </c>
      <c r="P11" s="58">
        <f>IF(AND(matrizOK,$B11="Motriz",OR(P$2="Enlace",P$2="Resultado"),'M1'!Z18&gt;=1),'M1'!Z18*1000000+(41-$A11)*1000+(41-P$1),0)</f>
        <v/>
      </c>
      <c r="Q11" s="58">
        <f>IF(AND(matrizOK,$B11="Motriz",OR(Q$2="Enlace",Q$2="Resultado"),'M1'!AA18&gt;=1),'M1'!AA18*1000000+(41-$A11)*1000+(41-Q$1),0)</f>
        <v/>
      </c>
      <c r="R11" s="58">
        <f>IF(AND(matrizOK,$B11="Motriz",OR(R$2="Enlace",R$2="Resultado"),'M1'!AB18&gt;=1),'M1'!AB18*1000000+(41-$A11)*1000+(41-R$1),0)</f>
        <v/>
      </c>
      <c r="S11" s="58">
        <f>IF(AND(matrizOK,$B11="Motriz",OR(S$2="Enlace",S$2="Resultado"),'M1'!AC18&gt;=1),'M1'!AC18*1000000+(41-$A11)*1000+(41-S$1),0)</f>
        <v/>
      </c>
      <c r="T11" s="58">
        <f>IF(AND(matrizOK,$B11="Motriz",OR(T$2="Enlace",T$2="Resultado"),'M1'!AD18&gt;=1),'M1'!AD18*1000000+(41-$A11)*1000+(41-T$1),0)</f>
        <v/>
      </c>
      <c r="U11" s="58">
        <f>IF(AND(matrizOK,$B11="Motriz",OR(U$2="Enlace",U$2="Resultado"),'M1'!AE18&gt;=1),'M1'!AE18*1000000+(41-$A11)*1000+(41-U$1),0)</f>
        <v/>
      </c>
      <c r="V11" s="58">
        <f>IF(AND(matrizOK,$B11="Motriz",OR(V$2="Enlace",V$2="Resultado"),'M1'!AF18&gt;=1),'M1'!AF18*1000000+(41-$A11)*1000+(41-V$1),0)</f>
        <v/>
      </c>
      <c r="W11" s="58">
        <f>IF(AND(matrizOK,$B11="Motriz",OR(W$2="Enlace",W$2="Resultado"),'M1'!AG18&gt;=1),'M1'!AG18*1000000+(41-$A11)*1000+(41-W$1),0)</f>
        <v/>
      </c>
      <c r="X11" s="58">
        <f>IF(AND(matrizOK,$B11="Motriz",OR(X$2="Enlace",X$2="Resultado"),'M1'!AH18&gt;=1),'M1'!AH18*1000000+(41-$A11)*1000+(41-X$1),0)</f>
        <v/>
      </c>
      <c r="Y11" s="58">
        <f>IF(AND(matrizOK,$B11="Motriz",OR(Y$2="Enlace",Y$2="Resultado"),'M1'!AI18&gt;=1),'M1'!AI18*1000000+(41-$A11)*1000+(41-Y$1),0)</f>
        <v/>
      </c>
      <c r="Z11" s="58">
        <f>IF(AND(matrizOK,$B11="Motriz",OR(Z$2="Enlace",Z$2="Resultado"),'M1'!AJ18&gt;=1),'M1'!AJ18*1000000+(41-$A11)*1000+(41-Z$1),0)</f>
        <v/>
      </c>
      <c r="AA11" s="58">
        <f>IF(AND(matrizOK,$B11="Motriz",OR(AA$2="Enlace",AA$2="Resultado"),'M1'!AK18&gt;=1),'M1'!AK18*1000000+(41-$A11)*1000+(41-AA$1),0)</f>
        <v/>
      </c>
      <c r="AB11" s="58">
        <f>IF(AND(matrizOK,$B11="Motriz",OR(AB$2="Enlace",AB$2="Resultado"),'M1'!AL18&gt;=1),'M1'!AL18*1000000+(41-$A11)*1000+(41-AB$1),0)</f>
        <v/>
      </c>
      <c r="AC11" s="58">
        <f>IF(AND(matrizOK,$B11="Motriz",OR(AC$2="Enlace",AC$2="Resultado"),'M1'!AM18&gt;=1),'M1'!AM18*1000000+(41-$A11)*1000+(41-AC$1),0)</f>
        <v/>
      </c>
      <c r="AD11" s="58">
        <f>IF(AND(matrizOK,$B11="Motriz",OR(AD$2="Enlace",AD$2="Resultado"),'M1'!AN18&gt;=1),'M1'!AN18*1000000+(41-$A11)*1000+(41-AD$1),0)</f>
        <v/>
      </c>
      <c r="AE11" s="58">
        <f>IF(AND(matrizOK,$B11="Motriz",OR(AE$2="Enlace",AE$2="Resultado"),'M1'!AO18&gt;=1),'M1'!AO18*1000000+(41-$A11)*1000+(41-AE$1),0)</f>
        <v/>
      </c>
      <c r="AF11" s="58">
        <f>IF(AND(matrizOK,$B11="Motriz",OR(AF$2="Enlace",AF$2="Resultado"),'M1'!AP18&gt;=1),'M1'!AP18*1000000+(41-$A11)*1000+(41-AF$1),0)</f>
        <v/>
      </c>
      <c r="AG11" s="58">
        <f>IF(AND(matrizOK,$B11="Motriz",OR(AG$2="Enlace",AG$2="Resultado"),'M1'!AQ18&gt;=1),'M1'!AQ18*1000000+(41-$A11)*1000+(41-AG$1),0)</f>
        <v/>
      </c>
      <c r="AH11" s="58">
        <f>IF(AND(matrizOK,$B11="Motriz",OR(AH$2="Enlace",AH$2="Resultado"),'M1'!AR18&gt;=1),'M1'!AR18*1000000+(41-$A11)*1000+(41-AH$1),0)</f>
        <v/>
      </c>
      <c r="AI11" s="58">
        <f>IF(AND(matrizOK,$B11="Motriz",OR(AI$2="Enlace",AI$2="Resultado"),'M1'!AS18&gt;=1),'M1'!AS18*1000000+(41-$A11)*1000+(41-AI$1),0)</f>
        <v/>
      </c>
      <c r="AJ11" s="58">
        <f>IF(AND(matrizOK,$B11="Motriz",OR(AJ$2="Enlace",AJ$2="Resultado"),'M1'!AT18&gt;=1),'M1'!AT18*1000000+(41-$A11)*1000+(41-AJ$1),0)</f>
        <v/>
      </c>
      <c r="AK11" s="58">
        <f>IF(AND(matrizOK,$B11="Motriz",OR(AK$2="Enlace",AK$2="Resultado"),'M1'!AU18&gt;=1),'M1'!AU18*1000000+(41-$A11)*1000+(41-AK$1),0)</f>
        <v/>
      </c>
      <c r="AL11" s="58">
        <f>IF(AND(matrizOK,$B11="Motriz",OR(AL$2="Enlace",AL$2="Resultado"),'M1'!AV18&gt;=1),'M1'!AV18*1000000+(41-$A11)*1000+(41-AL$1),0)</f>
        <v/>
      </c>
      <c r="AM11" s="58">
        <f>IF(AND(matrizOK,$B11="Motriz",OR(AM$2="Enlace",AM$2="Resultado"),'M1'!AW18&gt;=1),'M1'!AW18*1000000+(41-$A11)*1000+(41-AM$1),0)</f>
        <v/>
      </c>
      <c r="AN11" s="58">
        <f>IF(AND(matrizOK,$B11="Motriz",OR(AN$2="Enlace",AN$2="Resultado"),'M1'!AX18&gt;=1),'M1'!AX18*1000000+(41-$A11)*1000+(41-AN$1),0)</f>
        <v/>
      </c>
      <c r="AO11" s="58">
        <f>IF(AND(matrizOK,$B11="Motriz",OR(AO$2="Enlace",AO$2="Resultado"),'M1'!AY18&gt;=1),'M1'!AY18*1000000+(41-$A11)*1000+(41-AO$1),0)</f>
        <v/>
      </c>
      <c r="AP11" s="58">
        <f>IF(AND(matrizOK,$B11="Motriz",OR(AP$2="Enlace",AP$2="Resultado"),'M1'!AZ18&gt;=1),'M1'!AZ18*1000000+(41-$A11)*1000+(41-AP$1),0)</f>
        <v/>
      </c>
    </row>
    <row r="12">
      <c r="A12" s="58" t="n">
        <v>10</v>
      </c>
      <c r="B12" s="58">
        <f>IF($A12&lt;=nVariables,INDEX('M6'!$I$10:$I$49,$A12),"")</f>
        <v/>
      </c>
      <c r="C12" s="58">
        <f>IF(AND(matrizOK,$B12="Motriz",OR(C$2="Enlace",C$2="Resultado"),'M1'!M19&gt;=1),'M1'!M19*1000000+(41-$A12)*1000+(41-C$1),0)</f>
        <v/>
      </c>
      <c r="D12" s="58">
        <f>IF(AND(matrizOK,$B12="Motriz",OR(D$2="Enlace",D$2="Resultado"),'M1'!N19&gt;=1),'M1'!N19*1000000+(41-$A12)*1000+(41-D$1),0)</f>
        <v/>
      </c>
      <c r="E12" s="58">
        <f>IF(AND(matrizOK,$B12="Motriz",OR(E$2="Enlace",E$2="Resultado"),'M1'!O19&gt;=1),'M1'!O19*1000000+(41-$A12)*1000+(41-E$1),0)</f>
        <v/>
      </c>
      <c r="F12" s="58">
        <f>IF(AND(matrizOK,$B12="Motriz",OR(F$2="Enlace",F$2="Resultado"),'M1'!P19&gt;=1),'M1'!P19*1000000+(41-$A12)*1000+(41-F$1),0)</f>
        <v/>
      </c>
      <c r="G12" s="58">
        <f>IF(AND(matrizOK,$B12="Motriz",OR(G$2="Enlace",G$2="Resultado"),'M1'!Q19&gt;=1),'M1'!Q19*1000000+(41-$A12)*1000+(41-G$1),0)</f>
        <v/>
      </c>
      <c r="H12" s="58">
        <f>IF(AND(matrizOK,$B12="Motriz",OR(H$2="Enlace",H$2="Resultado"),'M1'!R19&gt;=1),'M1'!R19*1000000+(41-$A12)*1000+(41-H$1),0)</f>
        <v/>
      </c>
      <c r="I12" s="58">
        <f>IF(AND(matrizOK,$B12="Motriz",OR(I$2="Enlace",I$2="Resultado"),'M1'!S19&gt;=1),'M1'!S19*1000000+(41-$A12)*1000+(41-I$1),0)</f>
        <v/>
      </c>
      <c r="J12" s="58">
        <f>IF(AND(matrizOK,$B12="Motriz",OR(J$2="Enlace",J$2="Resultado"),'M1'!T19&gt;=1),'M1'!T19*1000000+(41-$A12)*1000+(41-J$1),0)</f>
        <v/>
      </c>
      <c r="K12" s="58">
        <f>IF(AND(matrizOK,$B12="Motriz",OR(K$2="Enlace",K$2="Resultado"),'M1'!U19&gt;=1),'M1'!U19*1000000+(41-$A12)*1000+(41-K$1),0)</f>
        <v/>
      </c>
      <c r="L12" s="58">
        <f>IF(AND(matrizOK,$B12="Motriz",OR(L$2="Enlace",L$2="Resultado"),'M1'!V19&gt;=1),'M1'!V19*1000000+(41-$A12)*1000+(41-L$1),0)</f>
        <v/>
      </c>
      <c r="M12" s="58">
        <f>IF(AND(matrizOK,$B12="Motriz",OR(M$2="Enlace",M$2="Resultado"),'M1'!W19&gt;=1),'M1'!W19*1000000+(41-$A12)*1000+(41-M$1),0)</f>
        <v/>
      </c>
      <c r="N12" s="58">
        <f>IF(AND(matrizOK,$B12="Motriz",OR(N$2="Enlace",N$2="Resultado"),'M1'!X19&gt;=1),'M1'!X19*1000000+(41-$A12)*1000+(41-N$1),0)</f>
        <v/>
      </c>
      <c r="O12" s="58">
        <f>IF(AND(matrizOK,$B12="Motriz",OR(O$2="Enlace",O$2="Resultado"),'M1'!Y19&gt;=1),'M1'!Y19*1000000+(41-$A12)*1000+(41-O$1),0)</f>
        <v/>
      </c>
      <c r="P12" s="58">
        <f>IF(AND(matrizOK,$B12="Motriz",OR(P$2="Enlace",P$2="Resultado"),'M1'!Z19&gt;=1),'M1'!Z19*1000000+(41-$A12)*1000+(41-P$1),0)</f>
        <v/>
      </c>
      <c r="Q12" s="58">
        <f>IF(AND(matrizOK,$B12="Motriz",OR(Q$2="Enlace",Q$2="Resultado"),'M1'!AA19&gt;=1),'M1'!AA19*1000000+(41-$A12)*1000+(41-Q$1),0)</f>
        <v/>
      </c>
      <c r="R12" s="58">
        <f>IF(AND(matrizOK,$B12="Motriz",OR(R$2="Enlace",R$2="Resultado"),'M1'!AB19&gt;=1),'M1'!AB19*1000000+(41-$A12)*1000+(41-R$1),0)</f>
        <v/>
      </c>
      <c r="S12" s="58">
        <f>IF(AND(matrizOK,$B12="Motriz",OR(S$2="Enlace",S$2="Resultado"),'M1'!AC19&gt;=1),'M1'!AC19*1000000+(41-$A12)*1000+(41-S$1),0)</f>
        <v/>
      </c>
      <c r="T12" s="58">
        <f>IF(AND(matrizOK,$B12="Motriz",OR(T$2="Enlace",T$2="Resultado"),'M1'!AD19&gt;=1),'M1'!AD19*1000000+(41-$A12)*1000+(41-T$1),0)</f>
        <v/>
      </c>
      <c r="U12" s="58">
        <f>IF(AND(matrizOK,$B12="Motriz",OR(U$2="Enlace",U$2="Resultado"),'M1'!AE19&gt;=1),'M1'!AE19*1000000+(41-$A12)*1000+(41-U$1),0)</f>
        <v/>
      </c>
      <c r="V12" s="58">
        <f>IF(AND(matrizOK,$B12="Motriz",OR(V$2="Enlace",V$2="Resultado"),'M1'!AF19&gt;=1),'M1'!AF19*1000000+(41-$A12)*1000+(41-V$1),0)</f>
        <v/>
      </c>
      <c r="W12" s="58">
        <f>IF(AND(matrizOK,$B12="Motriz",OR(W$2="Enlace",W$2="Resultado"),'M1'!AG19&gt;=1),'M1'!AG19*1000000+(41-$A12)*1000+(41-W$1),0)</f>
        <v/>
      </c>
      <c r="X12" s="58">
        <f>IF(AND(matrizOK,$B12="Motriz",OR(X$2="Enlace",X$2="Resultado"),'M1'!AH19&gt;=1),'M1'!AH19*1000000+(41-$A12)*1000+(41-X$1),0)</f>
        <v/>
      </c>
      <c r="Y12" s="58">
        <f>IF(AND(matrizOK,$B12="Motriz",OR(Y$2="Enlace",Y$2="Resultado"),'M1'!AI19&gt;=1),'M1'!AI19*1000000+(41-$A12)*1000+(41-Y$1),0)</f>
        <v/>
      </c>
      <c r="Z12" s="58">
        <f>IF(AND(matrizOK,$B12="Motriz",OR(Z$2="Enlace",Z$2="Resultado"),'M1'!AJ19&gt;=1),'M1'!AJ19*1000000+(41-$A12)*1000+(41-Z$1),0)</f>
        <v/>
      </c>
      <c r="AA12" s="58">
        <f>IF(AND(matrizOK,$B12="Motriz",OR(AA$2="Enlace",AA$2="Resultado"),'M1'!AK19&gt;=1),'M1'!AK19*1000000+(41-$A12)*1000+(41-AA$1),0)</f>
        <v/>
      </c>
      <c r="AB12" s="58">
        <f>IF(AND(matrizOK,$B12="Motriz",OR(AB$2="Enlace",AB$2="Resultado"),'M1'!AL19&gt;=1),'M1'!AL19*1000000+(41-$A12)*1000+(41-AB$1),0)</f>
        <v/>
      </c>
      <c r="AC12" s="58">
        <f>IF(AND(matrizOK,$B12="Motriz",OR(AC$2="Enlace",AC$2="Resultado"),'M1'!AM19&gt;=1),'M1'!AM19*1000000+(41-$A12)*1000+(41-AC$1),0)</f>
        <v/>
      </c>
      <c r="AD12" s="58">
        <f>IF(AND(matrizOK,$B12="Motriz",OR(AD$2="Enlace",AD$2="Resultado"),'M1'!AN19&gt;=1),'M1'!AN19*1000000+(41-$A12)*1000+(41-AD$1),0)</f>
        <v/>
      </c>
      <c r="AE12" s="58">
        <f>IF(AND(matrizOK,$B12="Motriz",OR(AE$2="Enlace",AE$2="Resultado"),'M1'!AO19&gt;=1),'M1'!AO19*1000000+(41-$A12)*1000+(41-AE$1),0)</f>
        <v/>
      </c>
      <c r="AF12" s="58">
        <f>IF(AND(matrizOK,$B12="Motriz",OR(AF$2="Enlace",AF$2="Resultado"),'M1'!AP19&gt;=1),'M1'!AP19*1000000+(41-$A12)*1000+(41-AF$1),0)</f>
        <v/>
      </c>
      <c r="AG12" s="58">
        <f>IF(AND(matrizOK,$B12="Motriz",OR(AG$2="Enlace",AG$2="Resultado"),'M1'!AQ19&gt;=1),'M1'!AQ19*1000000+(41-$A12)*1000+(41-AG$1),0)</f>
        <v/>
      </c>
      <c r="AH12" s="58">
        <f>IF(AND(matrizOK,$B12="Motriz",OR(AH$2="Enlace",AH$2="Resultado"),'M1'!AR19&gt;=1),'M1'!AR19*1000000+(41-$A12)*1000+(41-AH$1),0)</f>
        <v/>
      </c>
      <c r="AI12" s="58">
        <f>IF(AND(matrizOK,$B12="Motriz",OR(AI$2="Enlace",AI$2="Resultado"),'M1'!AS19&gt;=1),'M1'!AS19*1000000+(41-$A12)*1000+(41-AI$1),0)</f>
        <v/>
      </c>
      <c r="AJ12" s="58">
        <f>IF(AND(matrizOK,$B12="Motriz",OR(AJ$2="Enlace",AJ$2="Resultado"),'M1'!AT19&gt;=1),'M1'!AT19*1000000+(41-$A12)*1000+(41-AJ$1),0)</f>
        <v/>
      </c>
      <c r="AK12" s="58">
        <f>IF(AND(matrizOK,$B12="Motriz",OR(AK$2="Enlace",AK$2="Resultado"),'M1'!AU19&gt;=1),'M1'!AU19*1000000+(41-$A12)*1000+(41-AK$1),0)</f>
        <v/>
      </c>
      <c r="AL12" s="58">
        <f>IF(AND(matrizOK,$B12="Motriz",OR(AL$2="Enlace",AL$2="Resultado"),'M1'!AV19&gt;=1),'M1'!AV19*1000000+(41-$A12)*1000+(41-AL$1),0)</f>
        <v/>
      </c>
      <c r="AM12" s="58">
        <f>IF(AND(matrizOK,$B12="Motriz",OR(AM$2="Enlace",AM$2="Resultado"),'M1'!AW19&gt;=1),'M1'!AW19*1000000+(41-$A12)*1000+(41-AM$1),0)</f>
        <v/>
      </c>
      <c r="AN12" s="58">
        <f>IF(AND(matrizOK,$B12="Motriz",OR(AN$2="Enlace",AN$2="Resultado"),'M1'!AX19&gt;=1),'M1'!AX19*1000000+(41-$A12)*1000+(41-AN$1),0)</f>
        <v/>
      </c>
      <c r="AO12" s="58">
        <f>IF(AND(matrizOK,$B12="Motriz",OR(AO$2="Enlace",AO$2="Resultado"),'M1'!AY19&gt;=1),'M1'!AY19*1000000+(41-$A12)*1000+(41-AO$1),0)</f>
        <v/>
      </c>
      <c r="AP12" s="58">
        <f>IF(AND(matrizOK,$B12="Motriz",OR(AP$2="Enlace",AP$2="Resultado"),'M1'!AZ19&gt;=1),'M1'!AZ19*1000000+(41-$A12)*1000+(41-AP$1),0)</f>
        <v/>
      </c>
    </row>
    <row r="13">
      <c r="A13" s="58" t="n">
        <v>11</v>
      </c>
      <c r="B13" s="58">
        <f>IF($A13&lt;=nVariables,INDEX('M6'!$I$10:$I$49,$A13),"")</f>
        <v/>
      </c>
      <c r="C13" s="58">
        <f>IF(AND(matrizOK,$B13="Motriz",OR(C$2="Enlace",C$2="Resultado"),'M1'!M20&gt;=1),'M1'!M20*1000000+(41-$A13)*1000+(41-C$1),0)</f>
        <v/>
      </c>
      <c r="D13" s="58">
        <f>IF(AND(matrizOK,$B13="Motriz",OR(D$2="Enlace",D$2="Resultado"),'M1'!N20&gt;=1),'M1'!N20*1000000+(41-$A13)*1000+(41-D$1),0)</f>
        <v/>
      </c>
      <c r="E13" s="58">
        <f>IF(AND(matrizOK,$B13="Motriz",OR(E$2="Enlace",E$2="Resultado"),'M1'!O20&gt;=1),'M1'!O20*1000000+(41-$A13)*1000+(41-E$1),0)</f>
        <v/>
      </c>
      <c r="F13" s="58">
        <f>IF(AND(matrizOK,$B13="Motriz",OR(F$2="Enlace",F$2="Resultado"),'M1'!P20&gt;=1),'M1'!P20*1000000+(41-$A13)*1000+(41-F$1),0)</f>
        <v/>
      </c>
      <c r="G13" s="58">
        <f>IF(AND(matrizOK,$B13="Motriz",OR(G$2="Enlace",G$2="Resultado"),'M1'!Q20&gt;=1),'M1'!Q20*1000000+(41-$A13)*1000+(41-G$1),0)</f>
        <v/>
      </c>
      <c r="H13" s="58">
        <f>IF(AND(matrizOK,$B13="Motriz",OR(H$2="Enlace",H$2="Resultado"),'M1'!R20&gt;=1),'M1'!R20*1000000+(41-$A13)*1000+(41-H$1),0)</f>
        <v/>
      </c>
      <c r="I13" s="58">
        <f>IF(AND(matrizOK,$B13="Motriz",OR(I$2="Enlace",I$2="Resultado"),'M1'!S20&gt;=1),'M1'!S20*1000000+(41-$A13)*1000+(41-I$1),0)</f>
        <v/>
      </c>
      <c r="J13" s="58">
        <f>IF(AND(matrizOK,$B13="Motriz",OR(J$2="Enlace",J$2="Resultado"),'M1'!T20&gt;=1),'M1'!T20*1000000+(41-$A13)*1000+(41-J$1),0)</f>
        <v/>
      </c>
      <c r="K13" s="58">
        <f>IF(AND(matrizOK,$B13="Motriz",OR(K$2="Enlace",K$2="Resultado"),'M1'!U20&gt;=1),'M1'!U20*1000000+(41-$A13)*1000+(41-K$1),0)</f>
        <v/>
      </c>
      <c r="L13" s="58">
        <f>IF(AND(matrizOK,$B13="Motriz",OR(L$2="Enlace",L$2="Resultado"),'M1'!V20&gt;=1),'M1'!V20*1000000+(41-$A13)*1000+(41-L$1),0)</f>
        <v/>
      </c>
      <c r="M13" s="58">
        <f>IF(AND(matrizOK,$B13="Motriz",OR(M$2="Enlace",M$2="Resultado"),'M1'!W20&gt;=1),'M1'!W20*1000000+(41-$A13)*1000+(41-M$1),0)</f>
        <v/>
      </c>
      <c r="N13" s="58">
        <f>IF(AND(matrizOK,$B13="Motriz",OR(N$2="Enlace",N$2="Resultado"),'M1'!X20&gt;=1),'M1'!X20*1000000+(41-$A13)*1000+(41-N$1),0)</f>
        <v/>
      </c>
      <c r="O13" s="58">
        <f>IF(AND(matrizOK,$B13="Motriz",OR(O$2="Enlace",O$2="Resultado"),'M1'!Y20&gt;=1),'M1'!Y20*1000000+(41-$A13)*1000+(41-O$1),0)</f>
        <v/>
      </c>
      <c r="P13" s="58">
        <f>IF(AND(matrizOK,$B13="Motriz",OR(P$2="Enlace",P$2="Resultado"),'M1'!Z20&gt;=1),'M1'!Z20*1000000+(41-$A13)*1000+(41-P$1),0)</f>
        <v/>
      </c>
      <c r="Q13" s="58">
        <f>IF(AND(matrizOK,$B13="Motriz",OR(Q$2="Enlace",Q$2="Resultado"),'M1'!AA20&gt;=1),'M1'!AA20*1000000+(41-$A13)*1000+(41-Q$1),0)</f>
        <v/>
      </c>
      <c r="R13" s="58">
        <f>IF(AND(matrizOK,$B13="Motriz",OR(R$2="Enlace",R$2="Resultado"),'M1'!AB20&gt;=1),'M1'!AB20*1000000+(41-$A13)*1000+(41-R$1),0)</f>
        <v/>
      </c>
      <c r="S13" s="58">
        <f>IF(AND(matrizOK,$B13="Motriz",OR(S$2="Enlace",S$2="Resultado"),'M1'!AC20&gt;=1),'M1'!AC20*1000000+(41-$A13)*1000+(41-S$1),0)</f>
        <v/>
      </c>
      <c r="T13" s="58">
        <f>IF(AND(matrizOK,$B13="Motriz",OR(T$2="Enlace",T$2="Resultado"),'M1'!AD20&gt;=1),'M1'!AD20*1000000+(41-$A13)*1000+(41-T$1),0)</f>
        <v/>
      </c>
      <c r="U13" s="58">
        <f>IF(AND(matrizOK,$B13="Motriz",OR(U$2="Enlace",U$2="Resultado"),'M1'!AE20&gt;=1),'M1'!AE20*1000000+(41-$A13)*1000+(41-U$1),0)</f>
        <v/>
      </c>
      <c r="V13" s="58">
        <f>IF(AND(matrizOK,$B13="Motriz",OR(V$2="Enlace",V$2="Resultado"),'M1'!AF20&gt;=1),'M1'!AF20*1000000+(41-$A13)*1000+(41-V$1),0)</f>
        <v/>
      </c>
      <c r="W13" s="58">
        <f>IF(AND(matrizOK,$B13="Motriz",OR(W$2="Enlace",W$2="Resultado"),'M1'!AG20&gt;=1),'M1'!AG20*1000000+(41-$A13)*1000+(41-W$1),0)</f>
        <v/>
      </c>
      <c r="X13" s="58">
        <f>IF(AND(matrizOK,$B13="Motriz",OR(X$2="Enlace",X$2="Resultado"),'M1'!AH20&gt;=1),'M1'!AH20*1000000+(41-$A13)*1000+(41-X$1),0)</f>
        <v/>
      </c>
      <c r="Y13" s="58">
        <f>IF(AND(matrizOK,$B13="Motriz",OR(Y$2="Enlace",Y$2="Resultado"),'M1'!AI20&gt;=1),'M1'!AI20*1000000+(41-$A13)*1000+(41-Y$1),0)</f>
        <v/>
      </c>
      <c r="Z13" s="58">
        <f>IF(AND(matrizOK,$B13="Motriz",OR(Z$2="Enlace",Z$2="Resultado"),'M1'!AJ20&gt;=1),'M1'!AJ20*1000000+(41-$A13)*1000+(41-Z$1),0)</f>
        <v/>
      </c>
      <c r="AA13" s="58">
        <f>IF(AND(matrizOK,$B13="Motriz",OR(AA$2="Enlace",AA$2="Resultado"),'M1'!AK20&gt;=1),'M1'!AK20*1000000+(41-$A13)*1000+(41-AA$1),0)</f>
        <v/>
      </c>
      <c r="AB13" s="58">
        <f>IF(AND(matrizOK,$B13="Motriz",OR(AB$2="Enlace",AB$2="Resultado"),'M1'!AL20&gt;=1),'M1'!AL20*1000000+(41-$A13)*1000+(41-AB$1),0)</f>
        <v/>
      </c>
      <c r="AC13" s="58">
        <f>IF(AND(matrizOK,$B13="Motriz",OR(AC$2="Enlace",AC$2="Resultado"),'M1'!AM20&gt;=1),'M1'!AM20*1000000+(41-$A13)*1000+(41-AC$1),0)</f>
        <v/>
      </c>
      <c r="AD13" s="58">
        <f>IF(AND(matrizOK,$B13="Motriz",OR(AD$2="Enlace",AD$2="Resultado"),'M1'!AN20&gt;=1),'M1'!AN20*1000000+(41-$A13)*1000+(41-AD$1),0)</f>
        <v/>
      </c>
      <c r="AE13" s="58">
        <f>IF(AND(matrizOK,$B13="Motriz",OR(AE$2="Enlace",AE$2="Resultado"),'M1'!AO20&gt;=1),'M1'!AO20*1000000+(41-$A13)*1000+(41-AE$1),0)</f>
        <v/>
      </c>
      <c r="AF13" s="58">
        <f>IF(AND(matrizOK,$B13="Motriz",OR(AF$2="Enlace",AF$2="Resultado"),'M1'!AP20&gt;=1),'M1'!AP20*1000000+(41-$A13)*1000+(41-AF$1),0)</f>
        <v/>
      </c>
      <c r="AG13" s="58">
        <f>IF(AND(matrizOK,$B13="Motriz",OR(AG$2="Enlace",AG$2="Resultado"),'M1'!AQ20&gt;=1),'M1'!AQ20*1000000+(41-$A13)*1000+(41-AG$1),0)</f>
        <v/>
      </c>
      <c r="AH13" s="58">
        <f>IF(AND(matrizOK,$B13="Motriz",OR(AH$2="Enlace",AH$2="Resultado"),'M1'!AR20&gt;=1),'M1'!AR20*1000000+(41-$A13)*1000+(41-AH$1),0)</f>
        <v/>
      </c>
      <c r="AI13" s="58">
        <f>IF(AND(matrizOK,$B13="Motriz",OR(AI$2="Enlace",AI$2="Resultado"),'M1'!AS20&gt;=1),'M1'!AS20*1000000+(41-$A13)*1000+(41-AI$1),0)</f>
        <v/>
      </c>
      <c r="AJ13" s="58">
        <f>IF(AND(matrizOK,$B13="Motriz",OR(AJ$2="Enlace",AJ$2="Resultado"),'M1'!AT20&gt;=1),'M1'!AT20*1000000+(41-$A13)*1000+(41-AJ$1),0)</f>
        <v/>
      </c>
      <c r="AK13" s="58">
        <f>IF(AND(matrizOK,$B13="Motriz",OR(AK$2="Enlace",AK$2="Resultado"),'M1'!AU20&gt;=1),'M1'!AU20*1000000+(41-$A13)*1000+(41-AK$1),0)</f>
        <v/>
      </c>
      <c r="AL13" s="58">
        <f>IF(AND(matrizOK,$B13="Motriz",OR(AL$2="Enlace",AL$2="Resultado"),'M1'!AV20&gt;=1),'M1'!AV20*1000000+(41-$A13)*1000+(41-AL$1),0)</f>
        <v/>
      </c>
      <c r="AM13" s="58">
        <f>IF(AND(matrizOK,$B13="Motriz",OR(AM$2="Enlace",AM$2="Resultado"),'M1'!AW20&gt;=1),'M1'!AW20*1000000+(41-$A13)*1000+(41-AM$1),0)</f>
        <v/>
      </c>
      <c r="AN13" s="58">
        <f>IF(AND(matrizOK,$B13="Motriz",OR(AN$2="Enlace",AN$2="Resultado"),'M1'!AX20&gt;=1),'M1'!AX20*1000000+(41-$A13)*1000+(41-AN$1),0)</f>
        <v/>
      </c>
      <c r="AO13" s="58">
        <f>IF(AND(matrizOK,$B13="Motriz",OR(AO$2="Enlace",AO$2="Resultado"),'M1'!AY20&gt;=1),'M1'!AY20*1000000+(41-$A13)*1000+(41-AO$1),0)</f>
        <v/>
      </c>
      <c r="AP13" s="58">
        <f>IF(AND(matrizOK,$B13="Motriz",OR(AP$2="Enlace",AP$2="Resultado"),'M1'!AZ20&gt;=1),'M1'!AZ20*1000000+(41-$A13)*1000+(41-AP$1),0)</f>
        <v/>
      </c>
    </row>
    <row r="14">
      <c r="A14" s="58" t="n">
        <v>12</v>
      </c>
      <c r="B14" s="58">
        <f>IF($A14&lt;=nVariables,INDEX('M6'!$I$10:$I$49,$A14),"")</f>
        <v/>
      </c>
      <c r="C14" s="58">
        <f>IF(AND(matrizOK,$B14="Motriz",OR(C$2="Enlace",C$2="Resultado"),'M1'!M21&gt;=1),'M1'!M21*1000000+(41-$A14)*1000+(41-C$1),0)</f>
        <v/>
      </c>
      <c r="D14" s="58">
        <f>IF(AND(matrizOK,$B14="Motriz",OR(D$2="Enlace",D$2="Resultado"),'M1'!N21&gt;=1),'M1'!N21*1000000+(41-$A14)*1000+(41-D$1),0)</f>
        <v/>
      </c>
      <c r="E14" s="58">
        <f>IF(AND(matrizOK,$B14="Motriz",OR(E$2="Enlace",E$2="Resultado"),'M1'!O21&gt;=1),'M1'!O21*1000000+(41-$A14)*1000+(41-E$1),0)</f>
        <v/>
      </c>
      <c r="F14" s="58">
        <f>IF(AND(matrizOK,$B14="Motriz",OR(F$2="Enlace",F$2="Resultado"),'M1'!P21&gt;=1),'M1'!P21*1000000+(41-$A14)*1000+(41-F$1),0)</f>
        <v/>
      </c>
      <c r="G14" s="58">
        <f>IF(AND(matrizOK,$B14="Motriz",OR(G$2="Enlace",G$2="Resultado"),'M1'!Q21&gt;=1),'M1'!Q21*1000000+(41-$A14)*1000+(41-G$1),0)</f>
        <v/>
      </c>
      <c r="H14" s="58">
        <f>IF(AND(matrizOK,$B14="Motriz",OR(H$2="Enlace",H$2="Resultado"),'M1'!R21&gt;=1),'M1'!R21*1000000+(41-$A14)*1000+(41-H$1),0)</f>
        <v/>
      </c>
      <c r="I14" s="58">
        <f>IF(AND(matrizOK,$B14="Motriz",OR(I$2="Enlace",I$2="Resultado"),'M1'!S21&gt;=1),'M1'!S21*1000000+(41-$A14)*1000+(41-I$1),0)</f>
        <v/>
      </c>
      <c r="J14" s="58">
        <f>IF(AND(matrizOK,$B14="Motriz",OR(J$2="Enlace",J$2="Resultado"),'M1'!T21&gt;=1),'M1'!T21*1000000+(41-$A14)*1000+(41-J$1),0)</f>
        <v/>
      </c>
      <c r="K14" s="58">
        <f>IF(AND(matrizOK,$B14="Motriz",OR(K$2="Enlace",K$2="Resultado"),'M1'!U21&gt;=1),'M1'!U21*1000000+(41-$A14)*1000+(41-K$1),0)</f>
        <v/>
      </c>
      <c r="L14" s="58">
        <f>IF(AND(matrizOK,$B14="Motriz",OR(L$2="Enlace",L$2="Resultado"),'M1'!V21&gt;=1),'M1'!V21*1000000+(41-$A14)*1000+(41-L$1),0)</f>
        <v/>
      </c>
      <c r="M14" s="58">
        <f>IF(AND(matrizOK,$B14="Motriz",OR(M$2="Enlace",M$2="Resultado"),'M1'!W21&gt;=1),'M1'!W21*1000000+(41-$A14)*1000+(41-M$1),0)</f>
        <v/>
      </c>
      <c r="N14" s="58">
        <f>IF(AND(matrizOK,$B14="Motriz",OR(N$2="Enlace",N$2="Resultado"),'M1'!X21&gt;=1),'M1'!X21*1000000+(41-$A14)*1000+(41-N$1),0)</f>
        <v/>
      </c>
      <c r="O14" s="58">
        <f>IF(AND(matrizOK,$B14="Motriz",OR(O$2="Enlace",O$2="Resultado"),'M1'!Y21&gt;=1),'M1'!Y21*1000000+(41-$A14)*1000+(41-O$1),0)</f>
        <v/>
      </c>
      <c r="P14" s="58">
        <f>IF(AND(matrizOK,$B14="Motriz",OR(P$2="Enlace",P$2="Resultado"),'M1'!Z21&gt;=1),'M1'!Z21*1000000+(41-$A14)*1000+(41-P$1),0)</f>
        <v/>
      </c>
      <c r="Q14" s="58">
        <f>IF(AND(matrizOK,$B14="Motriz",OR(Q$2="Enlace",Q$2="Resultado"),'M1'!AA21&gt;=1),'M1'!AA21*1000000+(41-$A14)*1000+(41-Q$1),0)</f>
        <v/>
      </c>
      <c r="R14" s="58">
        <f>IF(AND(matrizOK,$B14="Motriz",OR(R$2="Enlace",R$2="Resultado"),'M1'!AB21&gt;=1),'M1'!AB21*1000000+(41-$A14)*1000+(41-R$1),0)</f>
        <v/>
      </c>
      <c r="S14" s="58">
        <f>IF(AND(matrizOK,$B14="Motriz",OR(S$2="Enlace",S$2="Resultado"),'M1'!AC21&gt;=1),'M1'!AC21*1000000+(41-$A14)*1000+(41-S$1),0)</f>
        <v/>
      </c>
      <c r="T14" s="58">
        <f>IF(AND(matrizOK,$B14="Motriz",OR(T$2="Enlace",T$2="Resultado"),'M1'!AD21&gt;=1),'M1'!AD21*1000000+(41-$A14)*1000+(41-T$1),0)</f>
        <v/>
      </c>
      <c r="U14" s="58">
        <f>IF(AND(matrizOK,$B14="Motriz",OR(U$2="Enlace",U$2="Resultado"),'M1'!AE21&gt;=1),'M1'!AE21*1000000+(41-$A14)*1000+(41-U$1),0)</f>
        <v/>
      </c>
      <c r="V14" s="58">
        <f>IF(AND(matrizOK,$B14="Motriz",OR(V$2="Enlace",V$2="Resultado"),'M1'!AF21&gt;=1),'M1'!AF21*1000000+(41-$A14)*1000+(41-V$1),0)</f>
        <v/>
      </c>
      <c r="W14" s="58">
        <f>IF(AND(matrizOK,$B14="Motriz",OR(W$2="Enlace",W$2="Resultado"),'M1'!AG21&gt;=1),'M1'!AG21*1000000+(41-$A14)*1000+(41-W$1),0)</f>
        <v/>
      </c>
      <c r="X14" s="58">
        <f>IF(AND(matrizOK,$B14="Motriz",OR(X$2="Enlace",X$2="Resultado"),'M1'!AH21&gt;=1),'M1'!AH21*1000000+(41-$A14)*1000+(41-X$1),0)</f>
        <v/>
      </c>
      <c r="Y14" s="58">
        <f>IF(AND(matrizOK,$B14="Motriz",OR(Y$2="Enlace",Y$2="Resultado"),'M1'!AI21&gt;=1),'M1'!AI21*1000000+(41-$A14)*1000+(41-Y$1),0)</f>
        <v/>
      </c>
      <c r="Z14" s="58">
        <f>IF(AND(matrizOK,$B14="Motriz",OR(Z$2="Enlace",Z$2="Resultado"),'M1'!AJ21&gt;=1),'M1'!AJ21*1000000+(41-$A14)*1000+(41-Z$1),0)</f>
        <v/>
      </c>
      <c r="AA14" s="58">
        <f>IF(AND(matrizOK,$B14="Motriz",OR(AA$2="Enlace",AA$2="Resultado"),'M1'!AK21&gt;=1),'M1'!AK21*1000000+(41-$A14)*1000+(41-AA$1),0)</f>
        <v/>
      </c>
      <c r="AB14" s="58">
        <f>IF(AND(matrizOK,$B14="Motriz",OR(AB$2="Enlace",AB$2="Resultado"),'M1'!AL21&gt;=1),'M1'!AL21*1000000+(41-$A14)*1000+(41-AB$1),0)</f>
        <v/>
      </c>
      <c r="AC14" s="58">
        <f>IF(AND(matrizOK,$B14="Motriz",OR(AC$2="Enlace",AC$2="Resultado"),'M1'!AM21&gt;=1),'M1'!AM21*1000000+(41-$A14)*1000+(41-AC$1),0)</f>
        <v/>
      </c>
      <c r="AD14" s="58">
        <f>IF(AND(matrizOK,$B14="Motriz",OR(AD$2="Enlace",AD$2="Resultado"),'M1'!AN21&gt;=1),'M1'!AN21*1000000+(41-$A14)*1000+(41-AD$1),0)</f>
        <v/>
      </c>
      <c r="AE14" s="58">
        <f>IF(AND(matrizOK,$B14="Motriz",OR(AE$2="Enlace",AE$2="Resultado"),'M1'!AO21&gt;=1),'M1'!AO21*1000000+(41-$A14)*1000+(41-AE$1),0)</f>
        <v/>
      </c>
      <c r="AF14" s="58">
        <f>IF(AND(matrizOK,$B14="Motriz",OR(AF$2="Enlace",AF$2="Resultado"),'M1'!AP21&gt;=1),'M1'!AP21*1000000+(41-$A14)*1000+(41-AF$1),0)</f>
        <v/>
      </c>
      <c r="AG14" s="58">
        <f>IF(AND(matrizOK,$B14="Motriz",OR(AG$2="Enlace",AG$2="Resultado"),'M1'!AQ21&gt;=1),'M1'!AQ21*1000000+(41-$A14)*1000+(41-AG$1),0)</f>
        <v/>
      </c>
      <c r="AH14" s="58">
        <f>IF(AND(matrizOK,$B14="Motriz",OR(AH$2="Enlace",AH$2="Resultado"),'M1'!AR21&gt;=1),'M1'!AR21*1000000+(41-$A14)*1000+(41-AH$1),0)</f>
        <v/>
      </c>
      <c r="AI14" s="58">
        <f>IF(AND(matrizOK,$B14="Motriz",OR(AI$2="Enlace",AI$2="Resultado"),'M1'!AS21&gt;=1),'M1'!AS21*1000000+(41-$A14)*1000+(41-AI$1),0)</f>
        <v/>
      </c>
      <c r="AJ14" s="58">
        <f>IF(AND(matrizOK,$B14="Motriz",OR(AJ$2="Enlace",AJ$2="Resultado"),'M1'!AT21&gt;=1),'M1'!AT21*1000000+(41-$A14)*1000+(41-AJ$1),0)</f>
        <v/>
      </c>
      <c r="AK14" s="58">
        <f>IF(AND(matrizOK,$B14="Motriz",OR(AK$2="Enlace",AK$2="Resultado"),'M1'!AU21&gt;=1),'M1'!AU21*1000000+(41-$A14)*1000+(41-AK$1),0)</f>
        <v/>
      </c>
      <c r="AL14" s="58">
        <f>IF(AND(matrizOK,$B14="Motriz",OR(AL$2="Enlace",AL$2="Resultado"),'M1'!AV21&gt;=1),'M1'!AV21*1000000+(41-$A14)*1000+(41-AL$1),0)</f>
        <v/>
      </c>
      <c r="AM14" s="58">
        <f>IF(AND(matrizOK,$B14="Motriz",OR(AM$2="Enlace",AM$2="Resultado"),'M1'!AW21&gt;=1),'M1'!AW21*1000000+(41-$A14)*1000+(41-AM$1),0)</f>
        <v/>
      </c>
      <c r="AN14" s="58">
        <f>IF(AND(matrizOK,$B14="Motriz",OR(AN$2="Enlace",AN$2="Resultado"),'M1'!AX21&gt;=1),'M1'!AX21*1000000+(41-$A14)*1000+(41-AN$1),0)</f>
        <v/>
      </c>
      <c r="AO14" s="58">
        <f>IF(AND(matrizOK,$B14="Motriz",OR(AO$2="Enlace",AO$2="Resultado"),'M1'!AY21&gt;=1),'M1'!AY21*1000000+(41-$A14)*1000+(41-AO$1),0)</f>
        <v/>
      </c>
      <c r="AP14" s="58">
        <f>IF(AND(matrizOK,$B14="Motriz",OR(AP$2="Enlace",AP$2="Resultado"),'M1'!AZ21&gt;=1),'M1'!AZ21*1000000+(41-$A14)*1000+(41-AP$1),0)</f>
        <v/>
      </c>
    </row>
    <row r="15">
      <c r="A15" s="58" t="n">
        <v>13</v>
      </c>
      <c r="B15" s="58">
        <f>IF($A15&lt;=nVariables,INDEX('M6'!$I$10:$I$49,$A15),"")</f>
        <v/>
      </c>
      <c r="C15" s="58">
        <f>IF(AND(matrizOK,$B15="Motriz",OR(C$2="Enlace",C$2="Resultado"),'M1'!M22&gt;=1),'M1'!M22*1000000+(41-$A15)*1000+(41-C$1),0)</f>
        <v/>
      </c>
      <c r="D15" s="58">
        <f>IF(AND(matrizOK,$B15="Motriz",OR(D$2="Enlace",D$2="Resultado"),'M1'!N22&gt;=1),'M1'!N22*1000000+(41-$A15)*1000+(41-D$1),0)</f>
        <v/>
      </c>
      <c r="E15" s="58">
        <f>IF(AND(matrizOK,$B15="Motriz",OR(E$2="Enlace",E$2="Resultado"),'M1'!O22&gt;=1),'M1'!O22*1000000+(41-$A15)*1000+(41-E$1),0)</f>
        <v/>
      </c>
      <c r="F15" s="58">
        <f>IF(AND(matrizOK,$B15="Motriz",OR(F$2="Enlace",F$2="Resultado"),'M1'!P22&gt;=1),'M1'!P22*1000000+(41-$A15)*1000+(41-F$1),0)</f>
        <v/>
      </c>
      <c r="G15" s="58">
        <f>IF(AND(matrizOK,$B15="Motriz",OR(G$2="Enlace",G$2="Resultado"),'M1'!Q22&gt;=1),'M1'!Q22*1000000+(41-$A15)*1000+(41-G$1),0)</f>
        <v/>
      </c>
      <c r="H15" s="58">
        <f>IF(AND(matrizOK,$B15="Motriz",OR(H$2="Enlace",H$2="Resultado"),'M1'!R22&gt;=1),'M1'!R22*1000000+(41-$A15)*1000+(41-H$1),0)</f>
        <v/>
      </c>
      <c r="I15" s="58">
        <f>IF(AND(matrizOK,$B15="Motriz",OR(I$2="Enlace",I$2="Resultado"),'M1'!S22&gt;=1),'M1'!S22*1000000+(41-$A15)*1000+(41-I$1),0)</f>
        <v/>
      </c>
      <c r="J15" s="58">
        <f>IF(AND(matrizOK,$B15="Motriz",OR(J$2="Enlace",J$2="Resultado"),'M1'!T22&gt;=1),'M1'!T22*1000000+(41-$A15)*1000+(41-J$1),0)</f>
        <v/>
      </c>
      <c r="K15" s="58">
        <f>IF(AND(matrizOK,$B15="Motriz",OR(K$2="Enlace",K$2="Resultado"),'M1'!U22&gt;=1),'M1'!U22*1000000+(41-$A15)*1000+(41-K$1),0)</f>
        <v/>
      </c>
      <c r="L15" s="58">
        <f>IF(AND(matrizOK,$B15="Motriz",OR(L$2="Enlace",L$2="Resultado"),'M1'!V22&gt;=1),'M1'!V22*1000000+(41-$A15)*1000+(41-L$1),0)</f>
        <v/>
      </c>
      <c r="M15" s="58">
        <f>IF(AND(matrizOK,$B15="Motriz",OR(M$2="Enlace",M$2="Resultado"),'M1'!W22&gt;=1),'M1'!W22*1000000+(41-$A15)*1000+(41-M$1),0)</f>
        <v/>
      </c>
      <c r="N15" s="58">
        <f>IF(AND(matrizOK,$B15="Motriz",OR(N$2="Enlace",N$2="Resultado"),'M1'!X22&gt;=1),'M1'!X22*1000000+(41-$A15)*1000+(41-N$1),0)</f>
        <v/>
      </c>
      <c r="O15" s="58">
        <f>IF(AND(matrizOK,$B15="Motriz",OR(O$2="Enlace",O$2="Resultado"),'M1'!Y22&gt;=1),'M1'!Y22*1000000+(41-$A15)*1000+(41-O$1),0)</f>
        <v/>
      </c>
      <c r="P15" s="58">
        <f>IF(AND(matrizOK,$B15="Motriz",OR(P$2="Enlace",P$2="Resultado"),'M1'!Z22&gt;=1),'M1'!Z22*1000000+(41-$A15)*1000+(41-P$1),0)</f>
        <v/>
      </c>
      <c r="Q15" s="58">
        <f>IF(AND(matrizOK,$B15="Motriz",OR(Q$2="Enlace",Q$2="Resultado"),'M1'!AA22&gt;=1),'M1'!AA22*1000000+(41-$A15)*1000+(41-Q$1),0)</f>
        <v/>
      </c>
      <c r="R15" s="58">
        <f>IF(AND(matrizOK,$B15="Motriz",OR(R$2="Enlace",R$2="Resultado"),'M1'!AB22&gt;=1),'M1'!AB22*1000000+(41-$A15)*1000+(41-R$1),0)</f>
        <v/>
      </c>
      <c r="S15" s="58">
        <f>IF(AND(matrizOK,$B15="Motriz",OR(S$2="Enlace",S$2="Resultado"),'M1'!AC22&gt;=1),'M1'!AC22*1000000+(41-$A15)*1000+(41-S$1),0)</f>
        <v/>
      </c>
      <c r="T15" s="58">
        <f>IF(AND(matrizOK,$B15="Motriz",OR(T$2="Enlace",T$2="Resultado"),'M1'!AD22&gt;=1),'M1'!AD22*1000000+(41-$A15)*1000+(41-T$1),0)</f>
        <v/>
      </c>
      <c r="U15" s="58">
        <f>IF(AND(matrizOK,$B15="Motriz",OR(U$2="Enlace",U$2="Resultado"),'M1'!AE22&gt;=1),'M1'!AE22*1000000+(41-$A15)*1000+(41-U$1),0)</f>
        <v/>
      </c>
      <c r="V15" s="58">
        <f>IF(AND(matrizOK,$B15="Motriz",OR(V$2="Enlace",V$2="Resultado"),'M1'!AF22&gt;=1),'M1'!AF22*1000000+(41-$A15)*1000+(41-V$1),0)</f>
        <v/>
      </c>
      <c r="W15" s="58">
        <f>IF(AND(matrizOK,$B15="Motriz",OR(W$2="Enlace",W$2="Resultado"),'M1'!AG22&gt;=1),'M1'!AG22*1000000+(41-$A15)*1000+(41-W$1),0)</f>
        <v/>
      </c>
      <c r="X15" s="58">
        <f>IF(AND(matrizOK,$B15="Motriz",OR(X$2="Enlace",X$2="Resultado"),'M1'!AH22&gt;=1),'M1'!AH22*1000000+(41-$A15)*1000+(41-X$1),0)</f>
        <v/>
      </c>
      <c r="Y15" s="58">
        <f>IF(AND(matrizOK,$B15="Motriz",OR(Y$2="Enlace",Y$2="Resultado"),'M1'!AI22&gt;=1),'M1'!AI22*1000000+(41-$A15)*1000+(41-Y$1),0)</f>
        <v/>
      </c>
      <c r="Z15" s="58">
        <f>IF(AND(matrizOK,$B15="Motriz",OR(Z$2="Enlace",Z$2="Resultado"),'M1'!AJ22&gt;=1),'M1'!AJ22*1000000+(41-$A15)*1000+(41-Z$1),0)</f>
        <v/>
      </c>
      <c r="AA15" s="58">
        <f>IF(AND(matrizOK,$B15="Motriz",OR(AA$2="Enlace",AA$2="Resultado"),'M1'!AK22&gt;=1),'M1'!AK22*1000000+(41-$A15)*1000+(41-AA$1),0)</f>
        <v/>
      </c>
      <c r="AB15" s="58">
        <f>IF(AND(matrizOK,$B15="Motriz",OR(AB$2="Enlace",AB$2="Resultado"),'M1'!AL22&gt;=1),'M1'!AL22*1000000+(41-$A15)*1000+(41-AB$1),0)</f>
        <v/>
      </c>
      <c r="AC15" s="58">
        <f>IF(AND(matrizOK,$B15="Motriz",OR(AC$2="Enlace",AC$2="Resultado"),'M1'!AM22&gt;=1),'M1'!AM22*1000000+(41-$A15)*1000+(41-AC$1),0)</f>
        <v/>
      </c>
      <c r="AD15" s="58">
        <f>IF(AND(matrizOK,$B15="Motriz",OR(AD$2="Enlace",AD$2="Resultado"),'M1'!AN22&gt;=1),'M1'!AN22*1000000+(41-$A15)*1000+(41-AD$1),0)</f>
        <v/>
      </c>
      <c r="AE15" s="58">
        <f>IF(AND(matrizOK,$B15="Motriz",OR(AE$2="Enlace",AE$2="Resultado"),'M1'!AO22&gt;=1),'M1'!AO22*1000000+(41-$A15)*1000+(41-AE$1),0)</f>
        <v/>
      </c>
      <c r="AF15" s="58">
        <f>IF(AND(matrizOK,$B15="Motriz",OR(AF$2="Enlace",AF$2="Resultado"),'M1'!AP22&gt;=1),'M1'!AP22*1000000+(41-$A15)*1000+(41-AF$1),0)</f>
        <v/>
      </c>
      <c r="AG15" s="58">
        <f>IF(AND(matrizOK,$B15="Motriz",OR(AG$2="Enlace",AG$2="Resultado"),'M1'!AQ22&gt;=1),'M1'!AQ22*1000000+(41-$A15)*1000+(41-AG$1),0)</f>
        <v/>
      </c>
      <c r="AH15" s="58">
        <f>IF(AND(matrizOK,$B15="Motriz",OR(AH$2="Enlace",AH$2="Resultado"),'M1'!AR22&gt;=1),'M1'!AR22*1000000+(41-$A15)*1000+(41-AH$1),0)</f>
        <v/>
      </c>
      <c r="AI15" s="58">
        <f>IF(AND(matrizOK,$B15="Motriz",OR(AI$2="Enlace",AI$2="Resultado"),'M1'!AS22&gt;=1),'M1'!AS22*1000000+(41-$A15)*1000+(41-AI$1),0)</f>
        <v/>
      </c>
      <c r="AJ15" s="58">
        <f>IF(AND(matrizOK,$B15="Motriz",OR(AJ$2="Enlace",AJ$2="Resultado"),'M1'!AT22&gt;=1),'M1'!AT22*1000000+(41-$A15)*1000+(41-AJ$1),0)</f>
        <v/>
      </c>
      <c r="AK15" s="58">
        <f>IF(AND(matrizOK,$B15="Motriz",OR(AK$2="Enlace",AK$2="Resultado"),'M1'!AU22&gt;=1),'M1'!AU22*1000000+(41-$A15)*1000+(41-AK$1),0)</f>
        <v/>
      </c>
      <c r="AL15" s="58">
        <f>IF(AND(matrizOK,$B15="Motriz",OR(AL$2="Enlace",AL$2="Resultado"),'M1'!AV22&gt;=1),'M1'!AV22*1000000+(41-$A15)*1000+(41-AL$1),0)</f>
        <v/>
      </c>
      <c r="AM15" s="58">
        <f>IF(AND(matrizOK,$B15="Motriz",OR(AM$2="Enlace",AM$2="Resultado"),'M1'!AW22&gt;=1),'M1'!AW22*1000000+(41-$A15)*1000+(41-AM$1),0)</f>
        <v/>
      </c>
      <c r="AN15" s="58">
        <f>IF(AND(matrizOK,$B15="Motriz",OR(AN$2="Enlace",AN$2="Resultado"),'M1'!AX22&gt;=1),'M1'!AX22*1000000+(41-$A15)*1000+(41-AN$1),0)</f>
        <v/>
      </c>
      <c r="AO15" s="58">
        <f>IF(AND(matrizOK,$B15="Motriz",OR(AO$2="Enlace",AO$2="Resultado"),'M1'!AY22&gt;=1),'M1'!AY22*1000000+(41-$A15)*1000+(41-AO$1),0)</f>
        <v/>
      </c>
      <c r="AP15" s="58">
        <f>IF(AND(matrizOK,$B15="Motriz",OR(AP$2="Enlace",AP$2="Resultado"),'M1'!AZ22&gt;=1),'M1'!AZ22*1000000+(41-$A15)*1000+(41-AP$1),0)</f>
        <v/>
      </c>
    </row>
    <row r="16">
      <c r="A16" s="58" t="n">
        <v>14</v>
      </c>
      <c r="B16" s="58">
        <f>IF($A16&lt;=nVariables,INDEX('M6'!$I$10:$I$49,$A16),"")</f>
        <v/>
      </c>
      <c r="C16" s="58">
        <f>IF(AND(matrizOK,$B16="Motriz",OR(C$2="Enlace",C$2="Resultado"),'M1'!M23&gt;=1),'M1'!M23*1000000+(41-$A16)*1000+(41-C$1),0)</f>
        <v/>
      </c>
      <c r="D16" s="58">
        <f>IF(AND(matrizOK,$B16="Motriz",OR(D$2="Enlace",D$2="Resultado"),'M1'!N23&gt;=1),'M1'!N23*1000000+(41-$A16)*1000+(41-D$1),0)</f>
        <v/>
      </c>
      <c r="E16" s="58">
        <f>IF(AND(matrizOK,$B16="Motriz",OR(E$2="Enlace",E$2="Resultado"),'M1'!O23&gt;=1),'M1'!O23*1000000+(41-$A16)*1000+(41-E$1),0)</f>
        <v/>
      </c>
      <c r="F16" s="58">
        <f>IF(AND(matrizOK,$B16="Motriz",OR(F$2="Enlace",F$2="Resultado"),'M1'!P23&gt;=1),'M1'!P23*1000000+(41-$A16)*1000+(41-F$1),0)</f>
        <v/>
      </c>
      <c r="G16" s="58">
        <f>IF(AND(matrizOK,$B16="Motriz",OR(G$2="Enlace",G$2="Resultado"),'M1'!Q23&gt;=1),'M1'!Q23*1000000+(41-$A16)*1000+(41-G$1),0)</f>
        <v/>
      </c>
      <c r="H16" s="58">
        <f>IF(AND(matrizOK,$B16="Motriz",OR(H$2="Enlace",H$2="Resultado"),'M1'!R23&gt;=1),'M1'!R23*1000000+(41-$A16)*1000+(41-H$1),0)</f>
        <v/>
      </c>
      <c r="I16" s="58">
        <f>IF(AND(matrizOK,$B16="Motriz",OR(I$2="Enlace",I$2="Resultado"),'M1'!S23&gt;=1),'M1'!S23*1000000+(41-$A16)*1000+(41-I$1),0)</f>
        <v/>
      </c>
      <c r="J16" s="58">
        <f>IF(AND(matrizOK,$B16="Motriz",OR(J$2="Enlace",J$2="Resultado"),'M1'!T23&gt;=1),'M1'!T23*1000000+(41-$A16)*1000+(41-J$1),0)</f>
        <v/>
      </c>
      <c r="K16" s="58">
        <f>IF(AND(matrizOK,$B16="Motriz",OR(K$2="Enlace",K$2="Resultado"),'M1'!U23&gt;=1),'M1'!U23*1000000+(41-$A16)*1000+(41-K$1),0)</f>
        <v/>
      </c>
      <c r="L16" s="58">
        <f>IF(AND(matrizOK,$B16="Motriz",OR(L$2="Enlace",L$2="Resultado"),'M1'!V23&gt;=1),'M1'!V23*1000000+(41-$A16)*1000+(41-L$1),0)</f>
        <v/>
      </c>
      <c r="M16" s="58">
        <f>IF(AND(matrizOK,$B16="Motriz",OR(M$2="Enlace",M$2="Resultado"),'M1'!W23&gt;=1),'M1'!W23*1000000+(41-$A16)*1000+(41-M$1),0)</f>
        <v/>
      </c>
      <c r="N16" s="58">
        <f>IF(AND(matrizOK,$B16="Motriz",OR(N$2="Enlace",N$2="Resultado"),'M1'!X23&gt;=1),'M1'!X23*1000000+(41-$A16)*1000+(41-N$1),0)</f>
        <v/>
      </c>
      <c r="O16" s="58">
        <f>IF(AND(matrizOK,$B16="Motriz",OR(O$2="Enlace",O$2="Resultado"),'M1'!Y23&gt;=1),'M1'!Y23*1000000+(41-$A16)*1000+(41-O$1),0)</f>
        <v/>
      </c>
      <c r="P16" s="58">
        <f>IF(AND(matrizOK,$B16="Motriz",OR(P$2="Enlace",P$2="Resultado"),'M1'!Z23&gt;=1),'M1'!Z23*1000000+(41-$A16)*1000+(41-P$1),0)</f>
        <v/>
      </c>
      <c r="Q16" s="58">
        <f>IF(AND(matrizOK,$B16="Motriz",OR(Q$2="Enlace",Q$2="Resultado"),'M1'!AA23&gt;=1),'M1'!AA23*1000000+(41-$A16)*1000+(41-Q$1),0)</f>
        <v/>
      </c>
      <c r="R16" s="58">
        <f>IF(AND(matrizOK,$B16="Motriz",OR(R$2="Enlace",R$2="Resultado"),'M1'!AB23&gt;=1),'M1'!AB23*1000000+(41-$A16)*1000+(41-R$1),0)</f>
        <v/>
      </c>
      <c r="S16" s="58">
        <f>IF(AND(matrizOK,$B16="Motriz",OR(S$2="Enlace",S$2="Resultado"),'M1'!AC23&gt;=1),'M1'!AC23*1000000+(41-$A16)*1000+(41-S$1),0)</f>
        <v/>
      </c>
      <c r="T16" s="58">
        <f>IF(AND(matrizOK,$B16="Motriz",OR(T$2="Enlace",T$2="Resultado"),'M1'!AD23&gt;=1),'M1'!AD23*1000000+(41-$A16)*1000+(41-T$1),0)</f>
        <v/>
      </c>
      <c r="U16" s="58">
        <f>IF(AND(matrizOK,$B16="Motriz",OR(U$2="Enlace",U$2="Resultado"),'M1'!AE23&gt;=1),'M1'!AE23*1000000+(41-$A16)*1000+(41-U$1),0)</f>
        <v/>
      </c>
      <c r="V16" s="58">
        <f>IF(AND(matrizOK,$B16="Motriz",OR(V$2="Enlace",V$2="Resultado"),'M1'!AF23&gt;=1),'M1'!AF23*1000000+(41-$A16)*1000+(41-V$1),0)</f>
        <v/>
      </c>
      <c r="W16" s="58">
        <f>IF(AND(matrizOK,$B16="Motriz",OR(W$2="Enlace",W$2="Resultado"),'M1'!AG23&gt;=1),'M1'!AG23*1000000+(41-$A16)*1000+(41-W$1),0)</f>
        <v/>
      </c>
      <c r="X16" s="58">
        <f>IF(AND(matrizOK,$B16="Motriz",OR(X$2="Enlace",X$2="Resultado"),'M1'!AH23&gt;=1),'M1'!AH23*1000000+(41-$A16)*1000+(41-X$1),0)</f>
        <v/>
      </c>
      <c r="Y16" s="58">
        <f>IF(AND(matrizOK,$B16="Motriz",OR(Y$2="Enlace",Y$2="Resultado"),'M1'!AI23&gt;=1),'M1'!AI23*1000000+(41-$A16)*1000+(41-Y$1),0)</f>
        <v/>
      </c>
      <c r="Z16" s="58">
        <f>IF(AND(matrizOK,$B16="Motriz",OR(Z$2="Enlace",Z$2="Resultado"),'M1'!AJ23&gt;=1),'M1'!AJ23*1000000+(41-$A16)*1000+(41-Z$1),0)</f>
        <v/>
      </c>
      <c r="AA16" s="58">
        <f>IF(AND(matrizOK,$B16="Motriz",OR(AA$2="Enlace",AA$2="Resultado"),'M1'!AK23&gt;=1),'M1'!AK23*1000000+(41-$A16)*1000+(41-AA$1),0)</f>
        <v/>
      </c>
      <c r="AB16" s="58">
        <f>IF(AND(matrizOK,$B16="Motriz",OR(AB$2="Enlace",AB$2="Resultado"),'M1'!AL23&gt;=1),'M1'!AL23*1000000+(41-$A16)*1000+(41-AB$1),0)</f>
        <v/>
      </c>
      <c r="AC16" s="58">
        <f>IF(AND(matrizOK,$B16="Motriz",OR(AC$2="Enlace",AC$2="Resultado"),'M1'!AM23&gt;=1),'M1'!AM23*1000000+(41-$A16)*1000+(41-AC$1),0)</f>
        <v/>
      </c>
      <c r="AD16" s="58">
        <f>IF(AND(matrizOK,$B16="Motriz",OR(AD$2="Enlace",AD$2="Resultado"),'M1'!AN23&gt;=1),'M1'!AN23*1000000+(41-$A16)*1000+(41-AD$1),0)</f>
        <v/>
      </c>
      <c r="AE16" s="58">
        <f>IF(AND(matrizOK,$B16="Motriz",OR(AE$2="Enlace",AE$2="Resultado"),'M1'!AO23&gt;=1),'M1'!AO23*1000000+(41-$A16)*1000+(41-AE$1),0)</f>
        <v/>
      </c>
      <c r="AF16" s="58">
        <f>IF(AND(matrizOK,$B16="Motriz",OR(AF$2="Enlace",AF$2="Resultado"),'M1'!AP23&gt;=1),'M1'!AP23*1000000+(41-$A16)*1000+(41-AF$1),0)</f>
        <v/>
      </c>
      <c r="AG16" s="58">
        <f>IF(AND(matrizOK,$B16="Motriz",OR(AG$2="Enlace",AG$2="Resultado"),'M1'!AQ23&gt;=1),'M1'!AQ23*1000000+(41-$A16)*1000+(41-AG$1),0)</f>
        <v/>
      </c>
      <c r="AH16" s="58">
        <f>IF(AND(matrizOK,$B16="Motriz",OR(AH$2="Enlace",AH$2="Resultado"),'M1'!AR23&gt;=1),'M1'!AR23*1000000+(41-$A16)*1000+(41-AH$1),0)</f>
        <v/>
      </c>
      <c r="AI16" s="58">
        <f>IF(AND(matrizOK,$B16="Motriz",OR(AI$2="Enlace",AI$2="Resultado"),'M1'!AS23&gt;=1),'M1'!AS23*1000000+(41-$A16)*1000+(41-AI$1),0)</f>
        <v/>
      </c>
      <c r="AJ16" s="58">
        <f>IF(AND(matrizOK,$B16="Motriz",OR(AJ$2="Enlace",AJ$2="Resultado"),'M1'!AT23&gt;=1),'M1'!AT23*1000000+(41-$A16)*1000+(41-AJ$1),0)</f>
        <v/>
      </c>
      <c r="AK16" s="58">
        <f>IF(AND(matrizOK,$B16="Motriz",OR(AK$2="Enlace",AK$2="Resultado"),'M1'!AU23&gt;=1),'M1'!AU23*1000000+(41-$A16)*1000+(41-AK$1),0)</f>
        <v/>
      </c>
      <c r="AL16" s="58">
        <f>IF(AND(matrizOK,$B16="Motriz",OR(AL$2="Enlace",AL$2="Resultado"),'M1'!AV23&gt;=1),'M1'!AV23*1000000+(41-$A16)*1000+(41-AL$1),0)</f>
        <v/>
      </c>
      <c r="AM16" s="58">
        <f>IF(AND(matrizOK,$B16="Motriz",OR(AM$2="Enlace",AM$2="Resultado"),'M1'!AW23&gt;=1),'M1'!AW23*1000000+(41-$A16)*1000+(41-AM$1),0)</f>
        <v/>
      </c>
      <c r="AN16" s="58">
        <f>IF(AND(matrizOK,$B16="Motriz",OR(AN$2="Enlace",AN$2="Resultado"),'M1'!AX23&gt;=1),'M1'!AX23*1000000+(41-$A16)*1000+(41-AN$1),0)</f>
        <v/>
      </c>
      <c r="AO16" s="58">
        <f>IF(AND(matrizOK,$B16="Motriz",OR(AO$2="Enlace",AO$2="Resultado"),'M1'!AY23&gt;=1),'M1'!AY23*1000000+(41-$A16)*1000+(41-AO$1),0)</f>
        <v/>
      </c>
      <c r="AP16" s="58">
        <f>IF(AND(matrizOK,$B16="Motriz",OR(AP$2="Enlace",AP$2="Resultado"),'M1'!AZ23&gt;=1),'M1'!AZ23*1000000+(41-$A16)*1000+(41-AP$1),0)</f>
        <v/>
      </c>
    </row>
    <row r="17">
      <c r="A17" s="58" t="n">
        <v>15</v>
      </c>
      <c r="B17" s="58">
        <f>IF($A17&lt;=nVariables,INDEX('M6'!$I$10:$I$49,$A17),"")</f>
        <v/>
      </c>
      <c r="C17" s="58">
        <f>IF(AND(matrizOK,$B17="Motriz",OR(C$2="Enlace",C$2="Resultado"),'M1'!M24&gt;=1),'M1'!M24*1000000+(41-$A17)*1000+(41-C$1),0)</f>
        <v/>
      </c>
      <c r="D17" s="58">
        <f>IF(AND(matrizOK,$B17="Motriz",OR(D$2="Enlace",D$2="Resultado"),'M1'!N24&gt;=1),'M1'!N24*1000000+(41-$A17)*1000+(41-D$1),0)</f>
        <v/>
      </c>
      <c r="E17" s="58">
        <f>IF(AND(matrizOK,$B17="Motriz",OR(E$2="Enlace",E$2="Resultado"),'M1'!O24&gt;=1),'M1'!O24*1000000+(41-$A17)*1000+(41-E$1),0)</f>
        <v/>
      </c>
      <c r="F17" s="58">
        <f>IF(AND(matrizOK,$B17="Motriz",OR(F$2="Enlace",F$2="Resultado"),'M1'!P24&gt;=1),'M1'!P24*1000000+(41-$A17)*1000+(41-F$1),0)</f>
        <v/>
      </c>
      <c r="G17" s="58">
        <f>IF(AND(matrizOK,$B17="Motriz",OR(G$2="Enlace",G$2="Resultado"),'M1'!Q24&gt;=1),'M1'!Q24*1000000+(41-$A17)*1000+(41-G$1),0)</f>
        <v/>
      </c>
      <c r="H17" s="58">
        <f>IF(AND(matrizOK,$B17="Motriz",OR(H$2="Enlace",H$2="Resultado"),'M1'!R24&gt;=1),'M1'!R24*1000000+(41-$A17)*1000+(41-H$1),0)</f>
        <v/>
      </c>
      <c r="I17" s="58">
        <f>IF(AND(matrizOK,$B17="Motriz",OR(I$2="Enlace",I$2="Resultado"),'M1'!S24&gt;=1),'M1'!S24*1000000+(41-$A17)*1000+(41-I$1),0)</f>
        <v/>
      </c>
      <c r="J17" s="58">
        <f>IF(AND(matrizOK,$B17="Motriz",OR(J$2="Enlace",J$2="Resultado"),'M1'!T24&gt;=1),'M1'!T24*1000000+(41-$A17)*1000+(41-J$1),0)</f>
        <v/>
      </c>
      <c r="K17" s="58">
        <f>IF(AND(matrizOK,$B17="Motriz",OR(K$2="Enlace",K$2="Resultado"),'M1'!U24&gt;=1),'M1'!U24*1000000+(41-$A17)*1000+(41-K$1),0)</f>
        <v/>
      </c>
      <c r="L17" s="58">
        <f>IF(AND(matrizOK,$B17="Motriz",OR(L$2="Enlace",L$2="Resultado"),'M1'!V24&gt;=1),'M1'!V24*1000000+(41-$A17)*1000+(41-L$1),0)</f>
        <v/>
      </c>
      <c r="M17" s="58">
        <f>IF(AND(matrizOK,$B17="Motriz",OR(M$2="Enlace",M$2="Resultado"),'M1'!W24&gt;=1),'M1'!W24*1000000+(41-$A17)*1000+(41-M$1),0)</f>
        <v/>
      </c>
      <c r="N17" s="58">
        <f>IF(AND(matrizOK,$B17="Motriz",OR(N$2="Enlace",N$2="Resultado"),'M1'!X24&gt;=1),'M1'!X24*1000000+(41-$A17)*1000+(41-N$1),0)</f>
        <v/>
      </c>
      <c r="O17" s="58">
        <f>IF(AND(matrizOK,$B17="Motriz",OR(O$2="Enlace",O$2="Resultado"),'M1'!Y24&gt;=1),'M1'!Y24*1000000+(41-$A17)*1000+(41-O$1),0)</f>
        <v/>
      </c>
      <c r="P17" s="58">
        <f>IF(AND(matrizOK,$B17="Motriz",OR(P$2="Enlace",P$2="Resultado"),'M1'!Z24&gt;=1),'M1'!Z24*1000000+(41-$A17)*1000+(41-P$1),0)</f>
        <v/>
      </c>
      <c r="Q17" s="58">
        <f>IF(AND(matrizOK,$B17="Motriz",OR(Q$2="Enlace",Q$2="Resultado"),'M1'!AA24&gt;=1),'M1'!AA24*1000000+(41-$A17)*1000+(41-Q$1),0)</f>
        <v/>
      </c>
      <c r="R17" s="58">
        <f>IF(AND(matrizOK,$B17="Motriz",OR(R$2="Enlace",R$2="Resultado"),'M1'!AB24&gt;=1),'M1'!AB24*1000000+(41-$A17)*1000+(41-R$1),0)</f>
        <v/>
      </c>
      <c r="S17" s="58">
        <f>IF(AND(matrizOK,$B17="Motriz",OR(S$2="Enlace",S$2="Resultado"),'M1'!AC24&gt;=1),'M1'!AC24*1000000+(41-$A17)*1000+(41-S$1),0)</f>
        <v/>
      </c>
      <c r="T17" s="58">
        <f>IF(AND(matrizOK,$B17="Motriz",OR(T$2="Enlace",T$2="Resultado"),'M1'!AD24&gt;=1),'M1'!AD24*1000000+(41-$A17)*1000+(41-T$1),0)</f>
        <v/>
      </c>
      <c r="U17" s="58">
        <f>IF(AND(matrizOK,$B17="Motriz",OR(U$2="Enlace",U$2="Resultado"),'M1'!AE24&gt;=1),'M1'!AE24*1000000+(41-$A17)*1000+(41-U$1),0)</f>
        <v/>
      </c>
      <c r="V17" s="58">
        <f>IF(AND(matrizOK,$B17="Motriz",OR(V$2="Enlace",V$2="Resultado"),'M1'!AF24&gt;=1),'M1'!AF24*1000000+(41-$A17)*1000+(41-V$1),0)</f>
        <v/>
      </c>
      <c r="W17" s="58">
        <f>IF(AND(matrizOK,$B17="Motriz",OR(W$2="Enlace",W$2="Resultado"),'M1'!AG24&gt;=1),'M1'!AG24*1000000+(41-$A17)*1000+(41-W$1),0)</f>
        <v/>
      </c>
      <c r="X17" s="58">
        <f>IF(AND(matrizOK,$B17="Motriz",OR(X$2="Enlace",X$2="Resultado"),'M1'!AH24&gt;=1),'M1'!AH24*1000000+(41-$A17)*1000+(41-X$1),0)</f>
        <v/>
      </c>
      <c r="Y17" s="58">
        <f>IF(AND(matrizOK,$B17="Motriz",OR(Y$2="Enlace",Y$2="Resultado"),'M1'!AI24&gt;=1),'M1'!AI24*1000000+(41-$A17)*1000+(41-Y$1),0)</f>
        <v/>
      </c>
      <c r="Z17" s="58">
        <f>IF(AND(matrizOK,$B17="Motriz",OR(Z$2="Enlace",Z$2="Resultado"),'M1'!AJ24&gt;=1),'M1'!AJ24*1000000+(41-$A17)*1000+(41-Z$1),0)</f>
        <v/>
      </c>
      <c r="AA17" s="58">
        <f>IF(AND(matrizOK,$B17="Motriz",OR(AA$2="Enlace",AA$2="Resultado"),'M1'!AK24&gt;=1),'M1'!AK24*1000000+(41-$A17)*1000+(41-AA$1),0)</f>
        <v/>
      </c>
      <c r="AB17" s="58">
        <f>IF(AND(matrizOK,$B17="Motriz",OR(AB$2="Enlace",AB$2="Resultado"),'M1'!AL24&gt;=1),'M1'!AL24*1000000+(41-$A17)*1000+(41-AB$1),0)</f>
        <v/>
      </c>
      <c r="AC17" s="58">
        <f>IF(AND(matrizOK,$B17="Motriz",OR(AC$2="Enlace",AC$2="Resultado"),'M1'!AM24&gt;=1),'M1'!AM24*1000000+(41-$A17)*1000+(41-AC$1),0)</f>
        <v/>
      </c>
      <c r="AD17" s="58">
        <f>IF(AND(matrizOK,$B17="Motriz",OR(AD$2="Enlace",AD$2="Resultado"),'M1'!AN24&gt;=1),'M1'!AN24*1000000+(41-$A17)*1000+(41-AD$1),0)</f>
        <v/>
      </c>
      <c r="AE17" s="58">
        <f>IF(AND(matrizOK,$B17="Motriz",OR(AE$2="Enlace",AE$2="Resultado"),'M1'!AO24&gt;=1),'M1'!AO24*1000000+(41-$A17)*1000+(41-AE$1),0)</f>
        <v/>
      </c>
      <c r="AF17" s="58">
        <f>IF(AND(matrizOK,$B17="Motriz",OR(AF$2="Enlace",AF$2="Resultado"),'M1'!AP24&gt;=1),'M1'!AP24*1000000+(41-$A17)*1000+(41-AF$1),0)</f>
        <v/>
      </c>
      <c r="AG17" s="58">
        <f>IF(AND(matrizOK,$B17="Motriz",OR(AG$2="Enlace",AG$2="Resultado"),'M1'!AQ24&gt;=1),'M1'!AQ24*1000000+(41-$A17)*1000+(41-AG$1),0)</f>
        <v/>
      </c>
      <c r="AH17" s="58">
        <f>IF(AND(matrizOK,$B17="Motriz",OR(AH$2="Enlace",AH$2="Resultado"),'M1'!AR24&gt;=1),'M1'!AR24*1000000+(41-$A17)*1000+(41-AH$1),0)</f>
        <v/>
      </c>
      <c r="AI17" s="58">
        <f>IF(AND(matrizOK,$B17="Motriz",OR(AI$2="Enlace",AI$2="Resultado"),'M1'!AS24&gt;=1),'M1'!AS24*1000000+(41-$A17)*1000+(41-AI$1),0)</f>
        <v/>
      </c>
      <c r="AJ17" s="58">
        <f>IF(AND(matrizOK,$B17="Motriz",OR(AJ$2="Enlace",AJ$2="Resultado"),'M1'!AT24&gt;=1),'M1'!AT24*1000000+(41-$A17)*1000+(41-AJ$1),0)</f>
        <v/>
      </c>
      <c r="AK17" s="58">
        <f>IF(AND(matrizOK,$B17="Motriz",OR(AK$2="Enlace",AK$2="Resultado"),'M1'!AU24&gt;=1),'M1'!AU24*1000000+(41-$A17)*1000+(41-AK$1),0)</f>
        <v/>
      </c>
      <c r="AL17" s="58">
        <f>IF(AND(matrizOK,$B17="Motriz",OR(AL$2="Enlace",AL$2="Resultado"),'M1'!AV24&gt;=1),'M1'!AV24*1000000+(41-$A17)*1000+(41-AL$1),0)</f>
        <v/>
      </c>
      <c r="AM17" s="58">
        <f>IF(AND(matrizOK,$B17="Motriz",OR(AM$2="Enlace",AM$2="Resultado"),'M1'!AW24&gt;=1),'M1'!AW24*1000000+(41-$A17)*1000+(41-AM$1),0)</f>
        <v/>
      </c>
      <c r="AN17" s="58">
        <f>IF(AND(matrizOK,$B17="Motriz",OR(AN$2="Enlace",AN$2="Resultado"),'M1'!AX24&gt;=1),'M1'!AX24*1000000+(41-$A17)*1000+(41-AN$1),0)</f>
        <v/>
      </c>
      <c r="AO17" s="58">
        <f>IF(AND(matrizOK,$B17="Motriz",OR(AO$2="Enlace",AO$2="Resultado"),'M1'!AY24&gt;=1),'M1'!AY24*1000000+(41-$A17)*1000+(41-AO$1),0)</f>
        <v/>
      </c>
      <c r="AP17" s="58">
        <f>IF(AND(matrizOK,$B17="Motriz",OR(AP$2="Enlace",AP$2="Resultado"),'M1'!AZ24&gt;=1),'M1'!AZ24*1000000+(41-$A17)*1000+(41-AP$1),0)</f>
        <v/>
      </c>
    </row>
    <row r="18">
      <c r="A18" s="58" t="n">
        <v>16</v>
      </c>
      <c r="B18" s="58">
        <f>IF($A18&lt;=nVariables,INDEX('M6'!$I$10:$I$49,$A18),"")</f>
        <v/>
      </c>
      <c r="C18" s="58">
        <f>IF(AND(matrizOK,$B18="Motriz",OR(C$2="Enlace",C$2="Resultado"),'M1'!M25&gt;=1),'M1'!M25*1000000+(41-$A18)*1000+(41-C$1),0)</f>
        <v/>
      </c>
      <c r="D18" s="58">
        <f>IF(AND(matrizOK,$B18="Motriz",OR(D$2="Enlace",D$2="Resultado"),'M1'!N25&gt;=1),'M1'!N25*1000000+(41-$A18)*1000+(41-D$1),0)</f>
        <v/>
      </c>
      <c r="E18" s="58">
        <f>IF(AND(matrizOK,$B18="Motriz",OR(E$2="Enlace",E$2="Resultado"),'M1'!O25&gt;=1),'M1'!O25*1000000+(41-$A18)*1000+(41-E$1),0)</f>
        <v/>
      </c>
      <c r="F18" s="58">
        <f>IF(AND(matrizOK,$B18="Motriz",OR(F$2="Enlace",F$2="Resultado"),'M1'!P25&gt;=1),'M1'!P25*1000000+(41-$A18)*1000+(41-F$1),0)</f>
        <v/>
      </c>
      <c r="G18" s="58">
        <f>IF(AND(matrizOK,$B18="Motriz",OR(G$2="Enlace",G$2="Resultado"),'M1'!Q25&gt;=1),'M1'!Q25*1000000+(41-$A18)*1000+(41-G$1),0)</f>
        <v/>
      </c>
      <c r="H18" s="58">
        <f>IF(AND(matrizOK,$B18="Motriz",OR(H$2="Enlace",H$2="Resultado"),'M1'!R25&gt;=1),'M1'!R25*1000000+(41-$A18)*1000+(41-H$1),0)</f>
        <v/>
      </c>
      <c r="I18" s="58">
        <f>IF(AND(matrizOK,$B18="Motriz",OR(I$2="Enlace",I$2="Resultado"),'M1'!S25&gt;=1),'M1'!S25*1000000+(41-$A18)*1000+(41-I$1),0)</f>
        <v/>
      </c>
      <c r="J18" s="58">
        <f>IF(AND(matrizOK,$B18="Motriz",OR(J$2="Enlace",J$2="Resultado"),'M1'!T25&gt;=1),'M1'!T25*1000000+(41-$A18)*1000+(41-J$1),0)</f>
        <v/>
      </c>
      <c r="K18" s="58">
        <f>IF(AND(matrizOK,$B18="Motriz",OR(K$2="Enlace",K$2="Resultado"),'M1'!U25&gt;=1),'M1'!U25*1000000+(41-$A18)*1000+(41-K$1),0)</f>
        <v/>
      </c>
      <c r="L18" s="58">
        <f>IF(AND(matrizOK,$B18="Motriz",OR(L$2="Enlace",L$2="Resultado"),'M1'!V25&gt;=1),'M1'!V25*1000000+(41-$A18)*1000+(41-L$1),0)</f>
        <v/>
      </c>
      <c r="M18" s="58">
        <f>IF(AND(matrizOK,$B18="Motriz",OR(M$2="Enlace",M$2="Resultado"),'M1'!W25&gt;=1),'M1'!W25*1000000+(41-$A18)*1000+(41-M$1),0)</f>
        <v/>
      </c>
      <c r="N18" s="58">
        <f>IF(AND(matrizOK,$B18="Motriz",OR(N$2="Enlace",N$2="Resultado"),'M1'!X25&gt;=1),'M1'!X25*1000000+(41-$A18)*1000+(41-N$1),0)</f>
        <v/>
      </c>
      <c r="O18" s="58">
        <f>IF(AND(matrizOK,$B18="Motriz",OR(O$2="Enlace",O$2="Resultado"),'M1'!Y25&gt;=1),'M1'!Y25*1000000+(41-$A18)*1000+(41-O$1),0)</f>
        <v/>
      </c>
      <c r="P18" s="58">
        <f>IF(AND(matrizOK,$B18="Motriz",OR(P$2="Enlace",P$2="Resultado"),'M1'!Z25&gt;=1),'M1'!Z25*1000000+(41-$A18)*1000+(41-P$1),0)</f>
        <v/>
      </c>
      <c r="Q18" s="58">
        <f>IF(AND(matrizOK,$B18="Motriz",OR(Q$2="Enlace",Q$2="Resultado"),'M1'!AA25&gt;=1),'M1'!AA25*1000000+(41-$A18)*1000+(41-Q$1),0)</f>
        <v/>
      </c>
      <c r="R18" s="58">
        <f>IF(AND(matrizOK,$B18="Motriz",OR(R$2="Enlace",R$2="Resultado"),'M1'!AB25&gt;=1),'M1'!AB25*1000000+(41-$A18)*1000+(41-R$1),0)</f>
        <v/>
      </c>
      <c r="S18" s="58">
        <f>IF(AND(matrizOK,$B18="Motriz",OR(S$2="Enlace",S$2="Resultado"),'M1'!AC25&gt;=1),'M1'!AC25*1000000+(41-$A18)*1000+(41-S$1),0)</f>
        <v/>
      </c>
      <c r="T18" s="58">
        <f>IF(AND(matrizOK,$B18="Motriz",OR(T$2="Enlace",T$2="Resultado"),'M1'!AD25&gt;=1),'M1'!AD25*1000000+(41-$A18)*1000+(41-T$1),0)</f>
        <v/>
      </c>
      <c r="U18" s="58">
        <f>IF(AND(matrizOK,$B18="Motriz",OR(U$2="Enlace",U$2="Resultado"),'M1'!AE25&gt;=1),'M1'!AE25*1000000+(41-$A18)*1000+(41-U$1),0)</f>
        <v/>
      </c>
      <c r="V18" s="58">
        <f>IF(AND(matrizOK,$B18="Motriz",OR(V$2="Enlace",V$2="Resultado"),'M1'!AF25&gt;=1),'M1'!AF25*1000000+(41-$A18)*1000+(41-V$1),0)</f>
        <v/>
      </c>
      <c r="W18" s="58">
        <f>IF(AND(matrizOK,$B18="Motriz",OR(W$2="Enlace",W$2="Resultado"),'M1'!AG25&gt;=1),'M1'!AG25*1000000+(41-$A18)*1000+(41-W$1),0)</f>
        <v/>
      </c>
      <c r="X18" s="58">
        <f>IF(AND(matrizOK,$B18="Motriz",OR(X$2="Enlace",X$2="Resultado"),'M1'!AH25&gt;=1),'M1'!AH25*1000000+(41-$A18)*1000+(41-X$1),0)</f>
        <v/>
      </c>
      <c r="Y18" s="58">
        <f>IF(AND(matrizOK,$B18="Motriz",OR(Y$2="Enlace",Y$2="Resultado"),'M1'!AI25&gt;=1),'M1'!AI25*1000000+(41-$A18)*1000+(41-Y$1),0)</f>
        <v/>
      </c>
      <c r="Z18" s="58">
        <f>IF(AND(matrizOK,$B18="Motriz",OR(Z$2="Enlace",Z$2="Resultado"),'M1'!AJ25&gt;=1),'M1'!AJ25*1000000+(41-$A18)*1000+(41-Z$1),0)</f>
        <v/>
      </c>
      <c r="AA18" s="58">
        <f>IF(AND(matrizOK,$B18="Motriz",OR(AA$2="Enlace",AA$2="Resultado"),'M1'!AK25&gt;=1),'M1'!AK25*1000000+(41-$A18)*1000+(41-AA$1),0)</f>
        <v/>
      </c>
      <c r="AB18" s="58">
        <f>IF(AND(matrizOK,$B18="Motriz",OR(AB$2="Enlace",AB$2="Resultado"),'M1'!AL25&gt;=1),'M1'!AL25*1000000+(41-$A18)*1000+(41-AB$1),0)</f>
        <v/>
      </c>
      <c r="AC18" s="58">
        <f>IF(AND(matrizOK,$B18="Motriz",OR(AC$2="Enlace",AC$2="Resultado"),'M1'!AM25&gt;=1),'M1'!AM25*1000000+(41-$A18)*1000+(41-AC$1),0)</f>
        <v/>
      </c>
      <c r="AD18" s="58">
        <f>IF(AND(matrizOK,$B18="Motriz",OR(AD$2="Enlace",AD$2="Resultado"),'M1'!AN25&gt;=1),'M1'!AN25*1000000+(41-$A18)*1000+(41-AD$1),0)</f>
        <v/>
      </c>
      <c r="AE18" s="58">
        <f>IF(AND(matrizOK,$B18="Motriz",OR(AE$2="Enlace",AE$2="Resultado"),'M1'!AO25&gt;=1),'M1'!AO25*1000000+(41-$A18)*1000+(41-AE$1),0)</f>
        <v/>
      </c>
      <c r="AF18" s="58">
        <f>IF(AND(matrizOK,$B18="Motriz",OR(AF$2="Enlace",AF$2="Resultado"),'M1'!AP25&gt;=1),'M1'!AP25*1000000+(41-$A18)*1000+(41-AF$1),0)</f>
        <v/>
      </c>
      <c r="AG18" s="58">
        <f>IF(AND(matrizOK,$B18="Motriz",OR(AG$2="Enlace",AG$2="Resultado"),'M1'!AQ25&gt;=1),'M1'!AQ25*1000000+(41-$A18)*1000+(41-AG$1),0)</f>
        <v/>
      </c>
      <c r="AH18" s="58">
        <f>IF(AND(matrizOK,$B18="Motriz",OR(AH$2="Enlace",AH$2="Resultado"),'M1'!AR25&gt;=1),'M1'!AR25*1000000+(41-$A18)*1000+(41-AH$1),0)</f>
        <v/>
      </c>
      <c r="AI18" s="58">
        <f>IF(AND(matrizOK,$B18="Motriz",OR(AI$2="Enlace",AI$2="Resultado"),'M1'!AS25&gt;=1),'M1'!AS25*1000000+(41-$A18)*1000+(41-AI$1),0)</f>
        <v/>
      </c>
      <c r="AJ18" s="58">
        <f>IF(AND(matrizOK,$B18="Motriz",OR(AJ$2="Enlace",AJ$2="Resultado"),'M1'!AT25&gt;=1),'M1'!AT25*1000000+(41-$A18)*1000+(41-AJ$1),0)</f>
        <v/>
      </c>
      <c r="AK18" s="58">
        <f>IF(AND(matrizOK,$B18="Motriz",OR(AK$2="Enlace",AK$2="Resultado"),'M1'!AU25&gt;=1),'M1'!AU25*1000000+(41-$A18)*1000+(41-AK$1),0)</f>
        <v/>
      </c>
      <c r="AL18" s="58">
        <f>IF(AND(matrizOK,$B18="Motriz",OR(AL$2="Enlace",AL$2="Resultado"),'M1'!AV25&gt;=1),'M1'!AV25*1000000+(41-$A18)*1000+(41-AL$1),0)</f>
        <v/>
      </c>
      <c r="AM18" s="58">
        <f>IF(AND(matrizOK,$B18="Motriz",OR(AM$2="Enlace",AM$2="Resultado"),'M1'!AW25&gt;=1),'M1'!AW25*1000000+(41-$A18)*1000+(41-AM$1),0)</f>
        <v/>
      </c>
      <c r="AN18" s="58">
        <f>IF(AND(matrizOK,$B18="Motriz",OR(AN$2="Enlace",AN$2="Resultado"),'M1'!AX25&gt;=1),'M1'!AX25*1000000+(41-$A18)*1000+(41-AN$1),0)</f>
        <v/>
      </c>
      <c r="AO18" s="58">
        <f>IF(AND(matrizOK,$B18="Motriz",OR(AO$2="Enlace",AO$2="Resultado"),'M1'!AY25&gt;=1),'M1'!AY25*1000000+(41-$A18)*1000+(41-AO$1),0)</f>
        <v/>
      </c>
      <c r="AP18" s="58">
        <f>IF(AND(matrizOK,$B18="Motriz",OR(AP$2="Enlace",AP$2="Resultado"),'M1'!AZ25&gt;=1),'M1'!AZ25*1000000+(41-$A18)*1000+(41-AP$1),0)</f>
        <v/>
      </c>
    </row>
    <row r="19">
      <c r="A19" s="58" t="n">
        <v>17</v>
      </c>
      <c r="B19" s="58">
        <f>IF($A19&lt;=nVariables,INDEX('M6'!$I$10:$I$49,$A19),"")</f>
        <v/>
      </c>
      <c r="C19" s="58">
        <f>IF(AND(matrizOK,$B19="Motriz",OR(C$2="Enlace",C$2="Resultado"),'M1'!M26&gt;=1),'M1'!M26*1000000+(41-$A19)*1000+(41-C$1),0)</f>
        <v/>
      </c>
      <c r="D19" s="58">
        <f>IF(AND(matrizOK,$B19="Motriz",OR(D$2="Enlace",D$2="Resultado"),'M1'!N26&gt;=1),'M1'!N26*1000000+(41-$A19)*1000+(41-D$1),0)</f>
        <v/>
      </c>
      <c r="E19" s="58">
        <f>IF(AND(matrizOK,$B19="Motriz",OR(E$2="Enlace",E$2="Resultado"),'M1'!O26&gt;=1),'M1'!O26*1000000+(41-$A19)*1000+(41-E$1),0)</f>
        <v/>
      </c>
      <c r="F19" s="58">
        <f>IF(AND(matrizOK,$B19="Motriz",OR(F$2="Enlace",F$2="Resultado"),'M1'!P26&gt;=1),'M1'!P26*1000000+(41-$A19)*1000+(41-F$1),0)</f>
        <v/>
      </c>
      <c r="G19" s="58">
        <f>IF(AND(matrizOK,$B19="Motriz",OR(G$2="Enlace",G$2="Resultado"),'M1'!Q26&gt;=1),'M1'!Q26*1000000+(41-$A19)*1000+(41-G$1),0)</f>
        <v/>
      </c>
      <c r="H19" s="58">
        <f>IF(AND(matrizOK,$B19="Motriz",OR(H$2="Enlace",H$2="Resultado"),'M1'!R26&gt;=1),'M1'!R26*1000000+(41-$A19)*1000+(41-H$1),0)</f>
        <v/>
      </c>
      <c r="I19" s="58">
        <f>IF(AND(matrizOK,$B19="Motriz",OR(I$2="Enlace",I$2="Resultado"),'M1'!S26&gt;=1),'M1'!S26*1000000+(41-$A19)*1000+(41-I$1),0)</f>
        <v/>
      </c>
      <c r="J19" s="58">
        <f>IF(AND(matrizOK,$B19="Motriz",OR(J$2="Enlace",J$2="Resultado"),'M1'!T26&gt;=1),'M1'!T26*1000000+(41-$A19)*1000+(41-J$1),0)</f>
        <v/>
      </c>
      <c r="K19" s="58">
        <f>IF(AND(matrizOK,$B19="Motriz",OR(K$2="Enlace",K$2="Resultado"),'M1'!U26&gt;=1),'M1'!U26*1000000+(41-$A19)*1000+(41-K$1),0)</f>
        <v/>
      </c>
      <c r="L19" s="58">
        <f>IF(AND(matrizOK,$B19="Motriz",OR(L$2="Enlace",L$2="Resultado"),'M1'!V26&gt;=1),'M1'!V26*1000000+(41-$A19)*1000+(41-L$1),0)</f>
        <v/>
      </c>
      <c r="M19" s="58">
        <f>IF(AND(matrizOK,$B19="Motriz",OR(M$2="Enlace",M$2="Resultado"),'M1'!W26&gt;=1),'M1'!W26*1000000+(41-$A19)*1000+(41-M$1),0)</f>
        <v/>
      </c>
      <c r="N19" s="58">
        <f>IF(AND(matrizOK,$B19="Motriz",OR(N$2="Enlace",N$2="Resultado"),'M1'!X26&gt;=1),'M1'!X26*1000000+(41-$A19)*1000+(41-N$1),0)</f>
        <v/>
      </c>
      <c r="O19" s="58">
        <f>IF(AND(matrizOK,$B19="Motriz",OR(O$2="Enlace",O$2="Resultado"),'M1'!Y26&gt;=1),'M1'!Y26*1000000+(41-$A19)*1000+(41-O$1),0)</f>
        <v/>
      </c>
      <c r="P19" s="58">
        <f>IF(AND(matrizOK,$B19="Motriz",OR(P$2="Enlace",P$2="Resultado"),'M1'!Z26&gt;=1),'M1'!Z26*1000000+(41-$A19)*1000+(41-P$1),0)</f>
        <v/>
      </c>
      <c r="Q19" s="58">
        <f>IF(AND(matrizOK,$B19="Motriz",OR(Q$2="Enlace",Q$2="Resultado"),'M1'!AA26&gt;=1),'M1'!AA26*1000000+(41-$A19)*1000+(41-Q$1),0)</f>
        <v/>
      </c>
      <c r="R19" s="58">
        <f>IF(AND(matrizOK,$B19="Motriz",OR(R$2="Enlace",R$2="Resultado"),'M1'!AB26&gt;=1),'M1'!AB26*1000000+(41-$A19)*1000+(41-R$1),0)</f>
        <v/>
      </c>
      <c r="S19" s="58">
        <f>IF(AND(matrizOK,$B19="Motriz",OR(S$2="Enlace",S$2="Resultado"),'M1'!AC26&gt;=1),'M1'!AC26*1000000+(41-$A19)*1000+(41-S$1),0)</f>
        <v/>
      </c>
      <c r="T19" s="58">
        <f>IF(AND(matrizOK,$B19="Motriz",OR(T$2="Enlace",T$2="Resultado"),'M1'!AD26&gt;=1),'M1'!AD26*1000000+(41-$A19)*1000+(41-T$1),0)</f>
        <v/>
      </c>
      <c r="U19" s="58">
        <f>IF(AND(matrizOK,$B19="Motriz",OR(U$2="Enlace",U$2="Resultado"),'M1'!AE26&gt;=1),'M1'!AE26*1000000+(41-$A19)*1000+(41-U$1),0)</f>
        <v/>
      </c>
      <c r="V19" s="58">
        <f>IF(AND(matrizOK,$B19="Motriz",OR(V$2="Enlace",V$2="Resultado"),'M1'!AF26&gt;=1),'M1'!AF26*1000000+(41-$A19)*1000+(41-V$1),0)</f>
        <v/>
      </c>
      <c r="W19" s="58">
        <f>IF(AND(matrizOK,$B19="Motriz",OR(W$2="Enlace",W$2="Resultado"),'M1'!AG26&gt;=1),'M1'!AG26*1000000+(41-$A19)*1000+(41-W$1),0)</f>
        <v/>
      </c>
      <c r="X19" s="58">
        <f>IF(AND(matrizOK,$B19="Motriz",OR(X$2="Enlace",X$2="Resultado"),'M1'!AH26&gt;=1),'M1'!AH26*1000000+(41-$A19)*1000+(41-X$1),0)</f>
        <v/>
      </c>
      <c r="Y19" s="58">
        <f>IF(AND(matrizOK,$B19="Motriz",OR(Y$2="Enlace",Y$2="Resultado"),'M1'!AI26&gt;=1),'M1'!AI26*1000000+(41-$A19)*1000+(41-Y$1),0)</f>
        <v/>
      </c>
      <c r="Z19" s="58">
        <f>IF(AND(matrizOK,$B19="Motriz",OR(Z$2="Enlace",Z$2="Resultado"),'M1'!AJ26&gt;=1),'M1'!AJ26*1000000+(41-$A19)*1000+(41-Z$1),0)</f>
        <v/>
      </c>
      <c r="AA19" s="58">
        <f>IF(AND(matrizOK,$B19="Motriz",OR(AA$2="Enlace",AA$2="Resultado"),'M1'!AK26&gt;=1),'M1'!AK26*1000000+(41-$A19)*1000+(41-AA$1),0)</f>
        <v/>
      </c>
      <c r="AB19" s="58">
        <f>IF(AND(matrizOK,$B19="Motriz",OR(AB$2="Enlace",AB$2="Resultado"),'M1'!AL26&gt;=1),'M1'!AL26*1000000+(41-$A19)*1000+(41-AB$1),0)</f>
        <v/>
      </c>
      <c r="AC19" s="58">
        <f>IF(AND(matrizOK,$B19="Motriz",OR(AC$2="Enlace",AC$2="Resultado"),'M1'!AM26&gt;=1),'M1'!AM26*1000000+(41-$A19)*1000+(41-AC$1),0)</f>
        <v/>
      </c>
      <c r="AD19" s="58">
        <f>IF(AND(matrizOK,$B19="Motriz",OR(AD$2="Enlace",AD$2="Resultado"),'M1'!AN26&gt;=1),'M1'!AN26*1000000+(41-$A19)*1000+(41-AD$1),0)</f>
        <v/>
      </c>
      <c r="AE19" s="58">
        <f>IF(AND(matrizOK,$B19="Motriz",OR(AE$2="Enlace",AE$2="Resultado"),'M1'!AO26&gt;=1),'M1'!AO26*1000000+(41-$A19)*1000+(41-AE$1),0)</f>
        <v/>
      </c>
      <c r="AF19" s="58">
        <f>IF(AND(matrizOK,$B19="Motriz",OR(AF$2="Enlace",AF$2="Resultado"),'M1'!AP26&gt;=1),'M1'!AP26*1000000+(41-$A19)*1000+(41-AF$1),0)</f>
        <v/>
      </c>
      <c r="AG19" s="58">
        <f>IF(AND(matrizOK,$B19="Motriz",OR(AG$2="Enlace",AG$2="Resultado"),'M1'!AQ26&gt;=1),'M1'!AQ26*1000000+(41-$A19)*1000+(41-AG$1),0)</f>
        <v/>
      </c>
      <c r="AH19" s="58">
        <f>IF(AND(matrizOK,$B19="Motriz",OR(AH$2="Enlace",AH$2="Resultado"),'M1'!AR26&gt;=1),'M1'!AR26*1000000+(41-$A19)*1000+(41-AH$1),0)</f>
        <v/>
      </c>
      <c r="AI19" s="58">
        <f>IF(AND(matrizOK,$B19="Motriz",OR(AI$2="Enlace",AI$2="Resultado"),'M1'!AS26&gt;=1),'M1'!AS26*1000000+(41-$A19)*1000+(41-AI$1),0)</f>
        <v/>
      </c>
      <c r="AJ19" s="58">
        <f>IF(AND(matrizOK,$B19="Motriz",OR(AJ$2="Enlace",AJ$2="Resultado"),'M1'!AT26&gt;=1),'M1'!AT26*1000000+(41-$A19)*1000+(41-AJ$1),0)</f>
        <v/>
      </c>
      <c r="AK19" s="58">
        <f>IF(AND(matrizOK,$B19="Motriz",OR(AK$2="Enlace",AK$2="Resultado"),'M1'!AU26&gt;=1),'M1'!AU26*1000000+(41-$A19)*1000+(41-AK$1),0)</f>
        <v/>
      </c>
      <c r="AL19" s="58">
        <f>IF(AND(matrizOK,$B19="Motriz",OR(AL$2="Enlace",AL$2="Resultado"),'M1'!AV26&gt;=1),'M1'!AV26*1000000+(41-$A19)*1000+(41-AL$1),0)</f>
        <v/>
      </c>
      <c r="AM19" s="58">
        <f>IF(AND(matrizOK,$B19="Motriz",OR(AM$2="Enlace",AM$2="Resultado"),'M1'!AW26&gt;=1),'M1'!AW26*1000000+(41-$A19)*1000+(41-AM$1),0)</f>
        <v/>
      </c>
      <c r="AN19" s="58">
        <f>IF(AND(matrizOK,$B19="Motriz",OR(AN$2="Enlace",AN$2="Resultado"),'M1'!AX26&gt;=1),'M1'!AX26*1000000+(41-$A19)*1000+(41-AN$1),0)</f>
        <v/>
      </c>
      <c r="AO19" s="58">
        <f>IF(AND(matrizOK,$B19="Motriz",OR(AO$2="Enlace",AO$2="Resultado"),'M1'!AY26&gt;=1),'M1'!AY26*1000000+(41-$A19)*1000+(41-AO$1),0)</f>
        <v/>
      </c>
      <c r="AP19" s="58">
        <f>IF(AND(matrizOK,$B19="Motriz",OR(AP$2="Enlace",AP$2="Resultado"),'M1'!AZ26&gt;=1),'M1'!AZ26*1000000+(41-$A19)*1000+(41-AP$1),0)</f>
        <v/>
      </c>
    </row>
    <row r="20">
      <c r="A20" s="58" t="n">
        <v>18</v>
      </c>
      <c r="B20" s="58">
        <f>IF($A20&lt;=nVariables,INDEX('M6'!$I$10:$I$49,$A20),"")</f>
        <v/>
      </c>
      <c r="C20" s="58">
        <f>IF(AND(matrizOK,$B20="Motriz",OR(C$2="Enlace",C$2="Resultado"),'M1'!M27&gt;=1),'M1'!M27*1000000+(41-$A20)*1000+(41-C$1),0)</f>
        <v/>
      </c>
      <c r="D20" s="58">
        <f>IF(AND(matrizOK,$B20="Motriz",OR(D$2="Enlace",D$2="Resultado"),'M1'!N27&gt;=1),'M1'!N27*1000000+(41-$A20)*1000+(41-D$1),0)</f>
        <v/>
      </c>
      <c r="E20" s="58">
        <f>IF(AND(matrizOK,$B20="Motriz",OR(E$2="Enlace",E$2="Resultado"),'M1'!O27&gt;=1),'M1'!O27*1000000+(41-$A20)*1000+(41-E$1),0)</f>
        <v/>
      </c>
      <c r="F20" s="58">
        <f>IF(AND(matrizOK,$B20="Motriz",OR(F$2="Enlace",F$2="Resultado"),'M1'!P27&gt;=1),'M1'!P27*1000000+(41-$A20)*1000+(41-F$1),0)</f>
        <v/>
      </c>
      <c r="G20" s="58">
        <f>IF(AND(matrizOK,$B20="Motriz",OR(G$2="Enlace",G$2="Resultado"),'M1'!Q27&gt;=1),'M1'!Q27*1000000+(41-$A20)*1000+(41-G$1),0)</f>
        <v/>
      </c>
      <c r="H20" s="58">
        <f>IF(AND(matrizOK,$B20="Motriz",OR(H$2="Enlace",H$2="Resultado"),'M1'!R27&gt;=1),'M1'!R27*1000000+(41-$A20)*1000+(41-H$1),0)</f>
        <v/>
      </c>
      <c r="I20" s="58">
        <f>IF(AND(matrizOK,$B20="Motriz",OR(I$2="Enlace",I$2="Resultado"),'M1'!S27&gt;=1),'M1'!S27*1000000+(41-$A20)*1000+(41-I$1),0)</f>
        <v/>
      </c>
      <c r="J20" s="58">
        <f>IF(AND(matrizOK,$B20="Motriz",OR(J$2="Enlace",J$2="Resultado"),'M1'!T27&gt;=1),'M1'!T27*1000000+(41-$A20)*1000+(41-J$1),0)</f>
        <v/>
      </c>
      <c r="K20" s="58">
        <f>IF(AND(matrizOK,$B20="Motriz",OR(K$2="Enlace",K$2="Resultado"),'M1'!U27&gt;=1),'M1'!U27*1000000+(41-$A20)*1000+(41-K$1),0)</f>
        <v/>
      </c>
      <c r="L20" s="58">
        <f>IF(AND(matrizOK,$B20="Motriz",OR(L$2="Enlace",L$2="Resultado"),'M1'!V27&gt;=1),'M1'!V27*1000000+(41-$A20)*1000+(41-L$1),0)</f>
        <v/>
      </c>
      <c r="M20" s="58">
        <f>IF(AND(matrizOK,$B20="Motriz",OR(M$2="Enlace",M$2="Resultado"),'M1'!W27&gt;=1),'M1'!W27*1000000+(41-$A20)*1000+(41-M$1),0)</f>
        <v/>
      </c>
      <c r="N20" s="58">
        <f>IF(AND(matrizOK,$B20="Motriz",OR(N$2="Enlace",N$2="Resultado"),'M1'!X27&gt;=1),'M1'!X27*1000000+(41-$A20)*1000+(41-N$1),0)</f>
        <v/>
      </c>
      <c r="O20" s="58">
        <f>IF(AND(matrizOK,$B20="Motriz",OR(O$2="Enlace",O$2="Resultado"),'M1'!Y27&gt;=1),'M1'!Y27*1000000+(41-$A20)*1000+(41-O$1),0)</f>
        <v/>
      </c>
      <c r="P20" s="58">
        <f>IF(AND(matrizOK,$B20="Motriz",OR(P$2="Enlace",P$2="Resultado"),'M1'!Z27&gt;=1),'M1'!Z27*1000000+(41-$A20)*1000+(41-P$1),0)</f>
        <v/>
      </c>
      <c r="Q20" s="58">
        <f>IF(AND(matrizOK,$B20="Motriz",OR(Q$2="Enlace",Q$2="Resultado"),'M1'!AA27&gt;=1),'M1'!AA27*1000000+(41-$A20)*1000+(41-Q$1),0)</f>
        <v/>
      </c>
      <c r="R20" s="58">
        <f>IF(AND(matrizOK,$B20="Motriz",OR(R$2="Enlace",R$2="Resultado"),'M1'!AB27&gt;=1),'M1'!AB27*1000000+(41-$A20)*1000+(41-R$1),0)</f>
        <v/>
      </c>
      <c r="S20" s="58">
        <f>IF(AND(matrizOK,$B20="Motriz",OR(S$2="Enlace",S$2="Resultado"),'M1'!AC27&gt;=1),'M1'!AC27*1000000+(41-$A20)*1000+(41-S$1),0)</f>
        <v/>
      </c>
      <c r="T20" s="58">
        <f>IF(AND(matrizOK,$B20="Motriz",OR(T$2="Enlace",T$2="Resultado"),'M1'!AD27&gt;=1),'M1'!AD27*1000000+(41-$A20)*1000+(41-T$1),0)</f>
        <v/>
      </c>
      <c r="U20" s="58">
        <f>IF(AND(matrizOK,$B20="Motriz",OR(U$2="Enlace",U$2="Resultado"),'M1'!AE27&gt;=1),'M1'!AE27*1000000+(41-$A20)*1000+(41-U$1),0)</f>
        <v/>
      </c>
      <c r="V20" s="58">
        <f>IF(AND(matrizOK,$B20="Motriz",OR(V$2="Enlace",V$2="Resultado"),'M1'!AF27&gt;=1),'M1'!AF27*1000000+(41-$A20)*1000+(41-V$1),0)</f>
        <v/>
      </c>
      <c r="W20" s="58">
        <f>IF(AND(matrizOK,$B20="Motriz",OR(W$2="Enlace",W$2="Resultado"),'M1'!AG27&gt;=1),'M1'!AG27*1000000+(41-$A20)*1000+(41-W$1),0)</f>
        <v/>
      </c>
      <c r="X20" s="58">
        <f>IF(AND(matrizOK,$B20="Motriz",OR(X$2="Enlace",X$2="Resultado"),'M1'!AH27&gt;=1),'M1'!AH27*1000000+(41-$A20)*1000+(41-X$1),0)</f>
        <v/>
      </c>
      <c r="Y20" s="58">
        <f>IF(AND(matrizOK,$B20="Motriz",OR(Y$2="Enlace",Y$2="Resultado"),'M1'!AI27&gt;=1),'M1'!AI27*1000000+(41-$A20)*1000+(41-Y$1),0)</f>
        <v/>
      </c>
      <c r="Z20" s="58">
        <f>IF(AND(matrizOK,$B20="Motriz",OR(Z$2="Enlace",Z$2="Resultado"),'M1'!AJ27&gt;=1),'M1'!AJ27*1000000+(41-$A20)*1000+(41-Z$1),0)</f>
        <v/>
      </c>
      <c r="AA20" s="58">
        <f>IF(AND(matrizOK,$B20="Motriz",OR(AA$2="Enlace",AA$2="Resultado"),'M1'!AK27&gt;=1),'M1'!AK27*1000000+(41-$A20)*1000+(41-AA$1),0)</f>
        <v/>
      </c>
      <c r="AB20" s="58">
        <f>IF(AND(matrizOK,$B20="Motriz",OR(AB$2="Enlace",AB$2="Resultado"),'M1'!AL27&gt;=1),'M1'!AL27*1000000+(41-$A20)*1000+(41-AB$1),0)</f>
        <v/>
      </c>
      <c r="AC20" s="58">
        <f>IF(AND(matrizOK,$B20="Motriz",OR(AC$2="Enlace",AC$2="Resultado"),'M1'!AM27&gt;=1),'M1'!AM27*1000000+(41-$A20)*1000+(41-AC$1),0)</f>
        <v/>
      </c>
      <c r="AD20" s="58">
        <f>IF(AND(matrizOK,$B20="Motriz",OR(AD$2="Enlace",AD$2="Resultado"),'M1'!AN27&gt;=1),'M1'!AN27*1000000+(41-$A20)*1000+(41-AD$1),0)</f>
        <v/>
      </c>
      <c r="AE20" s="58">
        <f>IF(AND(matrizOK,$B20="Motriz",OR(AE$2="Enlace",AE$2="Resultado"),'M1'!AO27&gt;=1),'M1'!AO27*1000000+(41-$A20)*1000+(41-AE$1),0)</f>
        <v/>
      </c>
      <c r="AF20" s="58">
        <f>IF(AND(matrizOK,$B20="Motriz",OR(AF$2="Enlace",AF$2="Resultado"),'M1'!AP27&gt;=1),'M1'!AP27*1000000+(41-$A20)*1000+(41-AF$1),0)</f>
        <v/>
      </c>
      <c r="AG20" s="58">
        <f>IF(AND(matrizOK,$B20="Motriz",OR(AG$2="Enlace",AG$2="Resultado"),'M1'!AQ27&gt;=1),'M1'!AQ27*1000000+(41-$A20)*1000+(41-AG$1),0)</f>
        <v/>
      </c>
      <c r="AH20" s="58">
        <f>IF(AND(matrizOK,$B20="Motriz",OR(AH$2="Enlace",AH$2="Resultado"),'M1'!AR27&gt;=1),'M1'!AR27*1000000+(41-$A20)*1000+(41-AH$1),0)</f>
        <v/>
      </c>
      <c r="AI20" s="58">
        <f>IF(AND(matrizOK,$B20="Motriz",OR(AI$2="Enlace",AI$2="Resultado"),'M1'!AS27&gt;=1),'M1'!AS27*1000000+(41-$A20)*1000+(41-AI$1),0)</f>
        <v/>
      </c>
      <c r="AJ20" s="58">
        <f>IF(AND(matrizOK,$B20="Motriz",OR(AJ$2="Enlace",AJ$2="Resultado"),'M1'!AT27&gt;=1),'M1'!AT27*1000000+(41-$A20)*1000+(41-AJ$1),0)</f>
        <v/>
      </c>
      <c r="AK20" s="58">
        <f>IF(AND(matrizOK,$B20="Motriz",OR(AK$2="Enlace",AK$2="Resultado"),'M1'!AU27&gt;=1),'M1'!AU27*1000000+(41-$A20)*1000+(41-AK$1),0)</f>
        <v/>
      </c>
      <c r="AL20" s="58">
        <f>IF(AND(matrizOK,$B20="Motriz",OR(AL$2="Enlace",AL$2="Resultado"),'M1'!AV27&gt;=1),'M1'!AV27*1000000+(41-$A20)*1000+(41-AL$1),0)</f>
        <v/>
      </c>
      <c r="AM20" s="58">
        <f>IF(AND(matrizOK,$B20="Motriz",OR(AM$2="Enlace",AM$2="Resultado"),'M1'!AW27&gt;=1),'M1'!AW27*1000000+(41-$A20)*1000+(41-AM$1),0)</f>
        <v/>
      </c>
      <c r="AN20" s="58">
        <f>IF(AND(matrizOK,$B20="Motriz",OR(AN$2="Enlace",AN$2="Resultado"),'M1'!AX27&gt;=1),'M1'!AX27*1000000+(41-$A20)*1000+(41-AN$1),0)</f>
        <v/>
      </c>
      <c r="AO20" s="58">
        <f>IF(AND(matrizOK,$B20="Motriz",OR(AO$2="Enlace",AO$2="Resultado"),'M1'!AY27&gt;=1),'M1'!AY27*1000000+(41-$A20)*1000+(41-AO$1),0)</f>
        <v/>
      </c>
      <c r="AP20" s="58">
        <f>IF(AND(matrizOK,$B20="Motriz",OR(AP$2="Enlace",AP$2="Resultado"),'M1'!AZ27&gt;=1),'M1'!AZ27*1000000+(41-$A20)*1000+(41-AP$1),0)</f>
        <v/>
      </c>
    </row>
    <row r="21">
      <c r="A21" s="58" t="n">
        <v>19</v>
      </c>
      <c r="B21" s="58">
        <f>IF($A21&lt;=nVariables,INDEX('M6'!$I$10:$I$49,$A21),"")</f>
        <v/>
      </c>
      <c r="C21" s="58">
        <f>IF(AND(matrizOK,$B21="Motriz",OR(C$2="Enlace",C$2="Resultado"),'M1'!M28&gt;=1),'M1'!M28*1000000+(41-$A21)*1000+(41-C$1),0)</f>
        <v/>
      </c>
      <c r="D21" s="58">
        <f>IF(AND(matrizOK,$B21="Motriz",OR(D$2="Enlace",D$2="Resultado"),'M1'!N28&gt;=1),'M1'!N28*1000000+(41-$A21)*1000+(41-D$1),0)</f>
        <v/>
      </c>
      <c r="E21" s="58">
        <f>IF(AND(matrizOK,$B21="Motriz",OR(E$2="Enlace",E$2="Resultado"),'M1'!O28&gt;=1),'M1'!O28*1000000+(41-$A21)*1000+(41-E$1),0)</f>
        <v/>
      </c>
      <c r="F21" s="58">
        <f>IF(AND(matrizOK,$B21="Motriz",OR(F$2="Enlace",F$2="Resultado"),'M1'!P28&gt;=1),'M1'!P28*1000000+(41-$A21)*1000+(41-F$1),0)</f>
        <v/>
      </c>
      <c r="G21" s="58">
        <f>IF(AND(matrizOK,$B21="Motriz",OR(G$2="Enlace",G$2="Resultado"),'M1'!Q28&gt;=1),'M1'!Q28*1000000+(41-$A21)*1000+(41-G$1),0)</f>
        <v/>
      </c>
      <c r="H21" s="58">
        <f>IF(AND(matrizOK,$B21="Motriz",OR(H$2="Enlace",H$2="Resultado"),'M1'!R28&gt;=1),'M1'!R28*1000000+(41-$A21)*1000+(41-H$1),0)</f>
        <v/>
      </c>
      <c r="I21" s="58">
        <f>IF(AND(matrizOK,$B21="Motriz",OR(I$2="Enlace",I$2="Resultado"),'M1'!S28&gt;=1),'M1'!S28*1000000+(41-$A21)*1000+(41-I$1),0)</f>
        <v/>
      </c>
      <c r="J21" s="58">
        <f>IF(AND(matrizOK,$B21="Motriz",OR(J$2="Enlace",J$2="Resultado"),'M1'!T28&gt;=1),'M1'!T28*1000000+(41-$A21)*1000+(41-J$1),0)</f>
        <v/>
      </c>
      <c r="K21" s="58">
        <f>IF(AND(matrizOK,$B21="Motriz",OR(K$2="Enlace",K$2="Resultado"),'M1'!U28&gt;=1),'M1'!U28*1000000+(41-$A21)*1000+(41-K$1),0)</f>
        <v/>
      </c>
      <c r="L21" s="58">
        <f>IF(AND(matrizOK,$B21="Motriz",OR(L$2="Enlace",L$2="Resultado"),'M1'!V28&gt;=1),'M1'!V28*1000000+(41-$A21)*1000+(41-L$1),0)</f>
        <v/>
      </c>
      <c r="M21" s="58">
        <f>IF(AND(matrizOK,$B21="Motriz",OR(M$2="Enlace",M$2="Resultado"),'M1'!W28&gt;=1),'M1'!W28*1000000+(41-$A21)*1000+(41-M$1),0)</f>
        <v/>
      </c>
      <c r="N21" s="58">
        <f>IF(AND(matrizOK,$B21="Motriz",OR(N$2="Enlace",N$2="Resultado"),'M1'!X28&gt;=1),'M1'!X28*1000000+(41-$A21)*1000+(41-N$1),0)</f>
        <v/>
      </c>
      <c r="O21" s="58">
        <f>IF(AND(matrizOK,$B21="Motriz",OR(O$2="Enlace",O$2="Resultado"),'M1'!Y28&gt;=1),'M1'!Y28*1000000+(41-$A21)*1000+(41-O$1),0)</f>
        <v/>
      </c>
      <c r="P21" s="58">
        <f>IF(AND(matrizOK,$B21="Motriz",OR(P$2="Enlace",P$2="Resultado"),'M1'!Z28&gt;=1),'M1'!Z28*1000000+(41-$A21)*1000+(41-P$1),0)</f>
        <v/>
      </c>
      <c r="Q21" s="58">
        <f>IF(AND(matrizOK,$B21="Motriz",OR(Q$2="Enlace",Q$2="Resultado"),'M1'!AA28&gt;=1),'M1'!AA28*1000000+(41-$A21)*1000+(41-Q$1),0)</f>
        <v/>
      </c>
      <c r="R21" s="58">
        <f>IF(AND(matrizOK,$B21="Motriz",OR(R$2="Enlace",R$2="Resultado"),'M1'!AB28&gt;=1),'M1'!AB28*1000000+(41-$A21)*1000+(41-R$1),0)</f>
        <v/>
      </c>
      <c r="S21" s="58">
        <f>IF(AND(matrizOK,$B21="Motriz",OR(S$2="Enlace",S$2="Resultado"),'M1'!AC28&gt;=1),'M1'!AC28*1000000+(41-$A21)*1000+(41-S$1),0)</f>
        <v/>
      </c>
      <c r="T21" s="58">
        <f>IF(AND(matrizOK,$B21="Motriz",OR(T$2="Enlace",T$2="Resultado"),'M1'!AD28&gt;=1),'M1'!AD28*1000000+(41-$A21)*1000+(41-T$1),0)</f>
        <v/>
      </c>
      <c r="U21" s="58">
        <f>IF(AND(matrizOK,$B21="Motriz",OR(U$2="Enlace",U$2="Resultado"),'M1'!AE28&gt;=1),'M1'!AE28*1000000+(41-$A21)*1000+(41-U$1),0)</f>
        <v/>
      </c>
      <c r="V21" s="58">
        <f>IF(AND(matrizOK,$B21="Motriz",OR(V$2="Enlace",V$2="Resultado"),'M1'!AF28&gt;=1),'M1'!AF28*1000000+(41-$A21)*1000+(41-V$1),0)</f>
        <v/>
      </c>
      <c r="W21" s="58">
        <f>IF(AND(matrizOK,$B21="Motriz",OR(W$2="Enlace",W$2="Resultado"),'M1'!AG28&gt;=1),'M1'!AG28*1000000+(41-$A21)*1000+(41-W$1),0)</f>
        <v/>
      </c>
      <c r="X21" s="58">
        <f>IF(AND(matrizOK,$B21="Motriz",OR(X$2="Enlace",X$2="Resultado"),'M1'!AH28&gt;=1),'M1'!AH28*1000000+(41-$A21)*1000+(41-X$1),0)</f>
        <v/>
      </c>
      <c r="Y21" s="58">
        <f>IF(AND(matrizOK,$B21="Motriz",OR(Y$2="Enlace",Y$2="Resultado"),'M1'!AI28&gt;=1),'M1'!AI28*1000000+(41-$A21)*1000+(41-Y$1),0)</f>
        <v/>
      </c>
      <c r="Z21" s="58">
        <f>IF(AND(matrizOK,$B21="Motriz",OR(Z$2="Enlace",Z$2="Resultado"),'M1'!AJ28&gt;=1),'M1'!AJ28*1000000+(41-$A21)*1000+(41-Z$1),0)</f>
        <v/>
      </c>
      <c r="AA21" s="58">
        <f>IF(AND(matrizOK,$B21="Motriz",OR(AA$2="Enlace",AA$2="Resultado"),'M1'!AK28&gt;=1),'M1'!AK28*1000000+(41-$A21)*1000+(41-AA$1),0)</f>
        <v/>
      </c>
      <c r="AB21" s="58">
        <f>IF(AND(matrizOK,$B21="Motriz",OR(AB$2="Enlace",AB$2="Resultado"),'M1'!AL28&gt;=1),'M1'!AL28*1000000+(41-$A21)*1000+(41-AB$1),0)</f>
        <v/>
      </c>
      <c r="AC21" s="58">
        <f>IF(AND(matrizOK,$B21="Motriz",OR(AC$2="Enlace",AC$2="Resultado"),'M1'!AM28&gt;=1),'M1'!AM28*1000000+(41-$A21)*1000+(41-AC$1),0)</f>
        <v/>
      </c>
      <c r="AD21" s="58">
        <f>IF(AND(matrizOK,$B21="Motriz",OR(AD$2="Enlace",AD$2="Resultado"),'M1'!AN28&gt;=1),'M1'!AN28*1000000+(41-$A21)*1000+(41-AD$1),0)</f>
        <v/>
      </c>
      <c r="AE21" s="58">
        <f>IF(AND(matrizOK,$B21="Motriz",OR(AE$2="Enlace",AE$2="Resultado"),'M1'!AO28&gt;=1),'M1'!AO28*1000000+(41-$A21)*1000+(41-AE$1),0)</f>
        <v/>
      </c>
      <c r="AF21" s="58">
        <f>IF(AND(matrizOK,$B21="Motriz",OR(AF$2="Enlace",AF$2="Resultado"),'M1'!AP28&gt;=1),'M1'!AP28*1000000+(41-$A21)*1000+(41-AF$1),0)</f>
        <v/>
      </c>
      <c r="AG21" s="58">
        <f>IF(AND(matrizOK,$B21="Motriz",OR(AG$2="Enlace",AG$2="Resultado"),'M1'!AQ28&gt;=1),'M1'!AQ28*1000000+(41-$A21)*1000+(41-AG$1),0)</f>
        <v/>
      </c>
      <c r="AH21" s="58">
        <f>IF(AND(matrizOK,$B21="Motriz",OR(AH$2="Enlace",AH$2="Resultado"),'M1'!AR28&gt;=1),'M1'!AR28*1000000+(41-$A21)*1000+(41-AH$1),0)</f>
        <v/>
      </c>
      <c r="AI21" s="58">
        <f>IF(AND(matrizOK,$B21="Motriz",OR(AI$2="Enlace",AI$2="Resultado"),'M1'!AS28&gt;=1),'M1'!AS28*1000000+(41-$A21)*1000+(41-AI$1),0)</f>
        <v/>
      </c>
      <c r="AJ21" s="58">
        <f>IF(AND(matrizOK,$B21="Motriz",OR(AJ$2="Enlace",AJ$2="Resultado"),'M1'!AT28&gt;=1),'M1'!AT28*1000000+(41-$A21)*1000+(41-AJ$1),0)</f>
        <v/>
      </c>
      <c r="AK21" s="58">
        <f>IF(AND(matrizOK,$B21="Motriz",OR(AK$2="Enlace",AK$2="Resultado"),'M1'!AU28&gt;=1),'M1'!AU28*1000000+(41-$A21)*1000+(41-AK$1),0)</f>
        <v/>
      </c>
      <c r="AL21" s="58">
        <f>IF(AND(matrizOK,$B21="Motriz",OR(AL$2="Enlace",AL$2="Resultado"),'M1'!AV28&gt;=1),'M1'!AV28*1000000+(41-$A21)*1000+(41-AL$1),0)</f>
        <v/>
      </c>
      <c r="AM21" s="58">
        <f>IF(AND(matrizOK,$B21="Motriz",OR(AM$2="Enlace",AM$2="Resultado"),'M1'!AW28&gt;=1),'M1'!AW28*1000000+(41-$A21)*1000+(41-AM$1),0)</f>
        <v/>
      </c>
      <c r="AN21" s="58">
        <f>IF(AND(matrizOK,$B21="Motriz",OR(AN$2="Enlace",AN$2="Resultado"),'M1'!AX28&gt;=1),'M1'!AX28*1000000+(41-$A21)*1000+(41-AN$1),0)</f>
        <v/>
      </c>
      <c r="AO21" s="58">
        <f>IF(AND(matrizOK,$B21="Motriz",OR(AO$2="Enlace",AO$2="Resultado"),'M1'!AY28&gt;=1),'M1'!AY28*1000000+(41-$A21)*1000+(41-AO$1),0)</f>
        <v/>
      </c>
      <c r="AP21" s="58">
        <f>IF(AND(matrizOK,$B21="Motriz",OR(AP$2="Enlace",AP$2="Resultado"),'M1'!AZ28&gt;=1),'M1'!AZ28*1000000+(41-$A21)*1000+(41-AP$1),0)</f>
        <v/>
      </c>
    </row>
    <row r="22">
      <c r="A22" s="58" t="n">
        <v>20</v>
      </c>
      <c r="B22" s="58">
        <f>IF($A22&lt;=nVariables,INDEX('M6'!$I$10:$I$49,$A22),"")</f>
        <v/>
      </c>
      <c r="C22" s="58">
        <f>IF(AND(matrizOK,$B22="Motriz",OR(C$2="Enlace",C$2="Resultado"),'M1'!M29&gt;=1),'M1'!M29*1000000+(41-$A22)*1000+(41-C$1),0)</f>
        <v/>
      </c>
      <c r="D22" s="58">
        <f>IF(AND(matrizOK,$B22="Motriz",OR(D$2="Enlace",D$2="Resultado"),'M1'!N29&gt;=1),'M1'!N29*1000000+(41-$A22)*1000+(41-D$1),0)</f>
        <v/>
      </c>
      <c r="E22" s="58">
        <f>IF(AND(matrizOK,$B22="Motriz",OR(E$2="Enlace",E$2="Resultado"),'M1'!O29&gt;=1),'M1'!O29*1000000+(41-$A22)*1000+(41-E$1),0)</f>
        <v/>
      </c>
      <c r="F22" s="58">
        <f>IF(AND(matrizOK,$B22="Motriz",OR(F$2="Enlace",F$2="Resultado"),'M1'!P29&gt;=1),'M1'!P29*1000000+(41-$A22)*1000+(41-F$1),0)</f>
        <v/>
      </c>
      <c r="G22" s="58">
        <f>IF(AND(matrizOK,$B22="Motriz",OR(G$2="Enlace",G$2="Resultado"),'M1'!Q29&gt;=1),'M1'!Q29*1000000+(41-$A22)*1000+(41-G$1),0)</f>
        <v/>
      </c>
      <c r="H22" s="58">
        <f>IF(AND(matrizOK,$B22="Motriz",OR(H$2="Enlace",H$2="Resultado"),'M1'!R29&gt;=1),'M1'!R29*1000000+(41-$A22)*1000+(41-H$1),0)</f>
        <v/>
      </c>
      <c r="I22" s="58">
        <f>IF(AND(matrizOK,$B22="Motriz",OR(I$2="Enlace",I$2="Resultado"),'M1'!S29&gt;=1),'M1'!S29*1000000+(41-$A22)*1000+(41-I$1),0)</f>
        <v/>
      </c>
      <c r="J22" s="58">
        <f>IF(AND(matrizOK,$B22="Motriz",OR(J$2="Enlace",J$2="Resultado"),'M1'!T29&gt;=1),'M1'!T29*1000000+(41-$A22)*1000+(41-J$1),0)</f>
        <v/>
      </c>
      <c r="K22" s="58">
        <f>IF(AND(matrizOK,$B22="Motriz",OR(K$2="Enlace",K$2="Resultado"),'M1'!U29&gt;=1),'M1'!U29*1000000+(41-$A22)*1000+(41-K$1),0)</f>
        <v/>
      </c>
      <c r="L22" s="58">
        <f>IF(AND(matrizOK,$B22="Motriz",OR(L$2="Enlace",L$2="Resultado"),'M1'!V29&gt;=1),'M1'!V29*1000000+(41-$A22)*1000+(41-L$1),0)</f>
        <v/>
      </c>
      <c r="M22" s="58">
        <f>IF(AND(matrizOK,$B22="Motriz",OR(M$2="Enlace",M$2="Resultado"),'M1'!W29&gt;=1),'M1'!W29*1000000+(41-$A22)*1000+(41-M$1),0)</f>
        <v/>
      </c>
      <c r="N22" s="58">
        <f>IF(AND(matrizOK,$B22="Motriz",OR(N$2="Enlace",N$2="Resultado"),'M1'!X29&gt;=1),'M1'!X29*1000000+(41-$A22)*1000+(41-N$1),0)</f>
        <v/>
      </c>
      <c r="O22" s="58">
        <f>IF(AND(matrizOK,$B22="Motriz",OR(O$2="Enlace",O$2="Resultado"),'M1'!Y29&gt;=1),'M1'!Y29*1000000+(41-$A22)*1000+(41-O$1),0)</f>
        <v/>
      </c>
      <c r="P22" s="58">
        <f>IF(AND(matrizOK,$B22="Motriz",OR(P$2="Enlace",P$2="Resultado"),'M1'!Z29&gt;=1),'M1'!Z29*1000000+(41-$A22)*1000+(41-P$1),0)</f>
        <v/>
      </c>
      <c r="Q22" s="58">
        <f>IF(AND(matrizOK,$B22="Motriz",OR(Q$2="Enlace",Q$2="Resultado"),'M1'!AA29&gt;=1),'M1'!AA29*1000000+(41-$A22)*1000+(41-Q$1),0)</f>
        <v/>
      </c>
      <c r="R22" s="58">
        <f>IF(AND(matrizOK,$B22="Motriz",OR(R$2="Enlace",R$2="Resultado"),'M1'!AB29&gt;=1),'M1'!AB29*1000000+(41-$A22)*1000+(41-R$1),0)</f>
        <v/>
      </c>
      <c r="S22" s="58">
        <f>IF(AND(matrizOK,$B22="Motriz",OR(S$2="Enlace",S$2="Resultado"),'M1'!AC29&gt;=1),'M1'!AC29*1000000+(41-$A22)*1000+(41-S$1),0)</f>
        <v/>
      </c>
      <c r="T22" s="58">
        <f>IF(AND(matrizOK,$B22="Motriz",OR(T$2="Enlace",T$2="Resultado"),'M1'!AD29&gt;=1),'M1'!AD29*1000000+(41-$A22)*1000+(41-T$1),0)</f>
        <v/>
      </c>
      <c r="U22" s="58">
        <f>IF(AND(matrizOK,$B22="Motriz",OR(U$2="Enlace",U$2="Resultado"),'M1'!AE29&gt;=1),'M1'!AE29*1000000+(41-$A22)*1000+(41-U$1),0)</f>
        <v/>
      </c>
      <c r="V22" s="58">
        <f>IF(AND(matrizOK,$B22="Motriz",OR(V$2="Enlace",V$2="Resultado"),'M1'!AF29&gt;=1),'M1'!AF29*1000000+(41-$A22)*1000+(41-V$1),0)</f>
        <v/>
      </c>
      <c r="W22" s="58">
        <f>IF(AND(matrizOK,$B22="Motriz",OR(W$2="Enlace",W$2="Resultado"),'M1'!AG29&gt;=1),'M1'!AG29*1000000+(41-$A22)*1000+(41-W$1),0)</f>
        <v/>
      </c>
      <c r="X22" s="58">
        <f>IF(AND(matrizOK,$B22="Motriz",OR(X$2="Enlace",X$2="Resultado"),'M1'!AH29&gt;=1),'M1'!AH29*1000000+(41-$A22)*1000+(41-X$1),0)</f>
        <v/>
      </c>
      <c r="Y22" s="58">
        <f>IF(AND(matrizOK,$B22="Motriz",OR(Y$2="Enlace",Y$2="Resultado"),'M1'!AI29&gt;=1),'M1'!AI29*1000000+(41-$A22)*1000+(41-Y$1),0)</f>
        <v/>
      </c>
      <c r="Z22" s="58">
        <f>IF(AND(matrizOK,$B22="Motriz",OR(Z$2="Enlace",Z$2="Resultado"),'M1'!AJ29&gt;=1),'M1'!AJ29*1000000+(41-$A22)*1000+(41-Z$1),0)</f>
        <v/>
      </c>
      <c r="AA22" s="58">
        <f>IF(AND(matrizOK,$B22="Motriz",OR(AA$2="Enlace",AA$2="Resultado"),'M1'!AK29&gt;=1),'M1'!AK29*1000000+(41-$A22)*1000+(41-AA$1),0)</f>
        <v/>
      </c>
      <c r="AB22" s="58">
        <f>IF(AND(matrizOK,$B22="Motriz",OR(AB$2="Enlace",AB$2="Resultado"),'M1'!AL29&gt;=1),'M1'!AL29*1000000+(41-$A22)*1000+(41-AB$1),0)</f>
        <v/>
      </c>
      <c r="AC22" s="58">
        <f>IF(AND(matrizOK,$B22="Motriz",OR(AC$2="Enlace",AC$2="Resultado"),'M1'!AM29&gt;=1),'M1'!AM29*1000000+(41-$A22)*1000+(41-AC$1),0)</f>
        <v/>
      </c>
      <c r="AD22" s="58">
        <f>IF(AND(matrizOK,$B22="Motriz",OR(AD$2="Enlace",AD$2="Resultado"),'M1'!AN29&gt;=1),'M1'!AN29*1000000+(41-$A22)*1000+(41-AD$1),0)</f>
        <v/>
      </c>
      <c r="AE22" s="58">
        <f>IF(AND(matrizOK,$B22="Motriz",OR(AE$2="Enlace",AE$2="Resultado"),'M1'!AO29&gt;=1),'M1'!AO29*1000000+(41-$A22)*1000+(41-AE$1),0)</f>
        <v/>
      </c>
      <c r="AF22" s="58">
        <f>IF(AND(matrizOK,$B22="Motriz",OR(AF$2="Enlace",AF$2="Resultado"),'M1'!AP29&gt;=1),'M1'!AP29*1000000+(41-$A22)*1000+(41-AF$1),0)</f>
        <v/>
      </c>
      <c r="AG22" s="58">
        <f>IF(AND(matrizOK,$B22="Motriz",OR(AG$2="Enlace",AG$2="Resultado"),'M1'!AQ29&gt;=1),'M1'!AQ29*1000000+(41-$A22)*1000+(41-AG$1),0)</f>
        <v/>
      </c>
      <c r="AH22" s="58">
        <f>IF(AND(matrizOK,$B22="Motriz",OR(AH$2="Enlace",AH$2="Resultado"),'M1'!AR29&gt;=1),'M1'!AR29*1000000+(41-$A22)*1000+(41-AH$1),0)</f>
        <v/>
      </c>
      <c r="AI22" s="58">
        <f>IF(AND(matrizOK,$B22="Motriz",OR(AI$2="Enlace",AI$2="Resultado"),'M1'!AS29&gt;=1),'M1'!AS29*1000000+(41-$A22)*1000+(41-AI$1),0)</f>
        <v/>
      </c>
      <c r="AJ22" s="58">
        <f>IF(AND(matrizOK,$B22="Motriz",OR(AJ$2="Enlace",AJ$2="Resultado"),'M1'!AT29&gt;=1),'M1'!AT29*1000000+(41-$A22)*1000+(41-AJ$1),0)</f>
        <v/>
      </c>
      <c r="AK22" s="58">
        <f>IF(AND(matrizOK,$B22="Motriz",OR(AK$2="Enlace",AK$2="Resultado"),'M1'!AU29&gt;=1),'M1'!AU29*1000000+(41-$A22)*1000+(41-AK$1),0)</f>
        <v/>
      </c>
      <c r="AL22" s="58">
        <f>IF(AND(matrizOK,$B22="Motriz",OR(AL$2="Enlace",AL$2="Resultado"),'M1'!AV29&gt;=1),'M1'!AV29*1000000+(41-$A22)*1000+(41-AL$1),0)</f>
        <v/>
      </c>
      <c r="AM22" s="58">
        <f>IF(AND(matrizOK,$B22="Motriz",OR(AM$2="Enlace",AM$2="Resultado"),'M1'!AW29&gt;=1),'M1'!AW29*1000000+(41-$A22)*1000+(41-AM$1),0)</f>
        <v/>
      </c>
      <c r="AN22" s="58">
        <f>IF(AND(matrizOK,$B22="Motriz",OR(AN$2="Enlace",AN$2="Resultado"),'M1'!AX29&gt;=1),'M1'!AX29*1000000+(41-$A22)*1000+(41-AN$1),0)</f>
        <v/>
      </c>
      <c r="AO22" s="58">
        <f>IF(AND(matrizOK,$B22="Motriz",OR(AO$2="Enlace",AO$2="Resultado"),'M1'!AY29&gt;=1),'M1'!AY29*1000000+(41-$A22)*1000+(41-AO$1),0)</f>
        <v/>
      </c>
      <c r="AP22" s="58">
        <f>IF(AND(matrizOK,$B22="Motriz",OR(AP$2="Enlace",AP$2="Resultado"),'M1'!AZ29&gt;=1),'M1'!AZ29*1000000+(41-$A22)*1000+(41-AP$1),0)</f>
        <v/>
      </c>
    </row>
    <row r="23">
      <c r="A23" s="58" t="n">
        <v>21</v>
      </c>
      <c r="B23" s="58">
        <f>IF($A23&lt;=nVariables,INDEX('M6'!$I$10:$I$49,$A23),"")</f>
        <v/>
      </c>
      <c r="C23" s="58">
        <f>IF(AND(matrizOK,$B23="Motriz",OR(C$2="Enlace",C$2="Resultado"),'M1'!M30&gt;=1),'M1'!M30*1000000+(41-$A23)*1000+(41-C$1),0)</f>
        <v/>
      </c>
      <c r="D23" s="58">
        <f>IF(AND(matrizOK,$B23="Motriz",OR(D$2="Enlace",D$2="Resultado"),'M1'!N30&gt;=1),'M1'!N30*1000000+(41-$A23)*1000+(41-D$1),0)</f>
        <v/>
      </c>
      <c r="E23" s="58">
        <f>IF(AND(matrizOK,$B23="Motriz",OR(E$2="Enlace",E$2="Resultado"),'M1'!O30&gt;=1),'M1'!O30*1000000+(41-$A23)*1000+(41-E$1),0)</f>
        <v/>
      </c>
      <c r="F23" s="58">
        <f>IF(AND(matrizOK,$B23="Motriz",OR(F$2="Enlace",F$2="Resultado"),'M1'!P30&gt;=1),'M1'!P30*1000000+(41-$A23)*1000+(41-F$1),0)</f>
        <v/>
      </c>
      <c r="G23" s="58">
        <f>IF(AND(matrizOK,$B23="Motriz",OR(G$2="Enlace",G$2="Resultado"),'M1'!Q30&gt;=1),'M1'!Q30*1000000+(41-$A23)*1000+(41-G$1),0)</f>
        <v/>
      </c>
      <c r="H23" s="58">
        <f>IF(AND(matrizOK,$B23="Motriz",OR(H$2="Enlace",H$2="Resultado"),'M1'!R30&gt;=1),'M1'!R30*1000000+(41-$A23)*1000+(41-H$1),0)</f>
        <v/>
      </c>
      <c r="I23" s="58">
        <f>IF(AND(matrizOK,$B23="Motriz",OR(I$2="Enlace",I$2="Resultado"),'M1'!S30&gt;=1),'M1'!S30*1000000+(41-$A23)*1000+(41-I$1),0)</f>
        <v/>
      </c>
      <c r="J23" s="58">
        <f>IF(AND(matrizOK,$B23="Motriz",OR(J$2="Enlace",J$2="Resultado"),'M1'!T30&gt;=1),'M1'!T30*1000000+(41-$A23)*1000+(41-J$1),0)</f>
        <v/>
      </c>
      <c r="K23" s="58">
        <f>IF(AND(matrizOK,$B23="Motriz",OR(K$2="Enlace",K$2="Resultado"),'M1'!U30&gt;=1),'M1'!U30*1000000+(41-$A23)*1000+(41-K$1),0)</f>
        <v/>
      </c>
      <c r="L23" s="58">
        <f>IF(AND(matrizOK,$B23="Motriz",OR(L$2="Enlace",L$2="Resultado"),'M1'!V30&gt;=1),'M1'!V30*1000000+(41-$A23)*1000+(41-L$1),0)</f>
        <v/>
      </c>
      <c r="M23" s="58">
        <f>IF(AND(matrizOK,$B23="Motriz",OR(M$2="Enlace",M$2="Resultado"),'M1'!W30&gt;=1),'M1'!W30*1000000+(41-$A23)*1000+(41-M$1),0)</f>
        <v/>
      </c>
      <c r="N23" s="58">
        <f>IF(AND(matrizOK,$B23="Motriz",OR(N$2="Enlace",N$2="Resultado"),'M1'!X30&gt;=1),'M1'!X30*1000000+(41-$A23)*1000+(41-N$1),0)</f>
        <v/>
      </c>
      <c r="O23" s="58">
        <f>IF(AND(matrizOK,$B23="Motriz",OR(O$2="Enlace",O$2="Resultado"),'M1'!Y30&gt;=1),'M1'!Y30*1000000+(41-$A23)*1000+(41-O$1),0)</f>
        <v/>
      </c>
      <c r="P23" s="58">
        <f>IF(AND(matrizOK,$B23="Motriz",OR(P$2="Enlace",P$2="Resultado"),'M1'!Z30&gt;=1),'M1'!Z30*1000000+(41-$A23)*1000+(41-P$1),0)</f>
        <v/>
      </c>
      <c r="Q23" s="58">
        <f>IF(AND(matrizOK,$B23="Motriz",OR(Q$2="Enlace",Q$2="Resultado"),'M1'!AA30&gt;=1),'M1'!AA30*1000000+(41-$A23)*1000+(41-Q$1),0)</f>
        <v/>
      </c>
      <c r="R23" s="58">
        <f>IF(AND(matrizOK,$B23="Motriz",OR(R$2="Enlace",R$2="Resultado"),'M1'!AB30&gt;=1),'M1'!AB30*1000000+(41-$A23)*1000+(41-R$1),0)</f>
        <v/>
      </c>
      <c r="S23" s="58">
        <f>IF(AND(matrizOK,$B23="Motriz",OR(S$2="Enlace",S$2="Resultado"),'M1'!AC30&gt;=1),'M1'!AC30*1000000+(41-$A23)*1000+(41-S$1),0)</f>
        <v/>
      </c>
      <c r="T23" s="58">
        <f>IF(AND(matrizOK,$B23="Motriz",OR(T$2="Enlace",T$2="Resultado"),'M1'!AD30&gt;=1),'M1'!AD30*1000000+(41-$A23)*1000+(41-T$1),0)</f>
        <v/>
      </c>
      <c r="U23" s="58">
        <f>IF(AND(matrizOK,$B23="Motriz",OR(U$2="Enlace",U$2="Resultado"),'M1'!AE30&gt;=1),'M1'!AE30*1000000+(41-$A23)*1000+(41-U$1),0)</f>
        <v/>
      </c>
      <c r="V23" s="58">
        <f>IF(AND(matrizOK,$B23="Motriz",OR(V$2="Enlace",V$2="Resultado"),'M1'!AF30&gt;=1),'M1'!AF30*1000000+(41-$A23)*1000+(41-V$1),0)</f>
        <v/>
      </c>
      <c r="W23" s="58">
        <f>IF(AND(matrizOK,$B23="Motriz",OR(W$2="Enlace",W$2="Resultado"),'M1'!AG30&gt;=1),'M1'!AG30*1000000+(41-$A23)*1000+(41-W$1),0)</f>
        <v/>
      </c>
      <c r="X23" s="58">
        <f>IF(AND(matrizOK,$B23="Motriz",OR(X$2="Enlace",X$2="Resultado"),'M1'!AH30&gt;=1),'M1'!AH30*1000000+(41-$A23)*1000+(41-X$1),0)</f>
        <v/>
      </c>
      <c r="Y23" s="58">
        <f>IF(AND(matrizOK,$B23="Motriz",OR(Y$2="Enlace",Y$2="Resultado"),'M1'!AI30&gt;=1),'M1'!AI30*1000000+(41-$A23)*1000+(41-Y$1),0)</f>
        <v/>
      </c>
      <c r="Z23" s="58">
        <f>IF(AND(matrizOK,$B23="Motriz",OR(Z$2="Enlace",Z$2="Resultado"),'M1'!AJ30&gt;=1),'M1'!AJ30*1000000+(41-$A23)*1000+(41-Z$1),0)</f>
        <v/>
      </c>
      <c r="AA23" s="58">
        <f>IF(AND(matrizOK,$B23="Motriz",OR(AA$2="Enlace",AA$2="Resultado"),'M1'!AK30&gt;=1),'M1'!AK30*1000000+(41-$A23)*1000+(41-AA$1),0)</f>
        <v/>
      </c>
      <c r="AB23" s="58">
        <f>IF(AND(matrizOK,$B23="Motriz",OR(AB$2="Enlace",AB$2="Resultado"),'M1'!AL30&gt;=1),'M1'!AL30*1000000+(41-$A23)*1000+(41-AB$1),0)</f>
        <v/>
      </c>
      <c r="AC23" s="58">
        <f>IF(AND(matrizOK,$B23="Motriz",OR(AC$2="Enlace",AC$2="Resultado"),'M1'!AM30&gt;=1),'M1'!AM30*1000000+(41-$A23)*1000+(41-AC$1),0)</f>
        <v/>
      </c>
      <c r="AD23" s="58">
        <f>IF(AND(matrizOK,$B23="Motriz",OR(AD$2="Enlace",AD$2="Resultado"),'M1'!AN30&gt;=1),'M1'!AN30*1000000+(41-$A23)*1000+(41-AD$1),0)</f>
        <v/>
      </c>
      <c r="AE23" s="58">
        <f>IF(AND(matrizOK,$B23="Motriz",OR(AE$2="Enlace",AE$2="Resultado"),'M1'!AO30&gt;=1),'M1'!AO30*1000000+(41-$A23)*1000+(41-AE$1),0)</f>
        <v/>
      </c>
      <c r="AF23" s="58">
        <f>IF(AND(matrizOK,$B23="Motriz",OR(AF$2="Enlace",AF$2="Resultado"),'M1'!AP30&gt;=1),'M1'!AP30*1000000+(41-$A23)*1000+(41-AF$1),0)</f>
        <v/>
      </c>
      <c r="AG23" s="58">
        <f>IF(AND(matrizOK,$B23="Motriz",OR(AG$2="Enlace",AG$2="Resultado"),'M1'!AQ30&gt;=1),'M1'!AQ30*1000000+(41-$A23)*1000+(41-AG$1),0)</f>
        <v/>
      </c>
      <c r="AH23" s="58">
        <f>IF(AND(matrizOK,$B23="Motriz",OR(AH$2="Enlace",AH$2="Resultado"),'M1'!AR30&gt;=1),'M1'!AR30*1000000+(41-$A23)*1000+(41-AH$1),0)</f>
        <v/>
      </c>
      <c r="AI23" s="58">
        <f>IF(AND(matrizOK,$B23="Motriz",OR(AI$2="Enlace",AI$2="Resultado"),'M1'!AS30&gt;=1),'M1'!AS30*1000000+(41-$A23)*1000+(41-AI$1),0)</f>
        <v/>
      </c>
      <c r="AJ23" s="58">
        <f>IF(AND(matrizOK,$B23="Motriz",OR(AJ$2="Enlace",AJ$2="Resultado"),'M1'!AT30&gt;=1),'M1'!AT30*1000000+(41-$A23)*1000+(41-AJ$1),0)</f>
        <v/>
      </c>
      <c r="AK23" s="58">
        <f>IF(AND(matrizOK,$B23="Motriz",OR(AK$2="Enlace",AK$2="Resultado"),'M1'!AU30&gt;=1),'M1'!AU30*1000000+(41-$A23)*1000+(41-AK$1),0)</f>
        <v/>
      </c>
      <c r="AL23" s="58">
        <f>IF(AND(matrizOK,$B23="Motriz",OR(AL$2="Enlace",AL$2="Resultado"),'M1'!AV30&gt;=1),'M1'!AV30*1000000+(41-$A23)*1000+(41-AL$1),0)</f>
        <v/>
      </c>
      <c r="AM23" s="58">
        <f>IF(AND(matrizOK,$B23="Motriz",OR(AM$2="Enlace",AM$2="Resultado"),'M1'!AW30&gt;=1),'M1'!AW30*1000000+(41-$A23)*1000+(41-AM$1),0)</f>
        <v/>
      </c>
      <c r="AN23" s="58">
        <f>IF(AND(matrizOK,$B23="Motriz",OR(AN$2="Enlace",AN$2="Resultado"),'M1'!AX30&gt;=1),'M1'!AX30*1000000+(41-$A23)*1000+(41-AN$1),0)</f>
        <v/>
      </c>
      <c r="AO23" s="58">
        <f>IF(AND(matrizOK,$B23="Motriz",OR(AO$2="Enlace",AO$2="Resultado"),'M1'!AY30&gt;=1),'M1'!AY30*1000000+(41-$A23)*1000+(41-AO$1),0)</f>
        <v/>
      </c>
      <c r="AP23" s="58">
        <f>IF(AND(matrizOK,$B23="Motriz",OR(AP$2="Enlace",AP$2="Resultado"),'M1'!AZ30&gt;=1),'M1'!AZ30*1000000+(41-$A23)*1000+(41-AP$1),0)</f>
        <v/>
      </c>
    </row>
    <row r="24">
      <c r="A24" s="58" t="n">
        <v>22</v>
      </c>
      <c r="B24" s="58">
        <f>IF($A24&lt;=nVariables,INDEX('M6'!$I$10:$I$49,$A24),"")</f>
        <v/>
      </c>
      <c r="C24" s="58">
        <f>IF(AND(matrizOK,$B24="Motriz",OR(C$2="Enlace",C$2="Resultado"),'M1'!M31&gt;=1),'M1'!M31*1000000+(41-$A24)*1000+(41-C$1),0)</f>
        <v/>
      </c>
      <c r="D24" s="58">
        <f>IF(AND(matrizOK,$B24="Motriz",OR(D$2="Enlace",D$2="Resultado"),'M1'!N31&gt;=1),'M1'!N31*1000000+(41-$A24)*1000+(41-D$1),0)</f>
        <v/>
      </c>
      <c r="E24" s="58">
        <f>IF(AND(matrizOK,$B24="Motriz",OR(E$2="Enlace",E$2="Resultado"),'M1'!O31&gt;=1),'M1'!O31*1000000+(41-$A24)*1000+(41-E$1),0)</f>
        <v/>
      </c>
      <c r="F24" s="58">
        <f>IF(AND(matrizOK,$B24="Motriz",OR(F$2="Enlace",F$2="Resultado"),'M1'!P31&gt;=1),'M1'!P31*1000000+(41-$A24)*1000+(41-F$1),0)</f>
        <v/>
      </c>
      <c r="G24" s="58">
        <f>IF(AND(matrizOK,$B24="Motriz",OR(G$2="Enlace",G$2="Resultado"),'M1'!Q31&gt;=1),'M1'!Q31*1000000+(41-$A24)*1000+(41-G$1),0)</f>
        <v/>
      </c>
      <c r="H24" s="58">
        <f>IF(AND(matrizOK,$B24="Motriz",OR(H$2="Enlace",H$2="Resultado"),'M1'!R31&gt;=1),'M1'!R31*1000000+(41-$A24)*1000+(41-H$1),0)</f>
        <v/>
      </c>
      <c r="I24" s="58">
        <f>IF(AND(matrizOK,$B24="Motriz",OR(I$2="Enlace",I$2="Resultado"),'M1'!S31&gt;=1),'M1'!S31*1000000+(41-$A24)*1000+(41-I$1),0)</f>
        <v/>
      </c>
      <c r="J24" s="58">
        <f>IF(AND(matrizOK,$B24="Motriz",OR(J$2="Enlace",J$2="Resultado"),'M1'!T31&gt;=1),'M1'!T31*1000000+(41-$A24)*1000+(41-J$1),0)</f>
        <v/>
      </c>
      <c r="K24" s="58">
        <f>IF(AND(matrizOK,$B24="Motriz",OR(K$2="Enlace",K$2="Resultado"),'M1'!U31&gt;=1),'M1'!U31*1000000+(41-$A24)*1000+(41-K$1),0)</f>
        <v/>
      </c>
      <c r="L24" s="58">
        <f>IF(AND(matrizOK,$B24="Motriz",OR(L$2="Enlace",L$2="Resultado"),'M1'!V31&gt;=1),'M1'!V31*1000000+(41-$A24)*1000+(41-L$1),0)</f>
        <v/>
      </c>
      <c r="M24" s="58">
        <f>IF(AND(matrizOK,$B24="Motriz",OR(M$2="Enlace",M$2="Resultado"),'M1'!W31&gt;=1),'M1'!W31*1000000+(41-$A24)*1000+(41-M$1),0)</f>
        <v/>
      </c>
      <c r="N24" s="58">
        <f>IF(AND(matrizOK,$B24="Motriz",OR(N$2="Enlace",N$2="Resultado"),'M1'!X31&gt;=1),'M1'!X31*1000000+(41-$A24)*1000+(41-N$1),0)</f>
        <v/>
      </c>
      <c r="O24" s="58">
        <f>IF(AND(matrizOK,$B24="Motriz",OR(O$2="Enlace",O$2="Resultado"),'M1'!Y31&gt;=1),'M1'!Y31*1000000+(41-$A24)*1000+(41-O$1),0)</f>
        <v/>
      </c>
      <c r="P24" s="58">
        <f>IF(AND(matrizOK,$B24="Motriz",OR(P$2="Enlace",P$2="Resultado"),'M1'!Z31&gt;=1),'M1'!Z31*1000000+(41-$A24)*1000+(41-P$1),0)</f>
        <v/>
      </c>
      <c r="Q24" s="58">
        <f>IF(AND(matrizOK,$B24="Motriz",OR(Q$2="Enlace",Q$2="Resultado"),'M1'!AA31&gt;=1),'M1'!AA31*1000000+(41-$A24)*1000+(41-Q$1),0)</f>
        <v/>
      </c>
      <c r="R24" s="58">
        <f>IF(AND(matrizOK,$B24="Motriz",OR(R$2="Enlace",R$2="Resultado"),'M1'!AB31&gt;=1),'M1'!AB31*1000000+(41-$A24)*1000+(41-R$1),0)</f>
        <v/>
      </c>
      <c r="S24" s="58">
        <f>IF(AND(matrizOK,$B24="Motriz",OR(S$2="Enlace",S$2="Resultado"),'M1'!AC31&gt;=1),'M1'!AC31*1000000+(41-$A24)*1000+(41-S$1),0)</f>
        <v/>
      </c>
      <c r="T24" s="58">
        <f>IF(AND(matrizOK,$B24="Motriz",OR(T$2="Enlace",T$2="Resultado"),'M1'!AD31&gt;=1),'M1'!AD31*1000000+(41-$A24)*1000+(41-T$1),0)</f>
        <v/>
      </c>
      <c r="U24" s="58">
        <f>IF(AND(matrizOK,$B24="Motriz",OR(U$2="Enlace",U$2="Resultado"),'M1'!AE31&gt;=1),'M1'!AE31*1000000+(41-$A24)*1000+(41-U$1),0)</f>
        <v/>
      </c>
      <c r="V24" s="58">
        <f>IF(AND(matrizOK,$B24="Motriz",OR(V$2="Enlace",V$2="Resultado"),'M1'!AF31&gt;=1),'M1'!AF31*1000000+(41-$A24)*1000+(41-V$1),0)</f>
        <v/>
      </c>
      <c r="W24" s="58">
        <f>IF(AND(matrizOK,$B24="Motriz",OR(W$2="Enlace",W$2="Resultado"),'M1'!AG31&gt;=1),'M1'!AG31*1000000+(41-$A24)*1000+(41-W$1),0)</f>
        <v/>
      </c>
      <c r="X24" s="58">
        <f>IF(AND(matrizOK,$B24="Motriz",OR(X$2="Enlace",X$2="Resultado"),'M1'!AH31&gt;=1),'M1'!AH31*1000000+(41-$A24)*1000+(41-X$1),0)</f>
        <v/>
      </c>
      <c r="Y24" s="58">
        <f>IF(AND(matrizOK,$B24="Motriz",OR(Y$2="Enlace",Y$2="Resultado"),'M1'!AI31&gt;=1),'M1'!AI31*1000000+(41-$A24)*1000+(41-Y$1),0)</f>
        <v/>
      </c>
      <c r="Z24" s="58">
        <f>IF(AND(matrizOK,$B24="Motriz",OR(Z$2="Enlace",Z$2="Resultado"),'M1'!AJ31&gt;=1),'M1'!AJ31*1000000+(41-$A24)*1000+(41-Z$1),0)</f>
        <v/>
      </c>
      <c r="AA24" s="58">
        <f>IF(AND(matrizOK,$B24="Motriz",OR(AA$2="Enlace",AA$2="Resultado"),'M1'!AK31&gt;=1),'M1'!AK31*1000000+(41-$A24)*1000+(41-AA$1),0)</f>
        <v/>
      </c>
      <c r="AB24" s="58">
        <f>IF(AND(matrizOK,$B24="Motriz",OR(AB$2="Enlace",AB$2="Resultado"),'M1'!AL31&gt;=1),'M1'!AL31*1000000+(41-$A24)*1000+(41-AB$1),0)</f>
        <v/>
      </c>
      <c r="AC24" s="58">
        <f>IF(AND(matrizOK,$B24="Motriz",OR(AC$2="Enlace",AC$2="Resultado"),'M1'!AM31&gt;=1),'M1'!AM31*1000000+(41-$A24)*1000+(41-AC$1),0)</f>
        <v/>
      </c>
      <c r="AD24" s="58">
        <f>IF(AND(matrizOK,$B24="Motriz",OR(AD$2="Enlace",AD$2="Resultado"),'M1'!AN31&gt;=1),'M1'!AN31*1000000+(41-$A24)*1000+(41-AD$1),0)</f>
        <v/>
      </c>
      <c r="AE24" s="58">
        <f>IF(AND(matrizOK,$B24="Motriz",OR(AE$2="Enlace",AE$2="Resultado"),'M1'!AO31&gt;=1),'M1'!AO31*1000000+(41-$A24)*1000+(41-AE$1),0)</f>
        <v/>
      </c>
      <c r="AF24" s="58">
        <f>IF(AND(matrizOK,$B24="Motriz",OR(AF$2="Enlace",AF$2="Resultado"),'M1'!AP31&gt;=1),'M1'!AP31*1000000+(41-$A24)*1000+(41-AF$1),0)</f>
        <v/>
      </c>
      <c r="AG24" s="58">
        <f>IF(AND(matrizOK,$B24="Motriz",OR(AG$2="Enlace",AG$2="Resultado"),'M1'!AQ31&gt;=1),'M1'!AQ31*1000000+(41-$A24)*1000+(41-AG$1),0)</f>
        <v/>
      </c>
      <c r="AH24" s="58">
        <f>IF(AND(matrizOK,$B24="Motriz",OR(AH$2="Enlace",AH$2="Resultado"),'M1'!AR31&gt;=1),'M1'!AR31*1000000+(41-$A24)*1000+(41-AH$1),0)</f>
        <v/>
      </c>
      <c r="AI24" s="58">
        <f>IF(AND(matrizOK,$B24="Motriz",OR(AI$2="Enlace",AI$2="Resultado"),'M1'!AS31&gt;=1),'M1'!AS31*1000000+(41-$A24)*1000+(41-AI$1),0)</f>
        <v/>
      </c>
      <c r="AJ24" s="58">
        <f>IF(AND(matrizOK,$B24="Motriz",OR(AJ$2="Enlace",AJ$2="Resultado"),'M1'!AT31&gt;=1),'M1'!AT31*1000000+(41-$A24)*1000+(41-AJ$1),0)</f>
        <v/>
      </c>
      <c r="AK24" s="58">
        <f>IF(AND(matrizOK,$B24="Motriz",OR(AK$2="Enlace",AK$2="Resultado"),'M1'!AU31&gt;=1),'M1'!AU31*1000000+(41-$A24)*1000+(41-AK$1),0)</f>
        <v/>
      </c>
      <c r="AL24" s="58">
        <f>IF(AND(matrizOK,$B24="Motriz",OR(AL$2="Enlace",AL$2="Resultado"),'M1'!AV31&gt;=1),'M1'!AV31*1000000+(41-$A24)*1000+(41-AL$1),0)</f>
        <v/>
      </c>
      <c r="AM24" s="58">
        <f>IF(AND(matrizOK,$B24="Motriz",OR(AM$2="Enlace",AM$2="Resultado"),'M1'!AW31&gt;=1),'M1'!AW31*1000000+(41-$A24)*1000+(41-AM$1),0)</f>
        <v/>
      </c>
      <c r="AN24" s="58">
        <f>IF(AND(matrizOK,$B24="Motriz",OR(AN$2="Enlace",AN$2="Resultado"),'M1'!AX31&gt;=1),'M1'!AX31*1000000+(41-$A24)*1000+(41-AN$1),0)</f>
        <v/>
      </c>
      <c r="AO24" s="58">
        <f>IF(AND(matrizOK,$B24="Motriz",OR(AO$2="Enlace",AO$2="Resultado"),'M1'!AY31&gt;=1),'M1'!AY31*1000000+(41-$A24)*1000+(41-AO$1),0)</f>
        <v/>
      </c>
      <c r="AP24" s="58">
        <f>IF(AND(matrizOK,$B24="Motriz",OR(AP$2="Enlace",AP$2="Resultado"),'M1'!AZ31&gt;=1),'M1'!AZ31*1000000+(41-$A24)*1000+(41-AP$1),0)</f>
        <v/>
      </c>
    </row>
    <row r="25">
      <c r="A25" s="58" t="n">
        <v>23</v>
      </c>
      <c r="B25" s="58">
        <f>IF($A25&lt;=nVariables,INDEX('M6'!$I$10:$I$49,$A25),"")</f>
        <v/>
      </c>
      <c r="C25" s="58">
        <f>IF(AND(matrizOK,$B25="Motriz",OR(C$2="Enlace",C$2="Resultado"),'M1'!M32&gt;=1),'M1'!M32*1000000+(41-$A25)*1000+(41-C$1),0)</f>
        <v/>
      </c>
      <c r="D25" s="58">
        <f>IF(AND(matrizOK,$B25="Motriz",OR(D$2="Enlace",D$2="Resultado"),'M1'!N32&gt;=1),'M1'!N32*1000000+(41-$A25)*1000+(41-D$1),0)</f>
        <v/>
      </c>
      <c r="E25" s="58">
        <f>IF(AND(matrizOK,$B25="Motriz",OR(E$2="Enlace",E$2="Resultado"),'M1'!O32&gt;=1),'M1'!O32*1000000+(41-$A25)*1000+(41-E$1),0)</f>
        <v/>
      </c>
      <c r="F25" s="58">
        <f>IF(AND(matrizOK,$B25="Motriz",OR(F$2="Enlace",F$2="Resultado"),'M1'!P32&gt;=1),'M1'!P32*1000000+(41-$A25)*1000+(41-F$1),0)</f>
        <v/>
      </c>
      <c r="G25" s="58">
        <f>IF(AND(matrizOK,$B25="Motriz",OR(G$2="Enlace",G$2="Resultado"),'M1'!Q32&gt;=1),'M1'!Q32*1000000+(41-$A25)*1000+(41-G$1),0)</f>
        <v/>
      </c>
      <c r="H25" s="58">
        <f>IF(AND(matrizOK,$B25="Motriz",OR(H$2="Enlace",H$2="Resultado"),'M1'!R32&gt;=1),'M1'!R32*1000000+(41-$A25)*1000+(41-H$1),0)</f>
        <v/>
      </c>
      <c r="I25" s="58">
        <f>IF(AND(matrizOK,$B25="Motriz",OR(I$2="Enlace",I$2="Resultado"),'M1'!S32&gt;=1),'M1'!S32*1000000+(41-$A25)*1000+(41-I$1),0)</f>
        <v/>
      </c>
      <c r="J25" s="58">
        <f>IF(AND(matrizOK,$B25="Motriz",OR(J$2="Enlace",J$2="Resultado"),'M1'!T32&gt;=1),'M1'!T32*1000000+(41-$A25)*1000+(41-J$1),0)</f>
        <v/>
      </c>
      <c r="K25" s="58">
        <f>IF(AND(matrizOK,$B25="Motriz",OR(K$2="Enlace",K$2="Resultado"),'M1'!U32&gt;=1),'M1'!U32*1000000+(41-$A25)*1000+(41-K$1),0)</f>
        <v/>
      </c>
      <c r="L25" s="58">
        <f>IF(AND(matrizOK,$B25="Motriz",OR(L$2="Enlace",L$2="Resultado"),'M1'!V32&gt;=1),'M1'!V32*1000000+(41-$A25)*1000+(41-L$1),0)</f>
        <v/>
      </c>
      <c r="M25" s="58">
        <f>IF(AND(matrizOK,$B25="Motriz",OR(M$2="Enlace",M$2="Resultado"),'M1'!W32&gt;=1),'M1'!W32*1000000+(41-$A25)*1000+(41-M$1),0)</f>
        <v/>
      </c>
      <c r="N25" s="58">
        <f>IF(AND(matrizOK,$B25="Motriz",OR(N$2="Enlace",N$2="Resultado"),'M1'!X32&gt;=1),'M1'!X32*1000000+(41-$A25)*1000+(41-N$1),0)</f>
        <v/>
      </c>
      <c r="O25" s="58">
        <f>IF(AND(matrizOK,$B25="Motriz",OR(O$2="Enlace",O$2="Resultado"),'M1'!Y32&gt;=1),'M1'!Y32*1000000+(41-$A25)*1000+(41-O$1),0)</f>
        <v/>
      </c>
      <c r="P25" s="58">
        <f>IF(AND(matrizOK,$B25="Motriz",OR(P$2="Enlace",P$2="Resultado"),'M1'!Z32&gt;=1),'M1'!Z32*1000000+(41-$A25)*1000+(41-P$1),0)</f>
        <v/>
      </c>
      <c r="Q25" s="58">
        <f>IF(AND(matrizOK,$B25="Motriz",OR(Q$2="Enlace",Q$2="Resultado"),'M1'!AA32&gt;=1),'M1'!AA32*1000000+(41-$A25)*1000+(41-Q$1),0)</f>
        <v/>
      </c>
      <c r="R25" s="58">
        <f>IF(AND(matrizOK,$B25="Motriz",OR(R$2="Enlace",R$2="Resultado"),'M1'!AB32&gt;=1),'M1'!AB32*1000000+(41-$A25)*1000+(41-R$1),0)</f>
        <v/>
      </c>
      <c r="S25" s="58">
        <f>IF(AND(matrizOK,$B25="Motriz",OR(S$2="Enlace",S$2="Resultado"),'M1'!AC32&gt;=1),'M1'!AC32*1000000+(41-$A25)*1000+(41-S$1),0)</f>
        <v/>
      </c>
      <c r="T25" s="58">
        <f>IF(AND(matrizOK,$B25="Motriz",OR(T$2="Enlace",T$2="Resultado"),'M1'!AD32&gt;=1),'M1'!AD32*1000000+(41-$A25)*1000+(41-T$1),0)</f>
        <v/>
      </c>
      <c r="U25" s="58">
        <f>IF(AND(matrizOK,$B25="Motriz",OR(U$2="Enlace",U$2="Resultado"),'M1'!AE32&gt;=1),'M1'!AE32*1000000+(41-$A25)*1000+(41-U$1),0)</f>
        <v/>
      </c>
      <c r="V25" s="58">
        <f>IF(AND(matrizOK,$B25="Motriz",OR(V$2="Enlace",V$2="Resultado"),'M1'!AF32&gt;=1),'M1'!AF32*1000000+(41-$A25)*1000+(41-V$1),0)</f>
        <v/>
      </c>
      <c r="W25" s="58">
        <f>IF(AND(matrizOK,$B25="Motriz",OR(W$2="Enlace",W$2="Resultado"),'M1'!AG32&gt;=1),'M1'!AG32*1000000+(41-$A25)*1000+(41-W$1),0)</f>
        <v/>
      </c>
      <c r="X25" s="58">
        <f>IF(AND(matrizOK,$B25="Motriz",OR(X$2="Enlace",X$2="Resultado"),'M1'!AH32&gt;=1),'M1'!AH32*1000000+(41-$A25)*1000+(41-X$1),0)</f>
        <v/>
      </c>
      <c r="Y25" s="58">
        <f>IF(AND(matrizOK,$B25="Motriz",OR(Y$2="Enlace",Y$2="Resultado"),'M1'!AI32&gt;=1),'M1'!AI32*1000000+(41-$A25)*1000+(41-Y$1),0)</f>
        <v/>
      </c>
      <c r="Z25" s="58">
        <f>IF(AND(matrizOK,$B25="Motriz",OR(Z$2="Enlace",Z$2="Resultado"),'M1'!AJ32&gt;=1),'M1'!AJ32*1000000+(41-$A25)*1000+(41-Z$1),0)</f>
        <v/>
      </c>
      <c r="AA25" s="58">
        <f>IF(AND(matrizOK,$B25="Motriz",OR(AA$2="Enlace",AA$2="Resultado"),'M1'!AK32&gt;=1),'M1'!AK32*1000000+(41-$A25)*1000+(41-AA$1),0)</f>
        <v/>
      </c>
      <c r="AB25" s="58">
        <f>IF(AND(matrizOK,$B25="Motriz",OR(AB$2="Enlace",AB$2="Resultado"),'M1'!AL32&gt;=1),'M1'!AL32*1000000+(41-$A25)*1000+(41-AB$1),0)</f>
        <v/>
      </c>
      <c r="AC25" s="58">
        <f>IF(AND(matrizOK,$B25="Motriz",OR(AC$2="Enlace",AC$2="Resultado"),'M1'!AM32&gt;=1),'M1'!AM32*1000000+(41-$A25)*1000+(41-AC$1),0)</f>
        <v/>
      </c>
      <c r="AD25" s="58">
        <f>IF(AND(matrizOK,$B25="Motriz",OR(AD$2="Enlace",AD$2="Resultado"),'M1'!AN32&gt;=1),'M1'!AN32*1000000+(41-$A25)*1000+(41-AD$1),0)</f>
        <v/>
      </c>
      <c r="AE25" s="58">
        <f>IF(AND(matrizOK,$B25="Motriz",OR(AE$2="Enlace",AE$2="Resultado"),'M1'!AO32&gt;=1),'M1'!AO32*1000000+(41-$A25)*1000+(41-AE$1),0)</f>
        <v/>
      </c>
      <c r="AF25" s="58">
        <f>IF(AND(matrizOK,$B25="Motriz",OR(AF$2="Enlace",AF$2="Resultado"),'M1'!AP32&gt;=1),'M1'!AP32*1000000+(41-$A25)*1000+(41-AF$1),0)</f>
        <v/>
      </c>
      <c r="AG25" s="58">
        <f>IF(AND(matrizOK,$B25="Motriz",OR(AG$2="Enlace",AG$2="Resultado"),'M1'!AQ32&gt;=1),'M1'!AQ32*1000000+(41-$A25)*1000+(41-AG$1),0)</f>
        <v/>
      </c>
      <c r="AH25" s="58">
        <f>IF(AND(matrizOK,$B25="Motriz",OR(AH$2="Enlace",AH$2="Resultado"),'M1'!AR32&gt;=1),'M1'!AR32*1000000+(41-$A25)*1000+(41-AH$1),0)</f>
        <v/>
      </c>
      <c r="AI25" s="58">
        <f>IF(AND(matrizOK,$B25="Motriz",OR(AI$2="Enlace",AI$2="Resultado"),'M1'!AS32&gt;=1),'M1'!AS32*1000000+(41-$A25)*1000+(41-AI$1),0)</f>
        <v/>
      </c>
      <c r="AJ25" s="58">
        <f>IF(AND(matrizOK,$B25="Motriz",OR(AJ$2="Enlace",AJ$2="Resultado"),'M1'!AT32&gt;=1),'M1'!AT32*1000000+(41-$A25)*1000+(41-AJ$1),0)</f>
        <v/>
      </c>
      <c r="AK25" s="58">
        <f>IF(AND(matrizOK,$B25="Motriz",OR(AK$2="Enlace",AK$2="Resultado"),'M1'!AU32&gt;=1),'M1'!AU32*1000000+(41-$A25)*1000+(41-AK$1),0)</f>
        <v/>
      </c>
      <c r="AL25" s="58">
        <f>IF(AND(matrizOK,$B25="Motriz",OR(AL$2="Enlace",AL$2="Resultado"),'M1'!AV32&gt;=1),'M1'!AV32*1000000+(41-$A25)*1000+(41-AL$1),0)</f>
        <v/>
      </c>
      <c r="AM25" s="58">
        <f>IF(AND(matrizOK,$B25="Motriz",OR(AM$2="Enlace",AM$2="Resultado"),'M1'!AW32&gt;=1),'M1'!AW32*1000000+(41-$A25)*1000+(41-AM$1),0)</f>
        <v/>
      </c>
      <c r="AN25" s="58">
        <f>IF(AND(matrizOK,$B25="Motriz",OR(AN$2="Enlace",AN$2="Resultado"),'M1'!AX32&gt;=1),'M1'!AX32*1000000+(41-$A25)*1000+(41-AN$1),0)</f>
        <v/>
      </c>
      <c r="AO25" s="58">
        <f>IF(AND(matrizOK,$B25="Motriz",OR(AO$2="Enlace",AO$2="Resultado"),'M1'!AY32&gt;=1),'M1'!AY32*1000000+(41-$A25)*1000+(41-AO$1),0)</f>
        <v/>
      </c>
      <c r="AP25" s="58">
        <f>IF(AND(matrizOK,$B25="Motriz",OR(AP$2="Enlace",AP$2="Resultado"),'M1'!AZ32&gt;=1),'M1'!AZ32*1000000+(41-$A25)*1000+(41-AP$1),0)</f>
        <v/>
      </c>
    </row>
    <row r="26">
      <c r="A26" s="58" t="n">
        <v>24</v>
      </c>
      <c r="B26" s="58">
        <f>IF($A26&lt;=nVariables,INDEX('M6'!$I$10:$I$49,$A26),"")</f>
        <v/>
      </c>
      <c r="C26" s="58">
        <f>IF(AND(matrizOK,$B26="Motriz",OR(C$2="Enlace",C$2="Resultado"),'M1'!M33&gt;=1),'M1'!M33*1000000+(41-$A26)*1000+(41-C$1),0)</f>
        <v/>
      </c>
      <c r="D26" s="58">
        <f>IF(AND(matrizOK,$B26="Motriz",OR(D$2="Enlace",D$2="Resultado"),'M1'!N33&gt;=1),'M1'!N33*1000000+(41-$A26)*1000+(41-D$1),0)</f>
        <v/>
      </c>
      <c r="E26" s="58">
        <f>IF(AND(matrizOK,$B26="Motriz",OR(E$2="Enlace",E$2="Resultado"),'M1'!O33&gt;=1),'M1'!O33*1000000+(41-$A26)*1000+(41-E$1),0)</f>
        <v/>
      </c>
      <c r="F26" s="58">
        <f>IF(AND(matrizOK,$B26="Motriz",OR(F$2="Enlace",F$2="Resultado"),'M1'!P33&gt;=1),'M1'!P33*1000000+(41-$A26)*1000+(41-F$1),0)</f>
        <v/>
      </c>
      <c r="G26" s="58">
        <f>IF(AND(matrizOK,$B26="Motriz",OR(G$2="Enlace",G$2="Resultado"),'M1'!Q33&gt;=1),'M1'!Q33*1000000+(41-$A26)*1000+(41-G$1),0)</f>
        <v/>
      </c>
      <c r="H26" s="58">
        <f>IF(AND(matrizOK,$B26="Motriz",OR(H$2="Enlace",H$2="Resultado"),'M1'!R33&gt;=1),'M1'!R33*1000000+(41-$A26)*1000+(41-H$1),0)</f>
        <v/>
      </c>
      <c r="I26" s="58">
        <f>IF(AND(matrizOK,$B26="Motriz",OR(I$2="Enlace",I$2="Resultado"),'M1'!S33&gt;=1),'M1'!S33*1000000+(41-$A26)*1000+(41-I$1),0)</f>
        <v/>
      </c>
      <c r="J26" s="58">
        <f>IF(AND(matrizOK,$B26="Motriz",OR(J$2="Enlace",J$2="Resultado"),'M1'!T33&gt;=1),'M1'!T33*1000000+(41-$A26)*1000+(41-J$1),0)</f>
        <v/>
      </c>
      <c r="K26" s="58">
        <f>IF(AND(matrizOK,$B26="Motriz",OR(K$2="Enlace",K$2="Resultado"),'M1'!U33&gt;=1),'M1'!U33*1000000+(41-$A26)*1000+(41-K$1),0)</f>
        <v/>
      </c>
      <c r="L26" s="58">
        <f>IF(AND(matrizOK,$B26="Motriz",OR(L$2="Enlace",L$2="Resultado"),'M1'!V33&gt;=1),'M1'!V33*1000000+(41-$A26)*1000+(41-L$1),0)</f>
        <v/>
      </c>
      <c r="M26" s="58">
        <f>IF(AND(matrizOK,$B26="Motriz",OR(M$2="Enlace",M$2="Resultado"),'M1'!W33&gt;=1),'M1'!W33*1000000+(41-$A26)*1000+(41-M$1),0)</f>
        <v/>
      </c>
      <c r="N26" s="58">
        <f>IF(AND(matrizOK,$B26="Motriz",OR(N$2="Enlace",N$2="Resultado"),'M1'!X33&gt;=1),'M1'!X33*1000000+(41-$A26)*1000+(41-N$1),0)</f>
        <v/>
      </c>
      <c r="O26" s="58">
        <f>IF(AND(matrizOK,$B26="Motriz",OR(O$2="Enlace",O$2="Resultado"),'M1'!Y33&gt;=1),'M1'!Y33*1000000+(41-$A26)*1000+(41-O$1),0)</f>
        <v/>
      </c>
      <c r="P26" s="58">
        <f>IF(AND(matrizOK,$B26="Motriz",OR(P$2="Enlace",P$2="Resultado"),'M1'!Z33&gt;=1),'M1'!Z33*1000000+(41-$A26)*1000+(41-P$1),0)</f>
        <v/>
      </c>
      <c r="Q26" s="58">
        <f>IF(AND(matrizOK,$B26="Motriz",OR(Q$2="Enlace",Q$2="Resultado"),'M1'!AA33&gt;=1),'M1'!AA33*1000000+(41-$A26)*1000+(41-Q$1),0)</f>
        <v/>
      </c>
      <c r="R26" s="58">
        <f>IF(AND(matrizOK,$B26="Motriz",OR(R$2="Enlace",R$2="Resultado"),'M1'!AB33&gt;=1),'M1'!AB33*1000000+(41-$A26)*1000+(41-R$1),0)</f>
        <v/>
      </c>
      <c r="S26" s="58">
        <f>IF(AND(matrizOK,$B26="Motriz",OR(S$2="Enlace",S$2="Resultado"),'M1'!AC33&gt;=1),'M1'!AC33*1000000+(41-$A26)*1000+(41-S$1),0)</f>
        <v/>
      </c>
      <c r="T26" s="58">
        <f>IF(AND(matrizOK,$B26="Motriz",OR(T$2="Enlace",T$2="Resultado"),'M1'!AD33&gt;=1),'M1'!AD33*1000000+(41-$A26)*1000+(41-T$1),0)</f>
        <v/>
      </c>
      <c r="U26" s="58">
        <f>IF(AND(matrizOK,$B26="Motriz",OR(U$2="Enlace",U$2="Resultado"),'M1'!AE33&gt;=1),'M1'!AE33*1000000+(41-$A26)*1000+(41-U$1),0)</f>
        <v/>
      </c>
      <c r="V26" s="58">
        <f>IF(AND(matrizOK,$B26="Motriz",OR(V$2="Enlace",V$2="Resultado"),'M1'!AF33&gt;=1),'M1'!AF33*1000000+(41-$A26)*1000+(41-V$1),0)</f>
        <v/>
      </c>
      <c r="W26" s="58">
        <f>IF(AND(matrizOK,$B26="Motriz",OR(W$2="Enlace",W$2="Resultado"),'M1'!AG33&gt;=1),'M1'!AG33*1000000+(41-$A26)*1000+(41-W$1),0)</f>
        <v/>
      </c>
      <c r="X26" s="58">
        <f>IF(AND(matrizOK,$B26="Motriz",OR(X$2="Enlace",X$2="Resultado"),'M1'!AH33&gt;=1),'M1'!AH33*1000000+(41-$A26)*1000+(41-X$1),0)</f>
        <v/>
      </c>
      <c r="Y26" s="58">
        <f>IF(AND(matrizOK,$B26="Motriz",OR(Y$2="Enlace",Y$2="Resultado"),'M1'!AI33&gt;=1),'M1'!AI33*1000000+(41-$A26)*1000+(41-Y$1),0)</f>
        <v/>
      </c>
      <c r="Z26" s="58">
        <f>IF(AND(matrizOK,$B26="Motriz",OR(Z$2="Enlace",Z$2="Resultado"),'M1'!AJ33&gt;=1),'M1'!AJ33*1000000+(41-$A26)*1000+(41-Z$1),0)</f>
        <v/>
      </c>
      <c r="AA26" s="58">
        <f>IF(AND(matrizOK,$B26="Motriz",OR(AA$2="Enlace",AA$2="Resultado"),'M1'!AK33&gt;=1),'M1'!AK33*1000000+(41-$A26)*1000+(41-AA$1),0)</f>
        <v/>
      </c>
      <c r="AB26" s="58">
        <f>IF(AND(matrizOK,$B26="Motriz",OR(AB$2="Enlace",AB$2="Resultado"),'M1'!AL33&gt;=1),'M1'!AL33*1000000+(41-$A26)*1000+(41-AB$1),0)</f>
        <v/>
      </c>
      <c r="AC26" s="58">
        <f>IF(AND(matrizOK,$B26="Motriz",OR(AC$2="Enlace",AC$2="Resultado"),'M1'!AM33&gt;=1),'M1'!AM33*1000000+(41-$A26)*1000+(41-AC$1),0)</f>
        <v/>
      </c>
      <c r="AD26" s="58">
        <f>IF(AND(matrizOK,$B26="Motriz",OR(AD$2="Enlace",AD$2="Resultado"),'M1'!AN33&gt;=1),'M1'!AN33*1000000+(41-$A26)*1000+(41-AD$1),0)</f>
        <v/>
      </c>
      <c r="AE26" s="58">
        <f>IF(AND(matrizOK,$B26="Motriz",OR(AE$2="Enlace",AE$2="Resultado"),'M1'!AO33&gt;=1),'M1'!AO33*1000000+(41-$A26)*1000+(41-AE$1),0)</f>
        <v/>
      </c>
      <c r="AF26" s="58">
        <f>IF(AND(matrizOK,$B26="Motriz",OR(AF$2="Enlace",AF$2="Resultado"),'M1'!AP33&gt;=1),'M1'!AP33*1000000+(41-$A26)*1000+(41-AF$1),0)</f>
        <v/>
      </c>
      <c r="AG26" s="58">
        <f>IF(AND(matrizOK,$B26="Motriz",OR(AG$2="Enlace",AG$2="Resultado"),'M1'!AQ33&gt;=1),'M1'!AQ33*1000000+(41-$A26)*1000+(41-AG$1),0)</f>
        <v/>
      </c>
      <c r="AH26" s="58">
        <f>IF(AND(matrizOK,$B26="Motriz",OR(AH$2="Enlace",AH$2="Resultado"),'M1'!AR33&gt;=1),'M1'!AR33*1000000+(41-$A26)*1000+(41-AH$1),0)</f>
        <v/>
      </c>
      <c r="AI26" s="58">
        <f>IF(AND(matrizOK,$B26="Motriz",OR(AI$2="Enlace",AI$2="Resultado"),'M1'!AS33&gt;=1),'M1'!AS33*1000000+(41-$A26)*1000+(41-AI$1),0)</f>
        <v/>
      </c>
      <c r="AJ26" s="58">
        <f>IF(AND(matrizOK,$B26="Motriz",OR(AJ$2="Enlace",AJ$2="Resultado"),'M1'!AT33&gt;=1),'M1'!AT33*1000000+(41-$A26)*1000+(41-AJ$1),0)</f>
        <v/>
      </c>
      <c r="AK26" s="58">
        <f>IF(AND(matrizOK,$B26="Motriz",OR(AK$2="Enlace",AK$2="Resultado"),'M1'!AU33&gt;=1),'M1'!AU33*1000000+(41-$A26)*1000+(41-AK$1),0)</f>
        <v/>
      </c>
      <c r="AL26" s="58">
        <f>IF(AND(matrizOK,$B26="Motriz",OR(AL$2="Enlace",AL$2="Resultado"),'M1'!AV33&gt;=1),'M1'!AV33*1000000+(41-$A26)*1000+(41-AL$1),0)</f>
        <v/>
      </c>
      <c r="AM26" s="58">
        <f>IF(AND(matrizOK,$B26="Motriz",OR(AM$2="Enlace",AM$2="Resultado"),'M1'!AW33&gt;=1),'M1'!AW33*1000000+(41-$A26)*1000+(41-AM$1),0)</f>
        <v/>
      </c>
      <c r="AN26" s="58">
        <f>IF(AND(matrizOK,$B26="Motriz",OR(AN$2="Enlace",AN$2="Resultado"),'M1'!AX33&gt;=1),'M1'!AX33*1000000+(41-$A26)*1000+(41-AN$1),0)</f>
        <v/>
      </c>
      <c r="AO26" s="58">
        <f>IF(AND(matrizOK,$B26="Motriz",OR(AO$2="Enlace",AO$2="Resultado"),'M1'!AY33&gt;=1),'M1'!AY33*1000000+(41-$A26)*1000+(41-AO$1),0)</f>
        <v/>
      </c>
      <c r="AP26" s="58">
        <f>IF(AND(matrizOK,$B26="Motriz",OR(AP$2="Enlace",AP$2="Resultado"),'M1'!AZ33&gt;=1),'M1'!AZ33*1000000+(41-$A26)*1000+(41-AP$1),0)</f>
        <v/>
      </c>
    </row>
    <row r="27">
      <c r="A27" s="58" t="n">
        <v>25</v>
      </c>
      <c r="B27" s="58">
        <f>IF($A27&lt;=nVariables,INDEX('M6'!$I$10:$I$49,$A27),"")</f>
        <v/>
      </c>
      <c r="C27" s="58">
        <f>IF(AND(matrizOK,$B27="Motriz",OR(C$2="Enlace",C$2="Resultado"),'M1'!M34&gt;=1),'M1'!M34*1000000+(41-$A27)*1000+(41-C$1),0)</f>
        <v/>
      </c>
      <c r="D27" s="58">
        <f>IF(AND(matrizOK,$B27="Motriz",OR(D$2="Enlace",D$2="Resultado"),'M1'!N34&gt;=1),'M1'!N34*1000000+(41-$A27)*1000+(41-D$1),0)</f>
        <v/>
      </c>
      <c r="E27" s="58">
        <f>IF(AND(matrizOK,$B27="Motriz",OR(E$2="Enlace",E$2="Resultado"),'M1'!O34&gt;=1),'M1'!O34*1000000+(41-$A27)*1000+(41-E$1),0)</f>
        <v/>
      </c>
      <c r="F27" s="58">
        <f>IF(AND(matrizOK,$B27="Motriz",OR(F$2="Enlace",F$2="Resultado"),'M1'!P34&gt;=1),'M1'!P34*1000000+(41-$A27)*1000+(41-F$1),0)</f>
        <v/>
      </c>
      <c r="G27" s="58">
        <f>IF(AND(matrizOK,$B27="Motriz",OR(G$2="Enlace",G$2="Resultado"),'M1'!Q34&gt;=1),'M1'!Q34*1000000+(41-$A27)*1000+(41-G$1),0)</f>
        <v/>
      </c>
      <c r="H27" s="58">
        <f>IF(AND(matrizOK,$B27="Motriz",OR(H$2="Enlace",H$2="Resultado"),'M1'!R34&gt;=1),'M1'!R34*1000000+(41-$A27)*1000+(41-H$1),0)</f>
        <v/>
      </c>
      <c r="I27" s="58">
        <f>IF(AND(matrizOK,$B27="Motriz",OR(I$2="Enlace",I$2="Resultado"),'M1'!S34&gt;=1),'M1'!S34*1000000+(41-$A27)*1000+(41-I$1),0)</f>
        <v/>
      </c>
      <c r="J27" s="58">
        <f>IF(AND(matrizOK,$B27="Motriz",OR(J$2="Enlace",J$2="Resultado"),'M1'!T34&gt;=1),'M1'!T34*1000000+(41-$A27)*1000+(41-J$1),0)</f>
        <v/>
      </c>
      <c r="K27" s="58">
        <f>IF(AND(matrizOK,$B27="Motriz",OR(K$2="Enlace",K$2="Resultado"),'M1'!U34&gt;=1),'M1'!U34*1000000+(41-$A27)*1000+(41-K$1),0)</f>
        <v/>
      </c>
      <c r="L27" s="58">
        <f>IF(AND(matrizOK,$B27="Motriz",OR(L$2="Enlace",L$2="Resultado"),'M1'!V34&gt;=1),'M1'!V34*1000000+(41-$A27)*1000+(41-L$1),0)</f>
        <v/>
      </c>
      <c r="M27" s="58">
        <f>IF(AND(matrizOK,$B27="Motriz",OR(M$2="Enlace",M$2="Resultado"),'M1'!W34&gt;=1),'M1'!W34*1000000+(41-$A27)*1000+(41-M$1),0)</f>
        <v/>
      </c>
      <c r="N27" s="58">
        <f>IF(AND(matrizOK,$B27="Motriz",OR(N$2="Enlace",N$2="Resultado"),'M1'!X34&gt;=1),'M1'!X34*1000000+(41-$A27)*1000+(41-N$1),0)</f>
        <v/>
      </c>
      <c r="O27" s="58">
        <f>IF(AND(matrizOK,$B27="Motriz",OR(O$2="Enlace",O$2="Resultado"),'M1'!Y34&gt;=1),'M1'!Y34*1000000+(41-$A27)*1000+(41-O$1),0)</f>
        <v/>
      </c>
      <c r="P27" s="58">
        <f>IF(AND(matrizOK,$B27="Motriz",OR(P$2="Enlace",P$2="Resultado"),'M1'!Z34&gt;=1),'M1'!Z34*1000000+(41-$A27)*1000+(41-P$1),0)</f>
        <v/>
      </c>
      <c r="Q27" s="58">
        <f>IF(AND(matrizOK,$B27="Motriz",OR(Q$2="Enlace",Q$2="Resultado"),'M1'!AA34&gt;=1),'M1'!AA34*1000000+(41-$A27)*1000+(41-Q$1),0)</f>
        <v/>
      </c>
      <c r="R27" s="58">
        <f>IF(AND(matrizOK,$B27="Motriz",OR(R$2="Enlace",R$2="Resultado"),'M1'!AB34&gt;=1),'M1'!AB34*1000000+(41-$A27)*1000+(41-R$1),0)</f>
        <v/>
      </c>
      <c r="S27" s="58">
        <f>IF(AND(matrizOK,$B27="Motriz",OR(S$2="Enlace",S$2="Resultado"),'M1'!AC34&gt;=1),'M1'!AC34*1000000+(41-$A27)*1000+(41-S$1),0)</f>
        <v/>
      </c>
      <c r="T27" s="58">
        <f>IF(AND(matrizOK,$B27="Motriz",OR(T$2="Enlace",T$2="Resultado"),'M1'!AD34&gt;=1),'M1'!AD34*1000000+(41-$A27)*1000+(41-T$1),0)</f>
        <v/>
      </c>
      <c r="U27" s="58">
        <f>IF(AND(matrizOK,$B27="Motriz",OR(U$2="Enlace",U$2="Resultado"),'M1'!AE34&gt;=1),'M1'!AE34*1000000+(41-$A27)*1000+(41-U$1),0)</f>
        <v/>
      </c>
      <c r="V27" s="58">
        <f>IF(AND(matrizOK,$B27="Motriz",OR(V$2="Enlace",V$2="Resultado"),'M1'!AF34&gt;=1),'M1'!AF34*1000000+(41-$A27)*1000+(41-V$1),0)</f>
        <v/>
      </c>
      <c r="W27" s="58">
        <f>IF(AND(matrizOK,$B27="Motriz",OR(W$2="Enlace",W$2="Resultado"),'M1'!AG34&gt;=1),'M1'!AG34*1000000+(41-$A27)*1000+(41-W$1),0)</f>
        <v/>
      </c>
      <c r="X27" s="58">
        <f>IF(AND(matrizOK,$B27="Motriz",OR(X$2="Enlace",X$2="Resultado"),'M1'!AH34&gt;=1),'M1'!AH34*1000000+(41-$A27)*1000+(41-X$1),0)</f>
        <v/>
      </c>
      <c r="Y27" s="58">
        <f>IF(AND(matrizOK,$B27="Motriz",OR(Y$2="Enlace",Y$2="Resultado"),'M1'!AI34&gt;=1),'M1'!AI34*1000000+(41-$A27)*1000+(41-Y$1),0)</f>
        <v/>
      </c>
      <c r="Z27" s="58">
        <f>IF(AND(matrizOK,$B27="Motriz",OR(Z$2="Enlace",Z$2="Resultado"),'M1'!AJ34&gt;=1),'M1'!AJ34*1000000+(41-$A27)*1000+(41-Z$1),0)</f>
        <v/>
      </c>
      <c r="AA27" s="58">
        <f>IF(AND(matrizOK,$B27="Motriz",OR(AA$2="Enlace",AA$2="Resultado"),'M1'!AK34&gt;=1),'M1'!AK34*1000000+(41-$A27)*1000+(41-AA$1),0)</f>
        <v/>
      </c>
      <c r="AB27" s="58">
        <f>IF(AND(matrizOK,$B27="Motriz",OR(AB$2="Enlace",AB$2="Resultado"),'M1'!AL34&gt;=1),'M1'!AL34*1000000+(41-$A27)*1000+(41-AB$1),0)</f>
        <v/>
      </c>
      <c r="AC27" s="58">
        <f>IF(AND(matrizOK,$B27="Motriz",OR(AC$2="Enlace",AC$2="Resultado"),'M1'!AM34&gt;=1),'M1'!AM34*1000000+(41-$A27)*1000+(41-AC$1),0)</f>
        <v/>
      </c>
      <c r="AD27" s="58">
        <f>IF(AND(matrizOK,$B27="Motriz",OR(AD$2="Enlace",AD$2="Resultado"),'M1'!AN34&gt;=1),'M1'!AN34*1000000+(41-$A27)*1000+(41-AD$1),0)</f>
        <v/>
      </c>
      <c r="AE27" s="58">
        <f>IF(AND(matrizOK,$B27="Motriz",OR(AE$2="Enlace",AE$2="Resultado"),'M1'!AO34&gt;=1),'M1'!AO34*1000000+(41-$A27)*1000+(41-AE$1),0)</f>
        <v/>
      </c>
      <c r="AF27" s="58">
        <f>IF(AND(matrizOK,$B27="Motriz",OR(AF$2="Enlace",AF$2="Resultado"),'M1'!AP34&gt;=1),'M1'!AP34*1000000+(41-$A27)*1000+(41-AF$1),0)</f>
        <v/>
      </c>
      <c r="AG27" s="58">
        <f>IF(AND(matrizOK,$B27="Motriz",OR(AG$2="Enlace",AG$2="Resultado"),'M1'!AQ34&gt;=1),'M1'!AQ34*1000000+(41-$A27)*1000+(41-AG$1),0)</f>
        <v/>
      </c>
      <c r="AH27" s="58">
        <f>IF(AND(matrizOK,$B27="Motriz",OR(AH$2="Enlace",AH$2="Resultado"),'M1'!AR34&gt;=1),'M1'!AR34*1000000+(41-$A27)*1000+(41-AH$1),0)</f>
        <v/>
      </c>
      <c r="AI27" s="58">
        <f>IF(AND(matrizOK,$B27="Motriz",OR(AI$2="Enlace",AI$2="Resultado"),'M1'!AS34&gt;=1),'M1'!AS34*1000000+(41-$A27)*1000+(41-AI$1),0)</f>
        <v/>
      </c>
      <c r="AJ27" s="58">
        <f>IF(AND(matrizOK,$B27="Motriz",OR(AJ$2="Enlace",AJ$2="Resultado"),'M1'!AT34&gt;=1),'M1'!AT34*1000000+(41-$A27)*1000+(41-AJ$1),0)</f>
        <v/>
      </c>
      <c r="AK27" s="58">
        <f>IF(AND(matrizOK,$B27="Motriz",OR(AK$2="Enlace",AK$2="Resultado"),'M1'!AU34&gt;=1),'M1'!AU34*1000000+(41-$A27)*1000+(41-AK$1),0)</f>
        <v/>
      </c>
      <c r="AL27" s="58">
        <f>IF(AND(matrizOK,$B27="Motriz",OR(AL$2="Enlace",AL$2="Resultado"),'M1'!AV34&gt;=1),'M1'!AV34*1000000+(41-$A27)*1000+(41-AL$1),0)</f>
        <v/>
      </c>
      <c r="AM27" s="58">
        <f>IF(AND(matrizOK,$B27="Motriz",OR(AM$2="Enlace",AM$2="Resultado"),'M1'!AW34&gt;=1),'M1'!AW34*1000000+(41-$A27)*1000+(41-AM$1),0)</f>
        <v/>
      </c>
      <c r="AN27" s="58">
        <f>IF(AND(matrizOK,$B27="Motriz",OR(AN$2="Enlace",AN$2="Resultado"),'M1'!AX34&gt;=1),'M1'!AX34*1000000+(41-$A27)*1000+(41-AN$1),0)</f>
        <v/>
      </c>
      <c r="AO27" s="58">
        <f>IF(AND(matrizOK,$B27="Motriz",OR(AO$2="Enlace",AO$2="Resultado"),'M1'!AY34&gt;=1),'M1'!AY34*1000000+(41-$A27)*1000+(41-AO$1),0)</f>
        <v/>
      </c>
      <c r="AP27" s="58">
        <f>IF(AND(matrizOK,$B27="Motriz",OR(AP$2="Enlace",AP$2="Resultado"),'M1'!AZ34&gt;=1),'M1'!AZ34*1000000+(41-$A27)*1000+(41-AP$1),0)</f>
        <v/>
      </c>
    </row>
    <row r="28">
      <c r="A28" s="58" t="n">
        <v>26</v>
      </c>
      <c r="B28" s="58">
        <f>IF($A28&lt;=nVariables,INDEX('M6'!$I$10:$I$49,$A28),"")</f>
        <v/>
      </c>
      <c r="C28" s="58">
        <f>IF(AND(matrizOK,$B28="Motriz",OR(C$2="Enlace",C$2="Resultado"),'M1'!M35&gt;=1),'M1'!M35*1000000+(41-$A28)*1000+(41-C$1),0)</f>
        <v/>
      </c>
      <c r="D28" s="58">
        <f>IF(AND(matrizOK,$B28="Motriz",OR(D$2="Enlace",D$2="Resultado"),'M1'!N35&gt;=1),'M1'!N35*1000000+(41-$A28)*1000+(41-D$1),0)</f>
        <v/>
      </c>
      <c r="E28" s="58">
        <f>IF(AND(matrizOK,$B28="Motriz",OR(E$2="Enlace",E$2="Resultado"),'M1'!O35&gt;=1),'M1'!O35*1000000+(41-$A28)*1000+(41-E$1),0)</f>
        <v/>
      </c>
      <c r="F28" s="58">
        <f>IF(AND(matrizOK,$B28="Motriz",OR(F$2="Enlace",F$2="Resultado"),'M1'!P35&gt;=1),'M1'!P35*1000000+(41-$A28)*1000+(41-F$1),0)</f>
        <v/>
      </c>
      <c r="G28" s="58">
        <f>IF(AND(matrizOK,$B28="Motriz",OR(G$2="Enlace",G$2="Resultado"),'M1'!Q35&gt;=1),'M1'!Q35*1000000+(41-$A28)*1000+(41-G$1),0)</f>
        <v/>
      </c>
      <c r="H28" s="58">
        <f>IF(AND(matrizOK,$B28="Motriz",OR(H$2="Enlace",H$2="Resultado"),'M1'!R35&gt;=1),'M1'!R35*1000000+(41-$A28)*1000+(41-H$1),0)</f>
        <v/>
      </c>
      <c r="I28" s="58">
        <f>IF(AND(matrizOK,$B28="Motriz",OR(I$2="Enlace",I$2="Resultado"),'M1'!S35&gt;=1),'M1'!S35*1000000+(41-$A28)*1000+(41-I$1),0)</f>
        <v/>
      </c>
      <c r="J28" s="58">
        <f>IF(AND(matrizOK,$B28="Motriz",OR(J$2="Enlace",J$2="Resultado"),'M1'!T35&gt;=1),'M1'!T35*1000000+(41-$A28)*1000+(41-J$1),0)</f>
        <v/>
      </c>
      <c r="K28" s="58">
        <f>IF(AND(matrizOK,$B28="Motriz",OR(K$2="Enlace",K$2="Resultado"),'M1'!U35&gt;=1),'M1'!U35*1000000+(41-$A28)*1000+(41-K$1),0)</f>
        <v/>
      </c>
      <c r="L28" s="58">
        <f>IF(AND(matrizOK,$B28="Motriz",OR(L$2="Enlace",L$2="Resultado"),'M1'!V35&gt;=1),'M1'!V35*1000000+(41-$A28)*1000+(41-L$1),0)</f>
        <v/>
      </c>
      <c r="M28" s="58">
        <f>IF(AND(matrizOK,$B28="Motriz",OR(M$2="Enlace",M$2="Resultado"),'M1'!W35&gt;=1),'M1'!W35*1000000+(41-$A28)*1000+(41-M$1),0)</f>
        <v/>
      </c>
      <c r="N28" s="58">
        <f>IF(AND(matrizOK,$B28="Motriz",OR(N$2="Enlace",N$2="Resultado"),'M1'!X35&gt;=1),'M1'!X35*1000000+(41-$A28)*1000+(41-N$1),0)</f>
        <v/>
      </c>
      <c r="O28" s="58">
        <f>IF(AND(matrizOK,$B28="Motriz",OR(O$2="Enlace",O$2="Resultado"),'M1'!Y35&gt;=1),'M1'!Y35*1000000+(41-$A28)*1000+(41-O$1),0)</f>
        <v/>
      </c>
      <c r="P28" s="58">
        <f>IF(AND(matrizOK,$B28="Motriz",OR(P$2="Enlace",P$2="Resultado"),'M1'!Z35&gt;=1),'M1'!Z35*1000000+(41-$A28)*1000+(41-P$1),0)</f>
        <v/>
      </c>
      <c r="Q28" s="58">
        <f>IF(AND(matrizOK,$B28="Motriz",OR(Q$2="Enlace",Q$2="Resultado"),'M1'!AA35&gt;=1),'M1'!AA35*1000000+(41-$A28)*1000+(41-Q$1),0)</f>
        <v/>
      </c>
      <c r="R28" s="58">
        <f>IF(AND(matrizOK,$B28="Motriz",OR(R$2="Enlace",R$2="Resultado"),'M1'!AB35&gt;=1),'M1'!AB35*1000000+(41-$A28)*1000+(41-R$1),0)</f>
        <v/>
      </c>
      <c r="S28" s="58">
        <f>IF(AND(matrizOK,$B28="Motriz",OR(S$2="Enlace",S$2="Resultado"),'M1'!AC35&gt;=1),'M1'!AC35*1000000+(41-$A28)*1000+(41-S$1),0)</f>
        <v/>
      </c>
      <c r="T28" s="58">
        <f>IF(AND(matrizOK,$B28="Motriz",OR(T$2="Enlace",T$2="Resultado"),'M1'!AD35&gt;=1),'M1'!AD35*1000000+(41-$A28)*1000+(41-T$1),0)</f>
        <v/>
      </c>
      <c r="U28" s="58">
        <f>IF(AND(matrizOK,$B28="Motriz",OR(U$2="Enlace",U$2="Resultado"),'M1'!AE35&gt;=1),'M1'!AE35*1000000+(41-$A28)*1000+(41-U$1),0)</f>
        <v/>
      </c>
      <c r="V28" s="58">
        <f>IF(AND(matrizOK,$B28="Motriz",OR(V$2="Enlace",V$2="Resultado"),'M1'!AF35&gt;=1),'M1'!AF35*1000000+(41-$A28)*1000+(41-V$1),0)</f>
        <v/>
      </c>
      <c r="W28" s="58">
        <f>IF(AND(matrizOK,$B28="Motriz",OR(W$2="Enlace",W$2="Resultado"),'M1'!AG35&gt;=1),'M1'!AG35*1000000+(41-$A28)*1000+(41-W$1),0)</f>
        <v/>
      </c>
      <c r="X28" s="58">
        <f>IF(AND(matrizOK,$B28="Motriz",OR(X$2="Enlace",X$2="Resultado"),'M1'!AH35&gt;=1),'M1'!AH35*1000000+(41-$A28)*1000+(41-X$1),0)</f>
        <v/>
      </c>
      <c r="Y28" s="58">
        <f>IF(AND(matrizOK,$B28="Motriz",OR(Y$2="Enlace",Y$2="Resultado"),'M1'!AI35&gt;=1),'M1'!AI35*1000000+(41-$A28)*1000+(41-Y$1),0)</f>
        <v/>
      </c>
      <c r="Z28" s="58">
        <f>IF(AND(matrizOK,$B28="Motriz",OR(Z$2="Enlace",Z$2="Resultado"),'M1'!AJ35&gt;=1),'M1'!AJ35*1000000+(41-$A28)*1000+(41-Z$1),0)</f>
        <v/>
      </c>
      <c r="AA28" s="58">
        <f>IF(AND(matrizOK,$B28="Motriz",OR(AA$2="Enlace",AA$2="Resultado"),'M1'!AK35&gt;=1),'M1'!AK35*1000000+(41-$A28)*1000+(41-AA$1),0)</f>
        <v/>
      </c>
      <c r="AB28" s="58">
        <f>IF(AND(matrizOK,$B28="Motriz",OR(AB$2="Enlace",AB$2="Resultado"),'M1'!AL35&gt;=1),'M1'!AL35*1000000+(41-$A28)*1000+(41-AB$1),0)</f>
        <v/>
      </c>
      <c r="AC28" s="58">
        <f>IF(AND(matrizOK,$B28="Motriz",OR(AC$2="Enlace",AC$2="Resultado"),'M1'!AM35&gt;=1),'M1'!AM35*1000000+(41-$A28)*1000+(41-AC$1),0)</f>
        <v/>
      </c>
      <c r="AD28" s="58">
        <f>IF(AND(matrizOK,$B28="Motriz",OR(AD$2="Enlace",AD$2="Resultado"),'M1'!AN35&gt;=1),'M1'!AN35*1000000+(41-$A28)*1000+(41-AD$1),0)</f>
        <v/>
      </c>
      <c r="AE28" s="58">
        <f>IF(AND(matrizOK,$B28="Motriz",OR(AE$2="Enlace",AE$2="Resultado"),'M1'!AO35&gt;=1),'M1'!AO35*1000000+(41-$A28)*1000+(41-AE$1),0)</f>
        <v/>
      </c>
      <c r="AF28" s="58">
        <f>IF(AND(matrizOK,$B28="Motriz",OR(AF$2="Enlace",AF$2="Resultado"),'M1'!AP35&gt;=1),'M1'!AP35*1000000+(41-$A28)*1000+(41-AF$1),0)</f>
        <v/>
      </c>
      <c r="AG28" s="58">
        <f>IF(AND(matrizOK,$B28="Motriz",OR(AG$2="Enlace",AG$2="Resultado"),'M1'!AQ35&gt;=1),'M1'!AQ35*1000000+(41-$A28)*1000+(41-AG$1),0)</f>
        <v/>
      </c>
      <c r="AH28" s="58">
        <f>IF(AND(matrizOK,$B28="Motriz",OR(AH$2="Enlace",AH$2="Resultado"),'M1'!AR35&gt;=1),'M1'!AR35*1000000+(41-$A28)*1000+(41-AH$1),0)</f>
        <v/>
      </c>
      <c r="AI28" s="58">
        <f>IF(AND(matrizOK,$B28="Motriz",OR(AI$2="Enlace",AI$2="Resultado"),'M1'!AS35&gt;=1),'M1'!AS35*1000000+(41-$A28)*1000+(41-AI$1),0)</f>
        <v/>
      </c>
      <c r="AJ28" s="58">
        <f>IF(AND(matrizOK,$B28="Motriz",OR(AJ$2="Enlace",AJ$2="Resultado"),'M1'!AT35&gt;=1),'M1'!AT35*1000000+(41-$A28)*1000+(41-AJ$1),0)</f>
        <v/>
      </c>
      <c r="AK28" s="58">
        <f>IF(AND(matrizOK,$B28="Motriz",OR(AK$2="Enlace",AK$2="Resultado"),'M1'!AU35&gt;=1),'M1'!AU35*1000000+(41-$A28)*1000+(41-AK$1),0)</f>
        <v/>
      </c>
      <c r="AL28" s="58">
        <f>IF(AND(matrizOK,$B28="Motriz",OR(AL$2="Enlace",AL$2="Resultado"),'M1'!AV35&gt;=1),'M1'!AV35*1000000+(41-$A28)*1000+(41-AL$1),0)</f>
        <v/>
      </c>
      <c r="AM28" s="58">
        <f>IF(AND(matrizOK,$B28="Motriz",OR(AM$2="Enlace",AM$2="Resultado"),'M1'!AW35&gt;=1),'M1'!AW35*1000000+(41-$A28)*1000+(41-AM$1),0)</f>
        <v/>
      </c>
      <c r="AN28" s="58">
        <f>IF(AND(matrizOK,$B28="Motriz",OR(AN$2="Enlace",AN$2="Resultado"),'M1'!AX35&gt;=1),'M1'!AX35*1000000+(41-$A28)*1000+(41-AN$1),0)</f>
        <v/>
      </c>
      <c r="AO28" s="58">
        <f>IF(AND(matrizOK,$B28="Motriz",OR(AO$2="Enlace",AO$2="Resultado"),'M1'!AY35&gt;=1),'M1'!AY35*1000000+(41-$A28)*1000+(41-AO$1),0)</f>
        <v/>
      </c>
      <c r="AP28" s="58">
        <f>IF(AND(matrizOK,$B28="Motriz",OR(AP$2="Enlace",AP$2="Resultado"),'M1'!AZ35&gt;=1),'M1'!AZ35*1000000+(41-$A28)*1000+(41-AP$1),0)</f>
        <v/>
      </c>
    </row>
    <row r="29">
      <c r="A29" s="58" t="n">
        <v>27</v>
      </c>
      <c r="B29" s="58">
        <f>IF($A29&lt;=nVariables,INDEX('M6'!$I$10:$I$49,$A29),"")</f>
        <v/>
      </c>
      <c r="C29" s="58">
        <f>IF(AND(matrizOK,$B29="Motriz",OR(C$2="Enlace",C$2="Resultado"),'M1'!M36&gt;=1),'M1'!M36*1000000+(41-$A29)*1000+(41-C$1),0)</f>
        <v/>
      </c>
      <c r="D29" s="58">
        <f>IF(AND(matrizOK,$B29="Motriz",OR(D$2="Enlace",D$2="Resultado"),'M1'!N36&gt;=1),'M1'!N36*1000000+(41-$A29)*1000+(41-D$1),0)</f>
        <v/>
      </c>
      <c r="E29" s="58">
        <f>IF(AND(matrizOK,$B29="Motriz",OR(E$2="Enlace",E$2="Resultado"),'M1'!O36&gt;=1),'M1'!O36*1000000+(41-$A29)*1000+(41-E$1),0)</f>
        <v/>
      </c>
      <c r="F29" s="58">
        <f>IF(AND(matrizOK,$B29="Motriz",OR(F$2="Enlace",F$2="Resultado"),'M1'!P36&gt;=1),'M1'!P36*1000000+(41-$A29)*1000+(41-F$1),0)</f>
        <v/>
      </c>
      <c r="G29" s="58">
        <f>IF(AND(matrizOK,$B29="Motriz",OR(G$2="Enlace",G$2="Resultado"),'M1'!Q36&gt;=1),'M1'!Q36*1000000+(41-$A29)*1000+(41-G$1),0)</f>
        <v/>
      </c>
      <c r="H29" s="58">
        <f>IF(AND(matrizOK,$B29="Motriz",OR(H$2="Enlace",H$2="Resultado"),'M1'!R36&gt;=1),'M1'!R36*1000000+(41-$A29)*1000+(41-H$1),0)</f>
        <v/>
      </c>
      <c r="I29" s="58">
        <f>IF(AND(matrizOK,$B29="Motriz",OR(I$2="Enlace",I$2="Resultado"),'M1'!S36&gt;=1),'M1'!S36*1000000+(41-$A29)*1000+(41-I$1),0)</f>
        <v/>
      </c>
      <c r="J29" s="58">
        <f>IF(AND(matrizOK,$B29="Motriz",OR(J$2="Enlace",J$2="Resultado"),'M1'!T36&gt;=1),'M1'!T36*1000000+(41-$A29)*1000+(41-J$1),0)</f>
        <v/>
      </c>
      <c r="K29" s="58">
        <f>IF(AND(matrizOK,$B29="Motriz",OR(K$2="Enlace",K$2="Resultado"),'M1'!U36&gt;=1),'M1'!U36*1000000+(41-$A29)*1000+(41-K$1),0)</f>
        <v/>
      </c>
      <c r="L29" s="58">
        <f>IF(AND(matrizOK,$B29="Motriz",OR(L$2="Enlace",L$2="Resultado"),'M1'!V36&gt;=1),'M1'!V36*1000000+(41-$A29)*1000+(41-L$1),0)</f>
        <v/>
      </c>
      <c r="M29" s="58">
        <f>IF(AND(matrizOK,$B29="Motriz",OR(M$2="Enlace",M$2="Resultado"),'M1'!W36&gt;=1),'M1'!W36*1000000+(41-$A29)*1000+(41-M$1),0)</f>
        <v/>
      </c>
      <c r="N29" s="58">
        <f>IF(AND(matrizOK,$B29="Motriz",OR(N$2="Enlace",N$2="Resultado"),'M1'!X36&gt;=1),'M1'!X36*1000000+(41-$A29)*1000+(41-N$1),0)</f>
        <v/>
      </c>
      <c r="O29" s="58">
        <f>IF(AND(matrizOK,$B29="Motriz",OR(O$2="Enlace",O$2="Resultado"),'M1'!Y36&gt;=1),'M1'!Y36*1000000+(41-$A29)*1000+(41-O$1),0)</f>
        <v/>
      </c>
      <c r="P29" s="58">
        <f>IF(AND(matrizOK,$B29="Motriz",OR(P$2="Enlace",P$2="Resultado"),'M1'!Z36&gt;=1),'M1'!Z36*1000000+(41-$A29)*1000+(41-P$1),0)</f>
        <v/>
      </c>
      <c r="Q29" s="58">
        <f>IF(AND(matrizOK,$B29="Motriz",OR(Q$2="Enlace",Q$2="Resultado"),'M1'!AA36&gt;=1),'M1'!AA36*1000000+(41-$A29)*1000+(41-Q$1),0)</f>
        <v/>
      </c>
      <c r="R29" s="58">
        <f>IF(AND(matrizOK,$B29="Motriz",OR(R$2="Enlace",R$2="Resultado"),'M1'!AB36&gt;=1),'M1'!AB36*1000000+(41-$A29)*1000+(41-R$1),0)</f>
        <v/>
      </c>
      <c r="S29" s="58">
        <f>IF(AND(matrizOK,$B29="Motriz",OR(S$2="Enlace",S$2="Resultado"),'M1'!AC36&gt;=1),'M1'!AC36*1000000+(41-$A29)*1000+(41-S$1),0)</f>
        <v/>
      </c>
      <c r="T29" s="58">
        <f>IF(AND(matrizOK,$B29="Motriz",OR(T$2="Enlace",T$2="Resultado"),'M1'!AD36&gt;=1),'M1'!AD36*1000000+(41-$A29)*1000+(41-T$1),0)</f>
        <v/>
      </c>
      <c r="U29" s="58">
        <f>IF(AND(matrizOK,$B29="Motriz",OR(U$2="Enlace",U$2="Resultado"),'M1'!AE36&gt;=1),'M1'!AE36*1000000+(41-$A29)*1000+(41-U$1),0)</f>
        <v/>
      </c>
      <c r="V29" s="58">
        <f>IF(AND(matrizOK,$B29="Motriz",OR(V$2="Enlace",V$2="Resultado"),'M1'!AF36&gt;=1),'M1'!AF36*1000000+(41-$A29)*1000+(41-V$1),0)</f>
        <v/>
      </c>
      <c r="W29" s="58">
        <f>IF(AND(matrizOK,$B29="Motriz",OR(W$2="Enlace",W$2="Resultado"),'M1'!AG36&gt;=1),'M1'!AG36*1000000+(41-$A29)*1000+(41-W$1),0)</f>
        <v/>
      </c>
      <c r="X29" s="58">
        <f>IF(AND(matrizOK,$B29="Motriz",OR(X$2="Enlace",X$2="Resultado"),'M1'!AH36&gt;=1),'M1'!AH36*1000000+(41-$A29)*1000+(41-X$1),0)</f>
        <v/>
      </c>
      <c r="Y29" s="58">
        <f>IF(AND(matrizOK,$B29="Motriz",OR(Y$2="Enlace",Y$2="Resultado"),'M1'!AI36&gt;=1),'M1'!AI36*1000000+(41-$A29)*1000+(41-Y$1),0)</f>
        <v/>
      </c>
      <c r="Z29" s="58">
        <f>IF(AND(matrizOK,$B29="Motriz",OR(Z$2="Enlace",Z$2="Resultado"),'M1'!AJ36&gt;=1),'M1'!AJ36*1000000+(41-$A29)*1000+(41-Z$1),0)</f>
        <v/>
      </c>
      <c r="AA29" s="58">
        <f>IF(AND(matrizOK,$B29="Motriz",OR(AA$2="Enlace",AA$2="Resultado"),'M1'!AK36&gt;=1),'M1'!AK36*1000000+(41-$A29)*1000+(41-AA$1),0)</f>
        <v/>
      </c>
      <c r="AB29" s="58">
        <f>IF(AND(matrizOK,$B29="Motriz",OR(AB$2="Enlace",AB$2="Resultado"),'M1'!AL36&gt;=1),'M1'!AL36*1000000+(41-$A29)*1000+(41-AB$1),0)</f>
        <v/>
      </c>
      <c r="AC29" s="58">
        <f>IF(AND(matrizOK,$B29="Motriz",OR(AC$2="Enlace",AC$2="Resultado"),'M1'!AM36&gt;=1),'M1'!AM36*1000000+(41-$A29)*1000+(41-AC$1),0)</f>
        <v/>
      </c>
      <c r="AD29" s="58">
        <f>IF(AND(matrizOK,$B29="Motriz",OR(AD$2="Enlace",AD$2="Resultado"),'M1'!AN36&gt;=1),'M1'!AN36*1000000+(41-$A29)*1000+(41-AD$1),0)</f>
        <v/>
      </c>
      <c r="AE29" s="58">
        <f>IF(AND(matrizOK,$B29="Motriz",OR(AE$2="Enlace",AE$2="Resultado"),'M1'!AO36&gt;=1),'M1'!AO36*1000000+(41-$A29)*1000+(41-AE$1),0)</f>
        <v/>
      </c>
      <c r="AF29" s="58">
        <f>IF(AND(matrizOK,$B29="Motriz",OR(AF$2="Enlace",AF$2="Resultado"),'M1'!AP36&gt;=1),'M1'!AP36*1000000+(41-$A29)*1000+(41-AF$1),0)</f>
        <v/>
      </c>
      <c r="AG29" s="58">
        <f>IF(AND(matrizOK,$B29="Motriz",OR(AG$2="Enlace",AG$2="Resultado"),'M1'!AQ36&gt;=1),'M1'!AQ36*1000000+(41-$A29)*1000+(41-AG$1),0)</f>
        <v/>
      </c>
      <c r="AH29" s="58">
        <f>IF(AND(matrizOK,$B29="Motriz",OR(AH$2="Enlace",AH$2="Resultado"),'M1'!AR36&gt;=1),'M1'!AR36*1000000+(41-$A29)*1000+(41-AH$1),0)</f>
        <v/>
      </c>
      <c r="AI29" s="58">
        <f>IF(AND(matrizOK,$B29="Motriz",OR(AI$2="Enlace",AI$2="Resultado"),'M1'!AS36&gt;=1),'M1'!AS36*1000000+(41-$A29)*1000+(41-AI$1),0)</f>
        <v/>
      </c>
      <c r="AJ29" s="58">
        <f>IF(AND(matrizOK,$B29="Motriz",OR(AJ$2="Enlace",AJ$2="Resultado"),'M1'!AT36&gt;=1),'M1'!AT36*1000000+(41-$A29)*1000+(41-AJ$1),0)</f>
        <v/>
      </c>
      <c r="AK29" s="58">
        <f>IF(AND(matrizOK,$B29="Motriz",OR(AK$2="Enlace",AK$2="Resultado"),'M1'!AU36&gt;=1),'M1'!AU36*1000000+(41-$A29)*1000+(41-AK$1),0)</f>
        <v/>
      </c>
      <c r="AL29" s="58">
        <f>IF(AND(matrizOK,$B29="Motriz",OR(AL$2="Enlace",AL$2="Resultado"),'M1'!AV36&gt;=1),'M1'!AV36*1000000+(41-$A29)*1000+(41-AL$1),0)</f>
        <v/>
      </c>
      <c r="AM29" s="58">
        <f>IF(AND(matrizOK,$B29="Motriz",OR(AM$2="Enlace",AM$2="Resultado"),'M1'!AW36&gt;=1),'M1'!AW36*1000000+(41-$A29)*1000+(41-AM$1),0)</f>
        <v/>
      </c>
      <c r="AN29" s="58">
        <f>IF(AND(matrizOK,$B29="Motriz",OR(AN$2="Enlace",AN$2="Resultado"),'M1'!AX36&gt;=1),'M1'!AX36*1000000+(41-$A29)*1000+(41-AN$1),0)</f>
        <v/>
      </c>
      <c r="AO29" s="58">
        <f>IF(AND(matrizOK,$B29="Motriz",OR(AO$2="Enlace",AO$2="Resultado"),'M1'!AY36&gt;=1),'M1'!AY36*1000000+(41-$A29)*1000+(41-AO$1),0)</f>
        <v/>
      </c>
      <c r="AP29" s="58">
        <f>IF(AND(matrizOK,$B29="Motriz",OR(AP$2="Enlace",AP$2="Resultado"),'M1'!AZ36&gt;=1),'M1'!AZ36*1000000+(41-$A29)*1000+(41-AP$1),0)</f>
        <v/>
      </c>
    </row>
    <row r="30">
      <c r="A30" s="58" t="n">
        <v>28</v>
      </c>
      <c r="B30" s="58">
        <f>IF($A30&lt;=nVariables,INDEX('M6'!$I$10:$I$49,$A30),"")</f>
        <v/>
      </c>
      <c r="C30" s="58">
        <f>IF(AND(matrizOK,$B30="Motriz",OR(C$2="Enlace",C$2="Resultado"),'M1'!M37&gt;=1),'M1'!M37*1000000+(41-$A30)*1000+(41-C$1),0)</f>
        <v/>
      </c>
      <c r="D30" s="58">
        <f>IF(AND(matrizOK,$B30="Motriz",OR(D$2="Enlace",D$2="Resultado"),'M1'!N37&gt;=1),'M1'!N37*1000000+(41-$A30)*1000+(41-D$1),0)</f>
        <v/>
      </c>
      <c r="E30" s="58">
        <f>IF(AND(matrizOK,$B30="Motriz",OR(E$2="Enlace",E$2="Resultado"),'M1'!O37&gt;=1),'M1'!O37*1000000+(41-$A30)*1000+(41-E$1),0)</f>
        <v/>
      </c>
      <c r="F30" s="58">
        <f>IF(AND(matrizOK,$B30="Motriz",OR(F$2="Enlace",F$2="Resultado"),'M1'!P37&gt;=1),'M1'!P37*1000000+(41-$A30)*1000+(41-F$1),0)</f>
        <v/>
      </c>
      <c r="G30" s="58">
        <f>IF(AND(matrizOK,$B30="Motriz",OR(G$2="Enlace",G$2="Resultado"),'M1'!Q37&gt;=1),'M1'!Q37*1000000+(41-$A30)*1000+(41-G$1),0)</f>
        <v/>
      </c>
      <c r="H30" s="58">
        <f>IF(AND(matrizOK,$B30="Motriz",OR(H$2="Enlace",H$2="Resultado"),'M1'!R37&gt;=1),'M1'!R37*1000000+(41-$A30)*1000+(41-H$1),0)</f>
        <v/>
      </c>
      <c r="I30" s="58">
        <f>IF(AND(matrizOK,$B30="Motriz",OR(I$2="Enlace",I$2="Resultado"),'M1'!S37&gt;=1),'M1'!S37*1000000+(41-$A30)*1000+(41-I$1),0)</f>
        <v/>
      </c>
      <c r="J30" s="58">
        <f>IF(AND(matrizOK,$B30="Motriz",OR(J$2="Enlace",J$2="Resultado"),'M1'!T37&gt;=1),'M1'!T37*1000000+(41-$A30)*1000+(41-J$1),0)</f>
        <v/>
      </c>
      <c r="K30" s="58">
        <f>IF(AND(matrizOK,$B30="Motriz",OR(K$2="Enlace",K$2="Resultado"),'M1'!U37&gt;=1),'M1'!U37*1000000+(41-$A30)*1000+(41-K$1),0)</f>
        <v/>
      </c>
      <c r="L30" s="58">
        <f>IF(AND(matrizOK,$B30="Motriz",OR(L$2="Enlace",L$2="Resultado"),'M1'!V37&gt;=1),'M1'!V37*1000000+(41-$A30)*1000+(41-L$1),0)</f>
        <v/>
      </c>
      <c r="M30" s="58">
        <f>IF(AND(matrizOK,$B30="Motriz",OR(M$2="Enlace",M$2="Resultado"),'M1'!W37&gt;=1),'M1'!W37*1000000+(41-$A30)*1000+(41-M$1),0)</f>
        <v/>
      </c>
      <c r="N30" s="58">
        <f>IF(AND(matrizOK,$B30="Motriz",OR(N$2="Enlace",N$2="Resultado"),'M1'!X37&gt;=1),'M1'!X37*1000000+(41-$A30)*1000+(41-N$1),0)</f>
        <v/>
      </c>
      <c r="O30" s="58">
        <f>IF(AND(matrizOK,$B30="Motriz",OR(O$2="Enlace",O$2="Resultado"),'M1'!Y37&gt;=1),'M1'!Y37*1000000+(41-$A30)*1000+(41-O$1),0)</f>
        <v/>
      </c>
      <c r="P30" s="58">
        <f>IF(AND(matrizOK,$B30="Motriz",OR(P$2="Enlace",P$2="Resultado"),'M1'!Z37&gt;=1),'M1'!Z37*1000000+(41-$A30)*1000+(41-P$1),0)</f>
        <v/>
      </c>
      <c r="Q30" s="58">
        <f>IF(AND(matrizOK,$B30="Motriz",OR(Q$2="Enlace",Q$2="Resultado"),'M1'!AA37&gt;=1),'M1'!AA37*1000000+(41-$A30)*1000+(41-Q$1),0)</f>
        <v/>
      </c>
      <c r="R30" s="58">
        <f>IF(AND(matrizOK,$B30="Motriz",OR(R$2="Enlace",R$2="Resultado"),'M1'!AB37&gt;=1),'M1'!AB37*1000000+(41-$A30)*1000+(41-R$1),0)</f>
        <v/>
      </c>
      <c r="S30" s="58">
        <f>IF(AND(matrizOK,$B30="Motriz",OR(S$2="Enlace",S$2="Resultado"),'M1'!AC37&gt;=1),'M1'!AC37*1000000+(41-$A30)*1000+(41-S$1),0)</f>
        <v/>
      </c>
      <c r="T30" s="58">
        <f>IF(AND(matrizOK,$B30="Motriz",OR(T$2="Enlace",T$2="Resultado"),'M1'!AD37&gt;=1),'M1'!AD37*1000000+(41-$A30)*1000+(41-T$1),0)</f>
        <v/>
      </c>
      <c r="U30" s="58">
        <f>IF(AND(matrizOK,$B30="Motriz",OR(U$2="Enlace",U$2="Resultado"),'M1'!AE37&gt;=1),'M1'!AE37*1000000+(41-$A30)*1000+(41-U$1),0)</f>
        <v/>
      </c>
      <c r="V30" s="58">
        <f>IF(AND(matrizOK,$B30="Motriz",OR(V$2="Enlace",V$2="Resultado"),'M1'!AF37&gt;=1),'M1'!AF37*1000000+(41-$A30)*1000+(41-V$1),0)</f>
        <v/>
      </c>
      <c r="W30" s="58">
        <f>IF(AND(matrizOK,$B30="Motriz",OR(W$2="Enlace",W$2="Resultado"),'M1'!AG37&gt;=1),'M1'!AG37*1000000+(41-$A30)*1000+(41-W$1),0)</f>
        <v/>
      </c>
      <c r="X30" s="58">
        <f>IF(AND(matrizOK,$B30="Motriz",OR(X$2="Enlace",X$2="Resultado"),'M1'!AH37&gt;=1),'M1'!AH37*1000000+(41-$A30)*1000+(41-X$1),0)</f>
        <v/>
      </c>
      <c r="Y30" s="58">
        <f>IF(AND(matrizOK,$B30="Motriz",OR(Y$2="Enlace",Y$2="Resultado"),'M1'!AI37&gt;=1),'M1'!AI37*1000000+(41-$A30)*1000+(41-Y$1),0)</f>
        <v/>
      </c>
      <c r="Z30" s="58">
        <f>IF(AND(matrizOK,$B30="Motriz",OR(Z$2="Enlace",Z$2="Resultado"),'M1'!AJ37&gt;=1),'M1'!AJ37*1000000+(41-$A30)*1000+(41-Z$1),0)</f>
        <v/>
      </c>
      <c r="AA30" s="58">
        <f>IF(AND(matrizOK,$B30="Motriz",OR(AA$2="Enlace",AA$2="Resultado"),'M1'!AK37&gt;=1),'M1'!AK37*1000000+(41-$A30)*1000+(41-AA$1),0)</f>
        <v/>
      </c>
      <c r="AB30" s="58">
        <f>IF(AND(matrizOK,$B30="Motriz",OR(AB$2="Enlace",AB$2="Resultado"),'M1'!AL37&gt;=1),'M1'!AL37*1000000+(41-$A30)*1000+(41-AB$1),0)</f>
        <v/>
      </c>
      <c r="AC30" s="58">
        <f>IF(AND(matrizOK,$B30="Motriz",OR(AC$2="Enlace",AC$2="Resultado"),'M1'!AM37&gt;=1),'M1'!AM37*1000000+(41-$A30)*1000+(41-AC$1),0)</f>
        <v/>
      </c>
      <c r="AD30" s="58">
        <f>IF(AND(matrizOK,$B30="Motriz",OR(AD$2="Enlace",AD$2="Resultado"),'M1'!AN37&gt;=1),'M1'!AN37*1000000+(41-$A30)*1000+(41-AD$1),0)</f>
        <v/>
      </c>
      <c r="AE30" s="58">
        <f>IF(AND(matrizOK,$B30="Motriz",OR(AE$2="Enlace",AE$2="Resultado"),'M1'!AO37&gt;=1),'M1'!AO37*1000000+(41-$A30)*1000+(41-AE$1),0)</f>
        <v/>
      </c>
      <c r="AF30" s="58">
        <f>IF(AND(matrizOK,$B30="Motriz",OR(AF$2="Enlace",AF$2="Resultado"),'M1'!AP37&gt;=1),'M1'!AP37*1000000+(41-$A30)*1000+(41-AF$1),0)</f>
        <v/>
      </c>
      <c r="AG30" s="58">
        <f>IF(AND(matrizOK,$B30="Motriz",OR(AG$2="Enlace",AG$2="Resultado"),'M1'!AQ37&gt;=1),'M1'!AQ37*1000000+(41-$A30)*1000+(41-AG$1),0)</f>
        <v/>
      </c>
      <c r="AH30" s="58">
        <f>IF(AND(matrizOK,$B30="Motriz",OR(AH$2="Enlace",AH$2="Resultado"),'M1'!AR37&gt;=1),'M1'!AR37*1000000+(41-$A30)*1000+(41-AH$1),0)</f>
        <v/>
      </c>
      <c r="AI30" s="58">
        <f>IF(AND(matrizOK,$B30="Motriz",OR(AI$2="Enlace",AI$2="Resultado"),'M1'!AS37&gt;=1),'M1'!AS37*1000000+(41-$A30)*1000+(41-AI$1),0)</f>
        <v/>
      </c>
      <c r="AJ30" s="58">
        <f>IF(AND(matrizOK,$B30="Motriz",OR(AJ$2="Enlace",AJ$2="Resultado"),'M1'!AT37&gt;=1),'M1'!AT37*1000000+(41-$A30)*1000+(41-AJ$1),0)</f>
        <v/>
      </c>
      <c r="AK30" s="58">
        <f>IF(AND(matrizOK,$B30="Motriz",OR(AK$2="Enlace",AK$2="Resultado"),'M1'!AU37&gt;=1),'M1'!AU37*1000000+(41-$A30)*1000+(41-AK$1),0)</f>
        <v/>
      </c>
      <c r="AL30" s="58">
        <f>IF(AND(matrizOK,$B30="Motriz",OR(AL$2="Enlace",AL$2="Resultado"),'M1'!AV37&gt;=1),'M1'!AV37*1000000+(41-$A30)*1000+(41-AL$1),0)</f>
        <v/>
      </c>
      <c r="AM30" s="58">
        <f>IF(AND(matrizOK,$B30="Motriz",OR(AM$2="Enlace",AM$2="Resultado"),'M1'!AW37&gt;=1),'M1'!AW37*1000000+(41-$A30)*1000+(41-AM$1),0)</f>
        <v/>
      </c>
      <c r="AN30" s="58">
        <f>IF(AND(matrizOK,$B30="Motriz",OR(AN$2="Enlace",AN$2="Resultado"),'M1'!AX37&gt;=1),'M1'!AX37*1000000+(41-$A30)*1000+(41-AN$1),0)</f>
        <v/>
      </c>
      <c r="AO30" s="58">
        <f>IF(AND(matrizOK,$B30="Motriz",OR(AO$2="Enlace",AO$2="Resultado"),'M1'!AY37&gt;=1),'M1'!AY37*1000000+(41-$A30)*1000+(41-AO$1),0)</f>
        <v/>
      </c>
      <c r="AP30" s="58">
        <f>IF(AND(matrizOK,$B30="Motriz",OR(AP$2="Enlace",AP$2="Resultado"),'M1'!AZ37&gt;=1),'M1'!AZ37*1000000+(41-$A30)*1000+(41-AP$1),0)</f>
        <v/>
      </c>
    </row>
    <row r="31">
      <c r="A31" s="58" t="n">
        <v>29</v>
      </c>
      <c r="B31" s="58">
        <f>IF($A31&lt;=nVariables,INDEX('M6'!$I$10:$I$49,$A31),"")</f>
        <v/>
      </c>
      <c r="C31" s="58">
        <f>IF(AND(matrizOK,$B31="Motriz",OR(C$2="Enlace",C$2="Resultado"),'M1'!M38&gt;=1),'M1'!M38*1000000+(41-$A31)*1000+(41-C$1),0)</f>
        <v/>
      </c>
      <c r="D31" s="58">
        <f>IF(AND(matrizOK,$B31="Motriz",OR(D$2="Enlace",D$2="Resultado"),'M1'!N38&gt;=1),'M1'!N38*1000000+(41-$A31)*1000+(41-D$1),0)</f>
        <v/>
      </c>
      <c r="E31" s="58">
        <f>IF(AND(matrizOK,$B31="Motriz",OR(E$2="Enlace",E$2="Resultado"),'M1'!O38&gt;=1),'M1'!O38*1000000+(41-$A31)*1000+(41-E$1),0)</f>
        <v/>
      </c>
      <c r="F31" s="58">
        <f>IF(AND(matrizOK,$B31="Motriz",OR(F$2="Enlace",F$2="Resultado"),'M1'!P38&gt;=1),'M1'!P38*1000000+(41-$A31)*1000+(41-F$1),0)</f>
        <v/>
      </c>
      <c r="G31" s="58">
        <f>IF(AND(matrizOK,$B31="Motriz",OR(G$2="Enlace",G$2="Resultado"),'M1'!Q38&gt;=1),'M1'!Q38*1000000+(41-$A31)*1000+(41-G$1),0)</f>
        <v/>
      </c>
      <c r="H31" s="58">
        <f>IF(AND(matrizOK,$B31="Motriz",OR(H$2="Enlace",H$2="Resultado"),'M1'!R38&gt;=1),'M1'!R38*1000000+(41-$A31)*1000+(41-H$1),0)</f>
        <v/>
      </c>
      <c r="I31" s="58">
        <f>IF(AND(matrizOK,$B31="Motriz",OR(I$2="Enlace",I$2="Resultado"),'M1'!S38&gt;=1),'M1'!S38*1000000+(41-$A31)*1000+(41-I$1),0)</f>
        <v/>
      </c>
      <c r="J31" s="58">
        <f>IF(AND(matrizOK,$B31="Motriz",OR(J$2="Enlace",J$2="Resultado"),'M1'!T38&gt;=1),'M1'!T38*1000000+(41-$A31)*1000+(41-J$1),0)</f>
        <v/>
      </c>
      <c r="K31" s="58">
        <f>IF(AND(matrizOK,$B31="Motriz",OR(K$2="Enlace",K$2="Resultado"),'M1'!U38&gt;=1),'M1'!U38*1000000+(41-$A31)*1000+(41-K$1),0)</f>
        <v/>
      </c>
      <c r="L31" s="58">
        <f>IF(AND(matrizOK,$B31="Motriz",OR(L$2="Enlace",L$2="Resultado"),'M1'!V38&gt;=1),'M1'!V38*1000000+(41-$A31)*1000+(41-L$1),0)</f>
        <v/>
      </c>
      <c r="M31" s="58">
        <f>IF(AND(matrizOK,$B31="Motriz",OR(M$2="Enlace",M$2="Resultado"),'M1'!W38&gt;=1),'M1'!W38*1000000+(41-$A31)*1000+(41-M$1),0)</f>
        <v/>
      </c>
      <c r="N31" s="58">
        <f>IF(AND(matrizOK,$B31="Motriz",OR(N$2="Enlace",N$2="Resultado"),'M1'!X38&gt;=1),'M1'!X38*1000000+(41-$A31)*1000+(41-N$1),0)</f>
        <v/>
      </c>
      <c r="O31" s="58">
        <f>IF(AND(matrizOK,$B31="Motriz",OR(O$2="Enlace",O$2="Resultado"),'M1'!Y38&gt;=1),'M1'!Y38*1000000+(41-$A31)*1000+(41-O$1),0)</f>
        <v/>
      </c>
      <c r="P31" s="58">
        <f>IF(AND(matrizOK,$B31="Motriz",OR(P$2="Enlace",P$2="Resultado"),'M1'!Z38&gt;=1),'M1'!Z38*1000000+(41-$A31)*1000+(41-P$1),0)</f>
        <v/>
      </c>
      <c r="Q31" s="58">
        <f>IF(AND(matrizOK,$B31="Motriz",OR(Q$2="Enlace",Q$2="Resultado"),'M1'!AA38&gt;=1),'M1'!AA38*1000000+(41-$A31)*1000+(41-Q$1),0)</f>
        <v/>
      </c>
      <c r="R31" s="58">
        <f>IF(AND(matrizOK,$B31="Motriz",OR(R$2="Enlace",R$2="Resultado"),'M1'!AB38&gt;=1),'M1'!AB38*1000000+(41-$A31)*1000+(41-R$1),0)</f>
        <v/>
      </c>
      <c r="S31" s="58">
        <f>IF(AND(matrizOK,$B31="Motriz",OR(S$2="Enlace",S$2="Resultado"),'M1'!AC38&gt;=1),'M1'!AC38*1000000+(41-$A31)*1000+(41-S$1),0)</f>
        <v/>
      </c>
      <c r="T31" s="58">
        <f>IF(AND(matrizOK,$B31="Motriz",OR(T$2="Enlace",T$2="Resultado"),'M1'!AD38&gt;=1),'M1'!AD38*1000000+(41-$A31)*1000+(41-T$1),0)</f>
        <v/>
      </c>
      <c r="U31" s="58">
        <f>IF(AND(matrizOK,$B31="Motriz",OR(U$2="Enlace",U$2="Resultado"),'M1'!AE38&gt;=1),'M1'!AE38*1000000+(41-$A31)*1000+(41-U$1),0)</f>
        <v/>
      </c>
      <c r="V31" s="58">
        <f>IF(AND(matrizOK,$B31="Motriz",OR(V$2="Enlace",V$2="Resultado"),'M1'!AF38&gt;=1),'M1'!AF38*1000000+(41-$A31)*1000+(41-V$1),0)</f>
        <v/>
      </c>
      <c r="W31" s="58">
        <f>IF(AND(matrizOK,$B31="Motriz",OR(W$2="Enlace",W$2="Resultado"),'M1'!AG38&gt;=1),'M1'!AG38*1000000+(41-$A31)*1000+(41-W$1),0)</f>
        <v/>
      </c>
      <c r="X31" s="58">
        <f>IF(AND(matrizOK,$B31="Motriz",OR(X$2="Enlace",X$2="Resultado"),'M1'!AH38&gt;=1),'M1'!AH38*1000000+(41-$A31)*1000+(41-X$1),0)</f>
        <v/>
      </c>
      <c r="Y31" s="58">
        <f>IF(AND(matrizOK,$B31="Motriz",OR(Y$2="Enlace",Y$2="Resultado"),'M1'!AI38&gt;=1),'M1'!AI38*1000000+(41-$A31)*1000+(41-Y$1),0)</f>
        <v/>
      </c>
      <c r="Z31" s="58">
        <f>IF(AND(matrizOK,$B31="Motriz",OR(Z$2="Enlace",Z$2="Resultado"),'M1'!AJ38&gt;=1),'M1'!AJ38*1000000+(41-$A31)*1000+(41-Z$1),0)</f>
        <v/>
      </c>
      <c r="AA31" s="58">
        <f>IF(AND(matrizOK,$B31="Motriz",OR(AA$2="Enlace",AA$2="Resultado"),'M1'!AK38&gt;=1),'M1'!AK38*1000000+(41-$A31)*1000+(41-AA$1),0)</f>
        <v/>
      </c>
      <c r="AB31" s="58">
        <f>IF(AND(matrizOK,$B31="Motriz",OR(AB$2="Enlace",AB$2="Resultado"),'M1'!AL38&gt;=1),'M1'!AL38*1000000+(41-$A31)*1000+(41-AB$1),0)</f>
        <v/>
      </c>
      <c r="AC31" s="58">
        <f>IF(AND(matrizOK,$B31="Motriz",OR(AC$2="Enlace",AC$2="Resultado"),'M1'!AM38&gt;=1),'M1'!AM38*1000000+(41-$A31)*1000+(41-AC$1),0)</f>
        <v/>
      </c>
      <c r="AD31" s="58">
        <f>IF(AND(matrizOK,$B31="Motriz",OR(AD$2="Enlace",AD$2="Resultado"),'M1'!AN38&gt;=1),'M1'!AN38*1000000+(41-$A31)*1000+(41-AD$1),0)</f>
        <v/>
      </c>
      <c r="AE31" s="58">
        <f>IF(AND(matrizOK,$B31="Motriz",OR(AE$2="Enlace",AE$2="Resultado"),'M1'!AO38&gt;=1),'M1'!AO38*1000000+(41-$A31)*1000+(41-AE$1),0)</f>
        <v/>
      </c>
      <c r="AF31" s="58">
        <f>IF(AND(matrizOK,$B31="Motriz",OR(AF$2="Enlace",AF$2="Resultado"),'M1'!AP38&gt;=1),'M1'!AP38*1000000+(41-$A31)*1000+(41-AF$1),0)</f>
        <v/>
      </c>
      <c r="AG31" s="58">
        <f>IF(AND(matrizOK,$B31="Motriz",OR(AG$2="Enlace",AG$2="Resultado"),'M1'!AQ38&gt;=1),'M1'!AQ38*1000000+(41-$A31)*1000+(41-AG$1),0)</f>
        <v/>
      </c>
      <c r="AH31" s="58">
        <f>IF(AND(matrizOK,$B31="Motriz",OR(AH$2="Enlace",AH$2="Resultado"),'M1'!AR38&gt;=1),'M1'!AR38*1000000+(41-$A31)*1000+(41-AH$1),0)</f>
        <v/>
      </c>
      <c r="AI31" s="58">
        <f>IF(AND(matrizOK,$B31="Motriz",OR(AI$2="Enlace",AI$2="Resultado"),'M1'!AS38&gt;=1),'M1'!AS38*1000000+(41-$A31)*1000+(41-AI$1),0)</f>
        <v/>
      </c>
      <c r="AJ31" s="58">
        <f>IF(AND(matrizOK,$B31="Motriz",OR(AJ$2="Enlace",AJ$2="Resultado"),'M1'!AT38&gt;=1),'M1'!AT38*1000000+(41-$A31)*1000+(41-AJ$1),0)</f>
        <v/>
      </c>
      <c r="AK31" s="58">
        <f>IF(AND(matrizOK,$B31="Motriz",OR(AK$2="Enlace",AK$2="Resultado"),'M1'!AU38&gt;=1),'M1'!AU38*1000000+(41-$A31)*1000+(41-AK$1),0)</f>
        <v/>
      </c>
      <c r="AL31" s="58">
        <f>IF(AND(matrizOK,$B31="Motriz",OR(AL$2="Enlace",AL$2="Resultado"),'M1'!AV38&gt;=1),'M1'!AV38*1000000+(41-$A31)*1000+(41-AL$1),0)</f>
        <v/>
      </c>
      <c r="AM31" s="58">
        <f>IF(AND(matrizOK,$B31="Motriz",OR(AM$2="Enlace",AM$2="Resultado"),'M1'!AW38&gt;=1),'M1'!AW38*1000000+(41-$A31)*1000+(41-AM$1),0)</f>
        <v/>
      </c>
      <c r="AN31" s="58">
        <f>IF(AND(matrizOK,$B31="Motriz",OR(AN$2="Enlace",AN$2="Resultado"),'M1'!AX38&gt;=1),'M1'!AX38*1000000+(41-$A31)*1000+(41-AN$1),0)</f>
        <v/>
      </c>
      <c r="AO31" s="58">
        <f>IF(AND(matrizOK,$B31="Motriz",OR(AO$2="Enlace",AO$2="Resultado"),'M1'!AY38&gt;=1),'M1'!AY38*1000000+(41-$A31)*1000+(41-AO$1),0)</f>
        <v/>
      </c>
      <c r="AP31" s="58">
        <f>IF(AND(matrizOK,$B31="Motriz",OR(AP$2="Enlace",AP$2="Resultado"),'M1'!AZ38&gt;=1),'M1'!AZ38*1000000+(41-$A31)*1000+(41-AP$1),0)</f>
        <v/>
      </c>
    </row>
    <row r="32">
      <c r="A32" s="58" t="n">
        <v>30</v>
      </c>
      <c r="B32" s="58">
        <f>IF($A32&lt;=nVariables,INDEX('M6'!$I$10:$I$49,$A32),"")</f>
        <v/>
      </c>
      <c r="C32" s="58">
        <f>IF(AND(matrizOK,$B32="Motriz",OR(C$2="Enlace",C$2="Resultado"),'M1'!M39&gt;=1),'M1'!M39*1000000+(41-$A32)*1000+(41-C$1),0)</f>
        <v/>
      </c>
      <c r="D32" s="58">
        <f>IF(AND(matrizOK,$B32="Motriz",OR(D$2="Enlace",D$2="Resultado"),'M1'!N39&gt;=1),'M1'!N39*1000000+(41-$A32)*1000+(41-D$1),0)</f>
        <v/>
      </c>
      <c r="E32" s="58">
        <f>IF(AND(matrizOK,$B32="Motriz",OR(E$2="Enlace",E$2="Resultado"),'M1'!O39&gt;=1),'M1'!O39*1000000+(41-$A32)*1000+(41-E$1),0)</f>
        <v/>
      </c>
      <c r="F32" s="58">
        <f>IF(AND(matrizOK,$B32="Motriz",OR(F$2="Enlace",F$2="Resultado"),'M1'!P39&gt;=1),'M1'!P39*1000000+(41-$A32)*1000+(41-F$1),0)</f>
        <v/>
      </c>
      <c r="G32" s="58">
        <f>IF(AND(matrizOK,$B32="Motriz",OR(G$2="Enlace",G$2="Resultado"),'M1'!Q39&gt;=1),'M1'!Q39*1000000+(41-$A32)*1000+(41-G$1),0)</f>
        <v/>
      </c>
      <c r="H32" s="58">
        <f>IF(AND(matrizOK,$B32="Motriz",OR(H$2="Enlace",H$2="Resultado"),'M1'!R39&gt;=1),'M1'!R39*1000000+(41-$A32)*1000+(41-H$1),0)</f>
        <v/>
      </c>
      <c r="I32" s="58">
        <f>IF(AND(matrizOK,$B32="Motriz",OR(I$2="Enlace",I$2="Resultado"),'M1'!S39&gt;=1),'M1'!S39*1000000+(41-$A32)*1000+(41-I$1),0)</f>
        <v/>
      </c>
      <c r="J32" s="58">
        <f>IF(AND(matrizOK,$B32="Motriz",OR(J$2="Enlace",J$2="Resultado"),'M1'!T39&gt;=1),'M1'!T39*1000000+(41-$A32)*1000+(41-J$1),0)</f>
        <v/>
      </c>
      <c r="K32" s="58">
        <f>IF(AND(matrizOK,$B32="Motriz",OR(K$2="Enlace",K$2="Resultado"),'M1'!U39&gt;=1),'M1'!U39*1000000+(41-$A32)*1000+(41-K$1),0)</f>
        <v/>
      </c>
      <c r="L32" s="58">
        <f>IF(AND(matrizOK,$B32="Motriz",OR(L$2="Enlace",L$2="Resultado"),'M1'!V39&gt;=1),'M1'!V39*1000000+(41-$A32)*1000+(41-L$1),0)</f>
        <v/>
      </c>
      <c r="M32" s="58">
        <f>IF(AND(matrizOK,$B32="Motriz",OR(M$2="Enlace",M$2="Resultado"),'M1'!W39&gt;=1),'M1'!W39*1000000+(41-$A32)*1000+(41-M$1),0)</f>
        <v/>
      </c>
      <c r="N32" s="58">
        <f>IF(AND(matrizOK,$B32="Motriz",OR(N$2="Enlace",N$2="Resultado"),'M1'!X39&gt;=1),'M1'!X39*1000000+(41-$A32)*1000+(41-N$1),0)</f>
        <v/>
      </c>
      <c r="O32" s="58">
        <f>IF(AND(matrizOK,$B32="Motriz",OR(O$2="Enlace",O$2="Resultado"),'M1'!Y39&gt;=1),'M1'!Y39*1000000+(41-$A32)*1000+(41-O$1),0)</f>
        <v/>
      </c>
      <c r="P32" s="58">
        <f>IF(AND(matrizOK,$B32="Motriz",OR(P$2="Enlace",P$2="Resultado"),'M1'!Z39&gt;=1),'M1'!Z39*1000000+(41-$A32)*1000+(41-P$1),0)</f>
        <v/>
      </c>
      <c r="Q32" s="58">
        <f>IF(AND(matrizOK,$B32="Motriz",OR(Q$2="Enlace",Q$2="Resultado"),'M1'!AA39&gt;=1),'M1'!AA39*1000000+(41-$A32)*1000+(41-Q$1),0)</f>
        <v/>
      </c>
      <c r="R32" s="58">
        <f>IF(AND(matrizOK,$B32="Motriz",OR(R$2="Enlace",R$2="Resultado"),'M1'!AB39&gt;=1),'M1'!AB39*1000000+(41-$A32)*1000+(41-R$1),0)</f>
        <v/>
      </c>
      <c r="S32" s="58">
        <f>IF(AND(matrizOK,$B32="Motriz",OR(S$2="Enlace",S$2="Resultado"),'M1'!AC39&gt;=1),'M1'!AC39*1000000+(41-$A32)*1000+(41-S$1),0)</f>
        <v/>
      </c>
      <c r="T32" s="58">
        <f>IF(AND(matrizOK,$B32="Motriz",OR(T$2="Enlace",T$2="Resultado"),'M1'!AD39&gt;=1),'M1'!AD39*1000000+(41-$A32)*1000+(41-T$1),0)</f>
        <v/>
      </c>
      <c r="U32" s="58">
        <f>IF(AND(matrizOK,$B32="Motriz",OR(U$2="Enlace",U$2="Resultado"),'M1'!AE39&gt;=1),'M1'!AE39*1000000+(41-$A32)*1000+(41-U$1),0)</f>
        <v/>
      </c>
      <c r="V32" s="58">
        <f>IF(AND(matrizOK,$B32="Motriz",OR(V$2="Enlace",V$2="Resultado"),'M1'!AF39&gt;=1),'M1'!AF39*1000000+(41-$A32)*1000+(41-V$1),0)</f>
        <v/>
      </c>
      <c r="W32" s="58">
        <f>IF(AND(matrizOK,$B32="Motriz",OR(W$2="Enlace",W$2="Resultado"),'M1'!AG39&gt;=1),'M1'!AG39*1000000+(41-$A32)*1000+(41-W$1),0)</f>
        <v/>
      </c>
      <c r="X32" s="58">
        <f>IF(AND(matrizOK,$B32="Motriz",OR(X$2="Enlace",X$2="Resultado"),'M1'!AH39&gt;=1),'M1'!AH39*1000000+(41-$A32)*1000+(41-X$1),0)</f>
        <v/>
      </c>
      <c r="Y32" s="58">
        <f>IF(AND(matrizOK,$B32="Motriz",OR(Y$2="Enlace",Y$2="Resultado"),'M1'!AI39&gt;=1),'M1'!AI39*1000000+(41-$A32)*1000+(41-Y$1),0)</f>
        <v/>
      </c>
      <c r="Z32" s="58">
        <f>IF(AND(matrizOK,$B32="Motriz",OR(Z$2="Enlace",Z$2="Resultado"),'M1'!AJ39&gt;=1),'M1'!AJ39*1000000+(41-$A32)*1000+(41-Z$1),0)</f>
        <v/>
      </c>
      <c r="AA32" s="58">
        <f>IF(AND(matrizOK,$B32="Motriz",OR(AA$2="Enlace",AA$2="Resultado"),'M1'!AK39&gt;=1),'M1'!AK39*1000000+(41-$A32)*1000+(41-AA$1),0)</f>
        <v/>
      </c>
      <c r="AB32" s="58">
        <f>IF(AND(matrizOK,$B32="Motriz",OR(AB$2="Enlace",AB$2="Resultado"),'M1'!AL39&gt;=1),'M1'!AL39*1000000+(41-$A32)*1000+(41-AB$1),0)</f>
        <v/>
      </c>
      <c r="AC32" s="58">
        <f>IF(AND(matrizOK,$B32="Motriz",OR(AC$2="Enlace",AC$2="Resultado"),'M1'!AM39&gt;=1),'M1'!AM39*1000000+(41-$A32)*1000+(41-AC$1),0)</f>
        <v/>
      </c>
      <c r="AD32" s="58">
        <f>IF(AND(matrizOK,$B32="Motriz",OR(AD$2="Enlace",AD$2="Resultado"),'M1'!AN39&gt;=1),'M1'!AN39*1000000+(41-$A32)*1000+(41-AD$1),0)</f>
        <v/>
      </c>
      <c r="AE32" s="58">
        <f>IF(AND(matrizOK,$B32="Motriz",OR(AE$2="Enlace",AE$2="Resultado"),'M1'!AO39&gt;=1),'M1'!AO39*1000000+(41-$A32)*1000+(41-AE$1),0)</f>
        <v/>
      </c>
      <c r="AF32" s="58">
        <f>IF(AND(matrizOK,$B32="Motriz",OR(AF$2="Enlace",AF$2="Resultado"),'M1'!AP39&gt;=1),'M1'!AP39*1000000+(41-$A32)*1000+(41-AF$1),0)</f>
        <v/>
      </c>
      <c r="AG32" s="58">
        <f>IF(AND(matrizOK,$B32="Motriz",OR(AG$2="Enlace",AG$2="Resultado"),'M1'!AQ39&gt;=1),'M1'!AQ39*1000000+(41-$A32)*1000+(41-AG$1),0)</f>
        <v/>
      </c>
      <c r="AH32" s="58">
        <f>IF(AND(matrizOK,$B32="Motriz",OR(AH$2="Enlace",AH$2="Resultado"),'M1'!AR39&gt;=1),'M1'!AR39*1000000+(41-$A32)*1000+(41-AH$1),0)</f>
        <v/>
      </c>
      <c r="AI32" s="58">
        <f>IF(AND(matrizOK,$B32="Motriz",OR(AI$2="Enlace",AI$2="Resultado"),'M1'!AS39&gt;=1),'M1'!AS39*1000000+(41-$A32)*1000+(41-AI$1),0)</f>
        <v/>
      </c>
      <c r="AJ32" s="58">
        <f>IF(AND(matrizOK,$B32="Motriz",OR(AJ$2="Enlace",AJ$2="Resultado"),'M1'!AT39&gt;=1),'M1'!AT39*1000000+(41-$A32)*1000+(41-AJ$1),0)</f>
        <v/>
      </c>
      <c r="AK32" s="58">
        <f>IF(AND(matrizOK,$B32="Motriz",OR(AK$2="Enlace",AK$2="Resultado"),'M1'!AU39&gt;=1),'M1'!AU39*1000000+(41-$A32)*1000+(41-AK$1),0)</f>
        <v/>
      </c>
      <c r="AL32" s="58">
        <f>IF(AND(matrizOK,$B32="Motriz",OR(AL$2="Enlace",AL$2="Resultado"),'M1'!AV39&gt;=1),'M1'!AV39*1000000+(41-$A32)*1000+(41-AL$1),0)</f>
        <v/>
      </c>
      <c r="AM32" s="58">
        <f>IF(AND(matrizOK,$B32="Motriz",OR(AM$2="Enlace",AM$2="Resultado"),'M1'!AW39&gt;=1),'M1'!AW39*1000000+(41-$A32)*1000+(41-AM$1),0)</f>
        <v/>
      </c>
      <c r="AN32" s="58">
        <f>IF(AND(matrizOK,$B32="Motriz",OR(AN$2="Enlace",AN$2="Resultado"),'M1'!AX39&gt;=1),'M1'!AX39*1000000+(41-$A32)*1000+(41-AN$1),0)</f>
        <v/>
      </c>
      <c r="AO32" s="58">
        <f>IF(AND(matrizOK,$B32="Motriz",OR(AO$2="Enlace",AO$2="Resultado"),'M1'!AY39&gt;=1),'M1'!AY39*1000000+(41-$A32)*1000+(41-AO$1),0)</f>
        <v/>
      </c>
      <c r="AP32" s="58">
        <f>IF(AND(matrizOK,$B32="Motriz",OR(AP$2="Enlace",AP$2="Resultado"),'M1'!AZ39&gt;=1),'M1'!AZ39*1000000+(41-$A32)*1000+(41-AP$1),0)</f>
        <v/>
      </c>
    </row>
    <row r="33">
      <c r="A33" s="58" t="n">
        <v>31</v>
      </c>
      <c r="B33" s="58">
        <f>IF($A33&lt;=nVariables,INDEX('M6'!$I$10:$I$49,$A33),"")</f>
        <v/>
      </c>
      <c r="C33" s="58">
        <f>IF(AND(matrizOK,$B33="Motriz",OR(C$2="Enlace",C$2="Resultado"),'M1'!M40&gt;=1),'M1'!M40*1000000+(41-$A33)*1000+(41-C$1),0)</f>
        <v/>
      </c>
      <c r="D33" s="58">
        <f>IF(AND(matrizOK,$B33="Motriz",OR(D$2="Enlace",D$2="Resultado"),'M1'!N40&gt;=1),'M1'!N40*1000000+(41-$A33)*1000+(41-D$1),0)</f>
        <v/>
      </c>
      <c r="E33" s="58">
        <f>IF(AND(matrizOK,$B33="Motriz",OR(E$2="Enlace",E$2="Resultado"),'M1'!O40&gt;=1),'M1'!O40*1000000+(41-$A33)*1000+(41-E$1),0)</f>
        <v/>
      </c>
      <c r="F33" s="58">
        <f>IF(AND(matrizOK,$B33="Motriz",OR(F$2="Enlace",F$2="Resultado"),'M1'!P40&gt;=1),'M1'!P40*1000000+(41-$A33)*1000+(41-F$1),0)</f>
        <v/>
      </c>
      <c r="G33" s="58">
        <f>IF(AND(matrizOK,$B33="Motriz",OR(G$2="Enlace",G$2="Resultado"),'M1'!Q40&gt;=1),'M1'!Q40*1000000+(41-$A33)*1000+(41-G$1),0)</f>
        <v/>
      </c>
      <c r="H33" s="58">
        <f>IF(AND(matrizOK,$B33="Motriz",OR(H$2="Enlace",H$2="Resultado"),'M1'!R40&gt;=1),'M1'!R40*1000000+(41-$A33)*1000+(41-H$1),0)</f>
        <v/>
      </c>
      <c r="I33" s="58">
        <f>IF(AND(matrizOK,$B33="Motriz",OR(I$2="Enlace",I$2="Resultado"),'M1'!S40&gt;=1),'M1'!S40*1000000+(41-$A33)*1000+(41-I$1),0)</f>
        <v/>
      </c>
      <c r="J33" s="58">
        <f>IF(AND(matrizOK,$B33="Motriz",OR(J$2="Enlace",J$2="Resultado"),'M1'!T40&gt;=1),'M1'!T40*1000000+(41-$A33)*1000+(41-J$1),0)</f>
        <v/>
      </c>
      <c r="K33" s="58">
        <f>IF(AND(matrizOK,$B33="Motriz",OR(K$2="Enlace",K$2="Resultado"),'M1'!U40&gt;=1),'M1'!U40*1000000+(41-$A33)*1000+(41-K$1),0)</f>
        <v/>
      </c>
      <c r="L33" s="58">
        <f>IF(AND(matrizOK,$B33="Motriz",OR(L$2="Enlace",L$2="Resultado"),'M1'!V40&gt;=1),'M1'!V40*1000000+(41-$A33)*1000+(41-L$1),0)</f>
        <v/>
      </c>
      <c r="M33" s="58">
        <f>IF(AND(matrizOK,$B33="Motriz",OR(M$2="Enlace",M$2="Resultado"),'M1'!W40&gt;=1),'M1'!W40*1000000+(41-$A33)*1000+(41-M$1),0)</f>
        <v/>
      </c>
      <c r="N33" s="58">
        <f>IF(AND(matrizOK,$B33="Motriz",OR(N$2="Enlace",N$2="Resultado"),'M1'!X40&gt;=1),'M1'!X40*1000000+(41-$A33)*1000+(41-N$1),0)</f>
        <v/>
      </c>
      <c r="O33" s="58">
        <f>IF(AND(matrizOK,$B33="Motriz",OR(O$2="Enlace",O$2="Resultado"),'M1'!Y40&gt;=1),'M1'!Y40*1000000+(41-$A33)*1000+(41-O$1),0)</f>
        <v/>
      </c>
      <c r="P33" s="58">
        <f>IF(AND(matrizOK,$B33="Motriz",OR(P$2="Enlace",P$2="Resultado"),'M1'!Z40&gt;=1),'M1'!Z40*1000000+(41-$A33)*1000+(41-P$1),0)</f>
        <v/>
      </c>
      <c r="Q33" s="58">
        <f>IF(AND(matrizOK,$B33="Motriz",OR(Q$2="Enlace",Q$2="Resultado"),'M1'!AA40&gt;=1),'M1'!AA40*1000000+(41-$A33)*1000+(41-Q$1),0)</f>
        <v/>
      </c>
      <c r="R33" s="58">
        <f>IF(AND(matrizOK,$B33="Motriz",OR(R$2="Enlace",R$2="Resultado"),'M1'!AB40&gt;=1),'M1'!AB40*1000000+(41-$A33)*1000+(41-R$1),0)</f>
        <v/>
      </c>
      <c r="S33" s="58">
        <f>IF(AND(matrizOK,$B33="Motriz",OR(S$2="Enlace",S$2="Resultado"),'M1'!AC40&gt;=1),'M1'!AC40*1000000+(41-$A33)*1000+(41-S$1),0)</f>
        <v/>
      </c>
      <c r="T33" s="58">
        <f>IF(AND(matrizOK,$B33="Motriz",OR(T$2="Enlace",T$2="Resultado"),'M1'!AD40&gt;=1),'M1'!AD40*1000000+(41-$A33)*1000+(41-T$1),0)</f>
        <v/>
      </c>
      <c r="U33" s="58">
        <f>IF(AND(matrizOK,$B33="Motriz",OR(U$2="Enlace",U$2="Resultado"),'M1'!AE40&gt;=1),'M1'!AE40*1000000+(41-$A33)*1000+(41-U$1),0)</f>
        <v/>
      </c>
      <c r="V33" s="58">
        <f>IF(AND(matrizOK,$B33="Motriz",OR(V$2="Enlace",V$2="Resultado"),'M1'!AF40&gt;=1),'M1'!AF40*1000000+(41-$A33)*1000+(41-V$1),0)</f>
        <v/>
      </c>
      <c r="W33" s="58">
        <f>IF(AND(matrizOK,$B33="Motriz",OR(W$2="Enlace",W$2="Resultado"),'M1'!AG40&gt;=1),'M1'!AG40*1000000+(41-$A33)*1000+(41-W$1),0)</f>
        <v/>
      </c>
      <c r="X33" s="58">
        <f>IF(AND(matrizOK,$B33="Motriz",OR(X$2="Enlace",X$2="Resultado"),'M1'!AH40&gt;=1),'M1'!AH40*1000000+(41-$A33)*1000+(41-X$1),0)</f>
        <v/>
      </c>
      <c r="Y33" s="58">
        <f>IF(AND(matrizOK,$B33="Motriz",OR(Y$2="Enlace",Y$2="Resultado"),'M1'!AI40&gt;=1),'M1'!AI40*1000000+(41-$A33)*1000+(41-Y$1),0)</f>
        <v/>
      </c>
      <c r="Z33" s="58">
        <f>IF(AND(matrizOK,$B33="Motriz",OR(Z$2="Enlace",Z$2="Resultado"),'M1'!AJ40&gt;=1),'M1'!AJ40*1000000+(41-$A33)*1000+(41-Z$1),0)</f>
        <v/>
      </c>
      <c r="AA33" s="58">
        <f>IF(AND(matrizOK,$B33="Motriz",OR(AA$2="Enlace",AA$2="Resultado"),'M1'!AK40&gt;=1),'M1'!AK40*1000000+(41-$A33)*1000+(41-AA$1),0)</f>
        <v/>
      </c>
      <c r="AB33" s="58">
        <f>IF(AND(matrizOK,$B33="Motriz",OR(AB$2="Enlace",AB$2="Resultado"),'M1'!AL40&gt;=1),'M1'!AL40*1000000+(41-$A33)*1000+(41-AB$1),0)</f>
        <v/>
      </c>
      <c r="AC33" s="58">
        <f>IF(AND(matrizOK,$B33="Motriz",OR(AC$2="Enlace",AC$2="Resultado"),'M1'!AM40&gt;=1),'M1'!AM40*1000000+(41-$A33)*1000+(41-AC$1),0)</f>
        <v/>
      </c>
      <c r="AD33" s="58">
        <f>IF(AND(matrizOK,$B33="Motriz",OR(AD$2="Enlace",AD$2="Resultado"),'M1'!AN40&gt;=1),'M1'!AN40*1000000+(41-$A33)*1000+(41-AD$1),0)</f>
        <v/>
      </c>
      <c r="AE33" s="58">
        <f>IF(AND(matrizOK,$B33="Motriz",OR(AE$2="Enlace",AE$2="Resultado"),'M1'!AO40&gt;=1),'M1'!AO40*1000000+(41-$A33)*1000+(41-AE$1),0)</f>
        <v/>
      </c>
      <c r="AF33" s="58">
        <f>IF(AND(matrizOK,$B33="Motriz",OR(AF$2="Enlace",AF$2="Resultado"),'M1'!AP40&gt;=1),'M1'!AP40*1000000+(41-$A33)*1000+(41-AF$1),0)</f>
        <v/>
      </c>
      <c r="AG33" s="58">
        <f>IF(AND(matrizOK,$B33="Motriz",OR(AG$2="Enlace",AG$2="Resultado"),'M1'!AQ40&gt;=1),'M1'!AQ40*1000000+(41-$A33)*1000+(41-AG$1),0)</f>
        <v/>
      </c>
      <c r="AH33" s="58">
        <f>IF(AND(matrizOK,$B33="Motriz",OR(AH$2="Enlace",AH$2="Resultado"),'M1'!AR40&gt;=1),'M1'!AR40*1000000+(41-$A33)*1000+(41-AH$1),0)</f>
        <v/>
      </c>
      <c r="AI33" s="58">
        <f>IF(AND(matrizOK,$B33="Motriz",OR(AI$2="Enlace",AI$2="Resultado"),'M1'!AS40&gt;=1),'M1'!AS40*1000000+(41-$A33)*1000+(41-AI$1),0)</f>
        <v/>
      </c>
      <c r="AJ33" s="58">
        <f>IF(AND(matrizOK,$B33="Motriz",OR(AJ$2="Enlace",AJ$2="Resultado"),'M1'!AT40&gt;=1),'M1'!AT40*1000000+(41-$A33)*1000+(41-AJ$1),0)</f>
        <v/>
      </c>
      <c r="AK33" s="58">
        <f>IF(AND(matrizOK,$B33="Motriz",OR(AK$2="Enlace",AK$2="Resultado"),'M1'!AU40&gt;=1),'M1'!AU40*1000000+(41-$A33)*1000+(41-AK$1),0)</f>
        <v/>
      </c>
      <c r="AL33" s="58">
        <f>IF(AND(matrizOK,$B33="Motriz",OR(AL$2="Enlace",AL$2="Resultado"),'M1'!AV40&gt;=1),'M1'!AV40*1000000+(41-$A33)*1000+(41-AL$1),0)</f>
        <v/>
      </c>
      <c r="AM33" s="58">
        <f>IF(AND(matrizOK,$B33="Motriz",OR(AM$2="Enlace",AM$2="Resultado"),'M1'!AW40&gt;=1),'M1'!AW40*1000000+(41-$A33)*1000+(41-AM$1),0)</f>
        <v/>
      </c>
      <c r="AN33" s="58">
        <f>IF(AND(matrizOK,$B33="Motriz",OR(AN$2="Enlace",AN$2="Resultado"),'M1'!AX40&gt;=1),'M1'!AX40*1000000+(41-$A33)*1000+(41-AN$1),0)</f>
        <v/>
      </c>
      <c r="AO33" s="58">
        <f>IF(AND(matrizOK,$B33="Motriz",OR(AO$2="Enlace",AO$2="Resultado"),'M1'!AY40&gt;=1),'M1'!AY40*1000000+(41-$A33)*1000+(41-AO$1),0)</f>
        <v/>
      </c>
      <c r="AP33" s="58">
        <f>IF(AND(matrizOK,$B33="Motriz",OR(AP$2="Enlace",AP$2="Resultado"),'M1'!AZ40&gt;=1),'M1'!AZ40*1000000+(41-$A33)*1000+(41-AP$1),0)</f>
        <v/>
      </c>
    </row>
    <row r="34">
      <c r="A34" s="58" t="n">
        <v>32</v>
      </c>
      <c r="B34" s="58">
        <f>IF($A34&lt;=nVariables,INDEX('M6'!$I$10:$I$49,$A34),"")</f>
        <v/>
      </c>
      <c r="C34" s="58">
        <f>IF(AND(matrizOK,$B34="Motriz",OR(C$2="Enlace",C$2="Resultado"),'M1'!M41&gt;=1),'M1'!M41*1000000+(41-$A34)*1000+(41-C$1),0)</f>
        <v/>
      </c>
      <c r="D34" s="58">
        <f>IF(AND(matrizOK,$B34="Motriz",OR(D$2="Enlace",D$2="Resultado"),'M1'!N41&gt;=1),'M1'!N41*1000000+(41-$A34)*1000+(41-D$1),0)</f>
        <v/>
      </c>
      <c r="E34" s="58">
        <f>IF(AND(matrizOK,$B34="Motriz",OR(E$2="Enlace",E$2="Resultado"),'M1'!O41&gt;=1),'M1'!O41*1000000+(41-$A34)*1000+(41-E$1),0)</f>
        <v/>
      </c>
      <c r="F34" s="58">
        <f>IF(AND(matrizOK,$B34="Motriz",OR(F$2="Enlace",F$2="Resultado"),'M1'!P41&gt;=1),'M1'!P41*1000000+(41-$A34)*1000+(41-F$1),0)</f>
        <v/>
      </c>
      <c r="G34" s="58">
        <f>IF(AND(matrizOK,$B34="Motriz",OR(G$2="Enlace",G$2="Resultado"),'M1'!Q41&gt;=1),'M1'!Q41*1000000+(41-$A34)*1000+(41-G$1),0)</f>
        <v/>
      </c>
      <c r="H34" s="58">
        <f>IF(AND(matrizOK,$B34="Motriz",OR(H$2="Enlace",H$2="Resultado"),'M1'!R41&gt;=1),'M1'!R41*1000000+(41-$A34)*1000+(41-H$1),0)</f>
        <v/>
      </c>
      <c r="I34" s="58">
        <f>IF(AND(matrizOK,$B34="Motriz",OR(I$2="Enlace",I$2="Resultado"),'M1'!S41&gt;=1),'M1'!S41*1000000+(41-$A34)*1000+(41-I$1),0)</f>
        <v/>
      </c>
      <c r="J34" s="58">
        <f>IF(AND(matrizOK,$B34="Motriz",OR(J$2="Enlace",J$2="Resultado"),'M1'!T41&gt;=1),'M1'!T41*1000000+(41-$A34)*1000+(41-J$1),0)</f>
        <v/>
      </c>
      <c r="K34" s="58">
        <f>IF(AND(matrizOK,$B34="Motriz",OR(K$2="Enlace",K$2="Resultado"),'M1'!U41&gt;=1),'M1'!U41*1000000+(41-$A34)*1000+(41-K$1),0)</f>
        <v/>
      </c>
      <c r="L34" s="58">
        <f>IF(AND(matrizOK,$B34="Motriz",OR(L$2="Enlace",L$2="Resultado"),'M1'!V41&gt;=1),'M1'!V41*1000000+(41-$A34)*1000+(41-L$1),0)</f>
        <v/>
      </c>
      <c r="M34" s="58">
        <f>IF(AND(matrizOK,$B34="Motriz",OR(M$2="Enlace",M$2="Resultado"),'M1'!W41&gt;=1),'M1'!W41*1000000+(41-$A34)*1000+(41-M$1),0)</f>
        <v/>
      </c>
      <c r="N34" s="58">
        <f>IF(AND(matrizOK,$B34="Motriz",OR(N$2="Enlace",N$2="Resultado"),'M1'!X41&gt;=1),'M1'!X41*1000000+(41-$A34)*1000+(41-N$1),0)</f>
        <v/>
      </c>
      <c r="O34" s="58">
        <f>IF(AND(matrizOK,$B34="Motriz",OR(O$2="Enlace",O$2="Resultado"),'M1'!Y41&gt;=1),'M1'!Y41*1000000+(41-$A34)*1000+(41-O$1),0)</f>
        <v/>
      </c>
      <c r="P34" s="58">
        <f>IF(AND(matrizOK,$B34="Motriz",OR(P$2="Enlace",P$2="Resultado"),'M1'!Z41&gt;=1),'M1'!Z41*1000000+(41-$A34)*1000+(41-P$1),0)</f>
        <v/>
      </c>
      <c r="Q34" s="58">
        <f>IF(AND(matrizOK,$B34="Motriz",OR(Q$2="Enlace",Q$2="Resultado"),'M1'!AA41&gt;=1),'M1'!AA41*1000000+(41-$A34)*1000+(41-Q$1),0)</f>
        <v/>
      </c>
      <c r="R34" s="58">
        <f>IF(AND(matrizOK,$B34="Motriz",OR(R$2="Enlace",R$2="Resultado"),'M1'!AB41&gt;=1),'M1'!AB41*1000000+(41-$A34)*1000+(41-R$1),0)</f>
        <v/>
      </c>
      <c r="S34" s="58">
        <f>IF(AND(matrizOK,$B34="Motriz",OR(S$2="Enlace",S$2="Resultado"),'M1'!AC41&gt;=1),'M1'!AC41*1000000+(41-$A34)*1000+(41-S$1),0)</f>
        <v/>
      </c>
      <c r="T34" s="58">
        <f>IF(AND(matrizOK,$B34="Motriz",OR(T$2="Enlace",T$2="Resultado"),'M1'!AD41&gt;=1),'M1'!AD41*1000000+(41-$A34)*1000+(41-T$1),0)</f>
        <v/>
      </c>
      <c r="U34" s="58">
        <f>IF(AND(matrizOK,$B34="Motriz",OR(U$2="Enlace",U$2="Resultado"),'M1'!AE41&gt;=1),'M1'!AE41*1000000+(41-$A34)*1000+(41-U$1),0)</f>
        <v/>
      </c>
      <c r="V34" s="58">
        <f>IF(AND(matrizOK,$B34="Motriz",OR(V$2="Enlace",V$2="Resultado"),'M1'!AF41&gt;=1),'M1'!AF41*1000000+(41-$A34)*1000+(41-V$1),0)</f>
        <v/>
      </c>
      <c r="W34" s="58">
        <f>IF(AND(matrizOK,$B34="Motriz",OR(W$2="Enlace",W$2="Resultado"),'M1'!AG41&gt;=1),'M1'!AG41*1000000+(41-$A34)*1000+(41-W$1),0)</f>
        <v/>
      </c>
      <c r="X34" s="58">
        <f>IF(AND(matrizOK,$B34="Motriz",OR(X$2="Enlace",X$2="Resultado"),'M1'!AH41&gt;=1),'M1'!AH41*1000000+(41-$A34)*1000+(41-X$1),0)</f>
        <v/>
      </c>
      <c r="Y34" s="58">
        <f>IF(AND(matrizOK,$B34="Motriz",OR(Y$2="Enlace",Y$2="Resultado"),'M1'!AI41&gt;=1),'M1'!AI41*1000000+(41-$A34)*1000+(41-Y$1),0)</f>
        <v/>
      </c>
      <c r="Z34" s="58">
        <f>IF(AND(matrizOK,$B34="Motriz",OR(Z$2="Enlace",Z$2="Resultado"),'M1'!AJ41&gt;=1),'M1'!AJ41*1000000+(41-$A34)*1000+(41-Z$1),0)</f>
        <v/>
      </c>
      <c r="AA34" s="58">
        <f>IF(AND(matrizOK,$B34="Motriz",OR(AA$2="Enlace",AA$2="Resultado"),'M1'!AK41&gt;=1),'M1'!AK41*1000000+(41-$A34)*1000+(41-AA$1),0)</f>
        <v/>
      </c>
      <c r="AB34" s="58">
        <f>IF(AND(matrizOK,$B34="Motriz",OR(AB$2="Enlace",AB$2="Resultado"),'M1'!AL41&gt;=1),'M1'!AL41*1000000+(41-$A34)*1000+(41-AB$1),0)</f>
        <v/>
      </c>
      <c r="AC34" s="58">
        <f>IF(AND(matrizOK,$B34="Motriz",OR(AC$2="Enlace",AC$2="Resultado"),'M1'!AM41&gt;=1),'M1'!AM41*1000000+(41-$A34)*1000+(41-AC$1),0)</f>
        <v/>
      </c>
      <c r="AD34" s="58">
        <f>IF(AND(matrizOK,$B34="Motriz",OR(AD$2="Enlace",AD$2="Resultado"),'M1'!AN41&gt;=1),'M1'!AN41*1000000+(41-$A34)*1000+(41-AD$1),0)</f>
        <v/>
      </c>
      <c r="AE34" s="58">
        <f>IF(AND(matrizOK,$B34="Motriz",OR(AE$2="Enlace",AE$2="Resultado"),'M1'!AO41&gt;=1),'M1'!AO41*1000000+(41-$A34)*1000+(41-AE$1),0)</f>
        <v/>
      </c>
      <c r="AF34" s="58">
        <f>IF(AND(matrizOK,$B34="Motriz",OR(AF$2="Enlace",AF$2="Resultado"),'M1'!AP41&gt;=1),'M1'!AP41*1000000+(41-$A34)*1000+(41-AF$1),0)</f>
        <v/>
      </c>
      <c r="AG34" s="58">
        <f>IF(AND(matrizOK,$B34="Motriz",OR(AG$2="Enlace",AG$2="Resultado"),'M1'!AQ41&gt;=1),'M1'!AQ41*1000000+(41-$A34)*1000+(41-AG$1),0)</f>
        <v/>
      </c>
      <c r="AH34" s="58">
        <f>IF(AND(matrizOK,$B34="Motriz",OR(AH$2="Enlace",AH$2="Resultado"),'M1'!AR41&gt;=1),'M1'!AR41*1000000+(41-$A34)*1000+(41-AH$1),0)</f>
        <v/>
      </c>
      <c r="AI34" s="58">
        <f>IF(AND(matrizOK,$B34="Motriz",OR(AI$2="Enlace",AI$2="Resultado"),'M1'!AS41&gt;=1),'M1'!AS41*1000000+(41-$A34)*1000+(41-AI$1),0)</f>
        <v/>
      </c>
      <c r="AJ34" s="58">
        <f>IF(AND(matrizOK,$B34="Motriz",OR(AJ$2="Enlace",AJ$2="Resultado"),'M1'!AT41&gt;=1),'M1'!AT41*1000000+(41-$A34)*1000+(41-AJ$1),0)</f>
        <v/>
      </c>
      <c r="AK34" s="58">
        <f>IF(AND(matrizOK,$B34="Motriz",OR(AK$2="Enlace",AK$2="Resultado"),'M1'!AU41&gt;=1),'M1'!AU41*1000000+(41-$A34)*1000+(41-AK$1),0)</f>
        <v/>
      </c>
      <c r="AL34" s="58">
        <f>IF(AND(matrizOK,$B34="Motriz",OR(AL$2="Enlace",AL$2="Resultado"),'M1'!AV41&gt;=1),'M1'!AV41*1000000+(41-$A34)*1000+(41-AL$1),0)</f>
        <v/>
      </c>
      <c r="AM34" s="58">
        <f>IF(AND(matrizOK,$B34="Motriz",OR(AM$2="Enlace",AM$2="Resultado"),'M1'!AW41&gt;=1),'M1'!AW41*1000000+(41-$A34)*1000+(41-AM$1),0)</f>
        <v/>
      </c>
      <c r="AN34" s="58">
        <f>IF(AND(matrizOK,$B34="Motriz",OR(AN$2="Enlace",AN$2="Resultado"),'M1'!AX41&gt;=1),'M1'!AX41*1000000+(41-$A34)*1000+(41-AN$1),0)</f>
        <v/>
      </c>
      <c r="AO34" s="58">
        <f>IF(AND(matrizOK,$B34="Motriz",OR(AO$2="Enlace",AO$2="Resultado"),'M1'!AY41&gt;=1),'M1'!AY41*1000000+(41-$A34)*1000+(41-AO$1),0)</f>
        <v/>
      </c>
      <c r="AP34" s="58">
        <f>IF(AND(matrizOK,$B34="Motriz",OR(AP$2="Enlace",AP$2="Resultado"),'M1'!AZ41&gt;=1),'M1'!AZ41*1000000+(41-$A34)*1000+(41-AP$1),0)</f>
        <v/>
      </c>
    </row>
    <row r="35">
      <c r="A35" s="58" t="n">
        <v>33</v>
      </c>
      <c r="B35" s="58">
        <f>IF($A35&lt;=nVariables,INDEX('M6'!$I$10:$I$49,$A35),"")</f>
        <v/>
      </c>
      <c r="C35" s="58">
        <f>IF(AND(matrizOK,$B35="Motriz",OR(C$2="Enlace",C$2="Resultado"),'M1'!M42&gt;=1),'M1'!M42*1000000+(41-$A35)*1000+(41-C$1),0)</f>
        <v/>
      </c>
      <c r="D35" s="58">
        <f>IF(AND(matrizOK,$B35="Motriz",OR(D$2="Enlace",D$2="Resultado"),'M1'!N42&gt;=1),'M1'!N42*1000000+(41-$A35)*1000+(41-D$1),0)</f>
        <v/>
      </c>
      <c r="E35" s="58">
        <f>IF(AND(matrizOK,$B35="Motriz",OR(E$2="Enlace",E$2="Resultado"),'M1'!O42&gt;=1),'M1'!O42*1000000+(41-$A35)*1000+(41-E$1),0)</f>
        <v/>
      </c>
      <c r="F35" s="58">
        <f>IF(AND(matrizOK,$B35="Motriz",OR(F$2="Enlace",F$2="Resultado"),'M1'!P42&gt;=1),'M1'!P42*1000000+(41-$A35)*1000+(41-F$1),0)</f>
        <v/>
      </c>
      <c r="G35" s="58">
        <f>IF(AND(matrizOK,$B35="Motriz",OR(G$2="Enlace",G$2="Resultado"),'M1'!Q42&gt;=1),'M1'!Q42*1000000+(41-$A35)*1000+(41-G$1),0)</f>
        <v/>
      </c>
      <c r="H35" s="58">
        <f>IF(AND(matrizOK,$B35="Motriz",OR(H$2="Enlace",H$2="Resultado"),'M1'!R42&gt;=1),'M1'!R42*1000000+(41-$A35)*1000+(41-H$1),0)</f>
        <v/>
      </c>
      <c r="I35" s="58">
        <f>IF(AND(matrizOK,$B35="Motriz",OR(I$2="Enlace",I$2="Resultado"),'M1'!S42&gt;=1),'M1'!S42*1000000+(41-$A35)*1000+(41-I$1),0)</f>
        <v/>
      </c>
      <c r="J35" s="58">
        <f>IF(AND(matrizOK,$B35="Motriz",OR(J$2="Enlace",J$2="Resultado"),'M1'!T42&gt;=1),'M1'!T42*1000000+(41-$A35)*1000+(41-J$1),0)</f>
        <v/>
      </c>
      <c r="K35" s="58">
        <f>IF(AND(matrizOK,$B35="Motriz",OR(K$2="Enlace",K$2="Resultado"),'M1'!U42&gt;=1),'M1'!U42*1000000+(41-$A35)*1000+(41-K$1),0)</f>
        <v/>
      </c>
      <c r="L35" s="58">
        <f>IF(AND(matrizOK,$B35="Motriz",OR(L$2="Enlace",L$2="Resultado"),'M1'!V42&gt;=1),'M1'!V42*1000000+(41-$A35)*1000+(41-L$1),0)</f>
        <v/>
      </c>
      <c r="M35" s="58">
        <f>IF(AND(matrizOK,$B35="Motriz",OR(M$2="Enlace",M$2="Resultado"),'M1'!W42&gt;=1),'M1'!W42*1000000+(41-$A35)*1000+(41-M$1),0)</f>
        <v/>
      </c>
      <c r="N35" s="58">
        <f>IF(AND(matrizOK,$B35="Motriz",OR(N$2="Enlace",N$2="Resultado"),'M1'!X42&gt;=1),'M1'!X42*1000000+(41-$A35)*1000+(41-N$1),0)</f>
        <v/>
      </c>
      <c r="O35" s="58">
        <f>IF(AND(matrizOK,$B35="Motriz",OR(O$2="Enlace",O$2="Resultado"),'M1'!Y42&gt;=1),'M1'!Y42*1000000+(41-$A35)*1000+(41-O$1),0)</f>
        <v/>
      </c>
      <c r="P35" s="58">
        <f>IF(AND(matrizOK,$B35="Motriz",OR(P$2="Enlace",P$2="Resultado"),'M1'!Z42&gt;=1),'M1'!Z42*1000000+(41-$A35)*1000+(41-P$1),0)</f>
        <v/>
      </c>
      <c r="Q35" s="58">
        <f>IF(AND(matrizOK,$B35="Motriz",OR(Q$2="Enlace",Q$2="Resultado"),'M1'!AA42&gt;=1),'M1'!AA42*1000000+(41-$A35)*1000+(41-Q$1),0)</f>
        <v/>
      </c>
      <c r="R35" s="58">
        <f>IF(AND(matrizOK,$B35="Motriz",OR(R$2="Enlace",R$2="Resultado"),'M1'!AB42&gt;=1),'M1'!AB42*1000000+(41-$A35)*1000+(41-R$1),0)</f>
        <v/>
      </c>
      <c r="S35" s="58">
        <f>IF(AND(matrizOK,$B35="Motriz",OR(S$2="Enlace",S$2="Resultado"),'M1'!AC42&gt;=1),'M1'!AC42*1000000+(41-$A35)*1000+(41-S$1),0)</f>
        <v/>
      </c>
      <c r="T35" s="58">
        <f>IF(AND(matrizOK,$B35="Motriz",OR(T$2="Enlace",T$2="Resultado"),'M1'!AD42&gt;=1),'M1'!AD42*1000000+(41-$A35)*1000+(41-T$1),0)</f>
        <v/>
      </c>
      <c r="U35" s="58">
        <f>IF(AND(matrizOK,$B35="Motriz",OR(U$2="Enlace",U$2="Resultado"),'M1'!AE42&gt;=1),'M1'!AE42*1000000+(41-$A35)*1000+(41-U$1),0)</f>
        <v/>
      </c>
      <c r="V35" s="58">
        <f>IF(AND(matrizOK,$B35="Motriz",OR(V$2="Enlace",V$2="Resultado"),'M1'!AF42&gt;=1),'M1'!AF42*1000000+(41-$A35)*1000+(41-V$1),0)</f>
        <v/>
      </c>
      <c r="W35" s="58">
        <f>IF(AND(matrizOK,$B35="Motriz",OR(W$2="Enlace",W$2="Resultado"),'M1'!AG42&gt;=1),'M1'!AG42*1000000+(41-$A35)*1000+(41-W$1),0)</f>
        <v/>
      </c>
      <c r="X35" s="58">
        <f>IF(AND(matrizOK,$B35="Motriz",OR(X$2="Enlace",X$2="Resultado"),'M1'!AH42&gt;=1),'M1'!AH42*1000000+(41-$A35)*1000+(41-X$1),0)</f>
        <v/>
      </c>
      <c r="Y35" s="58">
        <f>IF(AND(matrizOK,$B35="Motriz",OR(Y$2="Enlace",Y$2="Resultado"),'M1'!AI42&gt;=1),'M1'!AI42*1000000+(41-$A35)*1000+(41-Y$1),0)</f>
        <v/>
      </c>
      <c r="Z35" s="58">
        <f>IF(AND(matrizOK,$B35="Motriz",OR(Z$2="Enlace",Z$2="Resultado"),'M1'!AJ42&gt;=1),'M1'!AJ42*1000000+(41-$A35)*1000+(41-Z$1),0)</f>
        <v/>
      </c>
      <c r="AA35" s="58">
        <f>IF(AND(matrizOK,$B35="Motriz",OR(AA$2="Enlace",AA$2="Resultado"),'M1'!AK42&gt;=1),'M1'!AK42*1000000+(41-$A35)*1000+(41-AA$1),0)</f>
        <v/>
      </c>
      <c r="AB35" s="58">
        <f>IF(AND(matrizOK,$B35="Motriz",OR(AB$2="Enlace",AB$2="Resultado"),'M1'!AL42&gt;=1),'M1'!AL42*1000000+(41-$A35)*1000+(41-AB$1),0)</f>
        <v/>
      </c>
      <c r="AC35" s="58">
        <f>IF(AND(matrizOK,$B35="Motriz",OR(AC$2="Enlace",AC$2="Resultado"),'M1'!AM42&gt;=1),'M1'!AM42*1000000+(41-$A35)*1000+(41-AC$1),0)</f>
        <v/>
      </c>
      <c r="AD35" s="58">
        <f>IF(AND(matrizOK,$B35="Motriz",OR(AD$2="Enlace",AD$2="Resultado"),'M1'!AN42&gt;=1),'M1'!AN42*1000000+(41-$A35)*1000+(41-AD$1),0)</f>
        <v/>
      </c>
      <c r="AE35" s="58">
        <f>IF(AND(matrizOK,$B35="Motriz",OR(AE$2="Enlace",AE$2="Resultado"),'M1'!AO42&gt;=1),'M1'!AO42*1000000+(41-$A35)*1000+(41-AE$1),0)</f>
        <v/>
      </c>
      <c r="AF35" s="58">
        <f>IF(AND(matrizOK,$B35="Motriz",OR(AF$2="Enlace",AF$2="Resultado"),'M1'!AP42&gt;=1),'M1'!AP42*1000000+(41-$A35)*1000+(41-AF$1),0)</f>
        <v/>
      </c>
      <c r="AG35" s="58">
        <f>IF(AND(matrizOK,$B35="Motriz",OR(AG$2="Enlace",AG$2="Resultado"),'M1'!AQ42&gt;=1),'M1'!AQ42*1000000+(41-$A35)*1000+(41-AG$1),0)</f>
        <v/>
      </c>
      <c r="AH35" s="58">
        <f>IF(AND(matrizOK,$B35="Motriz",OR(AH$2="Enlace",AH$2="Resultado"),'M1'!AR42&gt;=1),'M1'!AR42*1000000+(41-$A35)*1000+(41-AH$1),0)</f>
        <v/>
      </c>
      <c r="AI35" s="58">
        <f>IF(AND(matrizOK,$B35="Motriz",OR(AI$2="Enlace",AI$2="Resultado"),'M1'!AS42&gt;=1),'M1'!AS42*1000000+(41-$A35)*1000+(41-AI$1),0)</f>
        <v/>
      </c>
      <c r="AJ35" s="58">
        <f>IF(AND(matrizOK,$B35="Motriz",OR(AJ$2="Enlace",AJ$2="Resultado"),'M1'!AT42&gt;=1),'M1'!AT42*1000000+(41-$A35)*1000+(41-AJ$1),0)</f>
        <v/>
      </c>
      <c r="AK35" s="58">
        <f>IF(AND(matrizOK,$B35="Motriz",OR(AK$2="Enlace",AK$2="Resultado"),'M1'!AU42&gt;=1),'M1'!AU42*1000000+(41-$A35)*1000+(41-AK$1),0)</f>
        <v/>
      </c>
      <c r="AL35" s="58">
        <f>IF(AND(matrizOK,$B35="Motriz",OR(AL$2="Enlace",AL$2="Resultado"),'M1'!AV42&gt;=1),'M1'!AV42*1000000+(41-$A35)*1000+(41-AL$1),0)</f>
        <v/>
      </c>
      <c r="AM35" s="58">
        <f>IF(AND(matrizOK,$B35="Motriz",OR(AM$2="Enlace",AM$2="Resultado"),'M1'!AW42&gt;=1),'M1'!AW42*1000000+(41-$A35)*1000+(41-AM$1),0)</f>
        <v/>
      </c>
      <c r="AN35" s="58">
        <f>IF(AND(matrizOK,$B35="Motriz",OR(AN$2="Enlace",AN$2="Resultado"),'M1'!AX42&gt;=1),'M1'!AX42*1000000+(41-$A35)*1000+(41-AN$1),0)</f>
        <v/>
      </c>
      <c r="AO35" s="58">
        <f>IF(AND(matrizOK,$B35="Motriz",OR(AO$2="Enlace",AO$2="Resultado"),'M1'!AY42&gt;=1),'M1'!AY42*1000000+(41-$A35)*1000+(41-AO$1),0)</f>
        <v/>
      </c>
      <c r="AP35" s="58">
        <f>IF(AND(matrizOK,$B35="Motriz",OR(AP$2="Enlace",AP$2="Resultado"),'M1'!AZ42&gt;=1),'M1'!AZ42*1000000+(41-$A35)*1000+(41-AP$1),0)</f>
        <v/>
      </c>
    </row>
    <row r="36">
      <c r="A36" s="58" t="n">
        <v>34</v>
      </c>
      <c r="B36" s="58">
        <f>IF($A36&lt;=nVariables,INDEX('M6'!$I$10:$I$49,$A36),"")</f>
        <v/>
      </c>
      <c r="C36" s="58">
        <f>IF(AND(matrizOK,$B36="Motriz",OR(C$2="Enlace",C$2="Resultado"),'M1'!M43&gt;=1),'M1'!M43*1000000+(41-$A36)*1000+(41-C$1),0)</f>
        <v/>
      </c>
      <c r="D36" s="58">
        <f>IF(AND(matrizOK,$B36="Motriz",OR(D$2="Enlace",D$2="Resultado"),'M1'!N43&gt;=1),'M1'!N43*1000000+(41-$A36)*1000+(41-D$1),0)</f>
        <v/>
      </c>
      <c r="E36" s="58">
        <f>IF(AND(matrizOK,$B36="Motriz",OR(E$2="Enlace",E$2="Resultado"),'M1'!O43&gt;=1),'M1'!O43*1000000+(41-$A36)*1000+(41-E$1),0)</f>
        <v/>
      </c>
      <c r="F36" s="58">
        <f>IF(AND(matrizOK,$B36="Motriz",OR(F$2="Enlace",F$2="Resultado"),'M1'!P43&gt;=1),'M1'!P43*1000000+(41-$A36)*1000+(41-F$1),0)</f>
        <v/>
      </c>
      <c r="G36" s="58">
        <f>IF(AND(matrizOK,$B36="Motriz",OR(G$2="Enlace",G$2="Resultado"),'M1'!Q43&gt;=1),'M1'!Q43*1000000+(41-$A36)*1000+(41-G$1),0)</f>
        <v/>
      </c>
      <c r="H36" s="58">
        <f>IF(AND(matrizOK,$B36="Motriz",OR(H$2="Enlace",H$2="Resultado"),'M1'!R43&gt;=1),'M1'!R43*1000000+(41-$A36)*1000+(41-H$1),0)</f>
        <v/>
      </c>
      <c r="I36" s="58">
        <f>IF(AND(matrizOK,$B36="Motriz",OR(I$2="Enlace",I$2="Resultado"),'M1'!S43&gt;=1),'M1'!S43*1000000+(41-$A36)*1000+(41-I$1),0)</f>
        <v/>
      </c>
      <c r="J36" s="58">
        <f>IF(AND(matrizOK,$B36="Motriz",OR(J$2="Enlace",J$2="Resultado"),'M1'!T43&gt;=1),'M1'!T43*1000000+(41-$A36)*1000+(41-J$1),0)</f>
        <v/>
      </c>
      <c r="K36" s="58">
        <f>IF(AND(matrizOK,$B36="Motriz",OR(K$2="Enlace",K$2="Resultado"),'M1'!U43&gt;=1),'M1'!U43*1000000+(41-$A36)*1000+(41-K$1),0)</f>
        <v/>
      </c>
      <c r="L36" s="58">
        <f>IF(AND(matrizOK,$B36="Motriz",OR(L$2="Enlace",L$2="Resultado"),'M1'!V43&gt;=1),'M1'!V43*1000000+(41-$A36)*1000+(41-L$1),0)</f>
        <v/>
      </c>
      <c r="M36" s="58">
        <f>IF(AND(matrizOK,$B36="Motriz",OR(M$2="Enlace",M$2="Resultado"),'M1'!W43&gt;=1),'M1'!W43*1000000+(41-$A36)*1000+(41-M$1),0)</f>
        <v/>
      </c>
      <c r="N36" s="58">
        <f>IF(AND(matrizOK,$B36="Motriz",OR(N$2="Enlace",N$2="Resultado"),'M1'!X43&gt;=1),'M1'!X43*1000000+(41-$A36)*1000+(41-N$1),0)</f>
        <v/>
      </c>
      <c r="O36" s="58">
        <f>IF(AND(matrizOK,$B36="Motriz",OR(O$2="Enlace",O$2="Resultado"),'M1'!Y43&gt;=1),'M1'!Y43*1000000+(41-$A36)*1000+(41-O$1),0)</f>
        <v/>
      </c>
      <c r="P36" s="58">
        <f>IF(AND(matrizOK,$B36="Motriz",OR(P$2="Enlace",P$2="Resultado"),'M1'!Z43&gt;=1),'M1'!Z43*1000000+(41-$A36)*1000+(41-P$1),0)</f>
        <v/>
      </c>
      <c r="Q36" s="58">
        <f>IF(AND(matrizOK,$B36="Motriz",OR(Q$2="Enlace",Q$2="Resultado"),'M1'!AA43&gt;=1),'M1'!AA43*1000000+(41-$A36)*1000+(41-Q$1),0)</f>
        <v/>
      </c>
      <c r="R36" s="58">
        <f>IF(AND(matrizOK,$B36="Motriz",OR(R$2="Enlace",R$2="Resultado"),'M1'!AB43&gt;=1),'M1'!AB43*1000000+(41-$A36)*1000+(41-R$1),0)</f>
        <v/>
      </c>
      <c r="S36" s="58">
        <f>IF(AND(matrizOK,$B36="Motriz",OR(S$2="Enlace",S$2="Resultado"),'M1'!AC43&gt;=1),'M1'!AC43*1000000+(41-$A36)*1000+(41-S$1),0)</f>
        <v/>
      </c>
      <c r="T36" s="58">
        <f>IF(AND(matrizOK,$B36="Motriz",OR(T$2="Enlace",T$2="Resultado"),'M1'!AD43&gt;=1),'M1'!AD43*1000000+(41-$A36)*1000+(41-T$1),0)</f>
        <v/>
      </c>
      <c r="U36" s="58">
        <f>IF(AND(matrizOK,$B36="Motriz",OR(U$2="Enlace",U$2="Resultado"),'M1'!AE43&gt;=1),'M1'!AE43*1000000+(41-$A36)*1000+(41-U$1),0)</f>
        <v/>
      </c>
      <c r="V36" s="58">
        <f>IF(AND(matrizOK,$B36="Motriz",OR(V$2="Enlace",V$2="Resultado"),'M1'!AF43&gt;=1),'M1'!AF43*1000000+(41-$A36)*1000+(41-V$1),0)</f>
        <v/>
      </c>
      <c r="W36" s="58">
        <f>IF(AND(matrizOK,$B36="Motriz",OR(W$2="Enlace",W$2="Resultado"),'M1'!AG43&gt;=1),'M1'!AG43*1000000+(41-$A36)*1000+(41-W$1),0)</f>
        <v/>
      </c>
      <c r="X36" s="58">
        <f>IF(AND(matrizOK,$B36="Motriz",OR(X$2="Enlace",X$2="Resultado"),'M1'!AH43&gt;=1),'M1'!AH43*1000000+(41-$A36)*1000+(41-X$1),0)</f>
        <v/>
      </c>
      <c r="Y36" s="58">
        <f>IF(AND(matrizOK,$B36="Motriz",OR(Y$2="Enlace",Y$2="Resultado"),'M1'!AI43&gt;=1),'M1'!AI43*1000000+(41-$A36)*1000+(41-Y$1),0)</f>
        <v/>
      </c>
      <c r="Z36" s="58">
        <f>IF(AND(matrizOK,$B36="Motriz",OR(Z$2="Enlace",Z$2="Resultado"),'M1'!AJ43&gt;=1),'M1'!AJ43*1000000+(41-$A36)*1000+(41-Z$1),0)</f>
        <v/>
      </c>
      <c r="AA36" s="58">
        <f>IF(AND(matrizOK,$B36="Motriz",OR(AA$2="Enlace",AA$2="Resultado"),'M1'!AK43&gt;=1),'M1'!AK43*1000000+(41-$A36)*1000+(41-AA$1),0)</f>
        <v/>
      </c>
      <c r="AB36" s="58">
        <f>IF(AND(matrizOK,$B36="Motriz",OR(AB$2="Enlace",AB$2="Resultado"),'M1'!AL43&gt;=1),'M1'!AL43*1000000+(41-$A36)*1000+(41-AB$1),0)</f>
        <v/>
      </c>
      <c r="AC36" s="58">
        <f>IF(AND(matrizOK,$B36="Motriz",OR(AC$2="Enlace",AC$2="Resultado"),'M1'!AM43&gt;=1),'M1'!AM43*1000000+(41-$A36)*1000+(41-AC$1),0)</f>
        <v/>
      </c>
      <c r="AD36" s="58">
        <f>IF(AND(matrizOK,$B36="Motriz",OR(AD$2="Enlace",AD$2="Resultado"),'M1'!AN43&gt;=1),'M1'!AN43*1000000+(41-$A36)*1000+(41-AD$1),0)</f>
        <v/>
      </c>
      <c r="AE36" s="58">
        <f>IF(AND(matrizOK,$B36="Motriz",OR(AE$2="Enlace",AE$2="Resultado"),'M1'!AO43&gt;=1),'M1'!AO43*1000000+(41-$A36)*1000+(41-AE$1),0)</f>
        <v/>
      </c>
      <c r="AF36" s="58">
        <f>IF(AND(matrizOK,$B36="Motriz",OR(AF$2="Enlace",AF$2="Resultado"),'M1'!AP43&gt;=1),'M1'!AP43*1000000+(41-$A36)*1000+(41-AF$1),0)</f>
        <v/>
      </c>
      <c r="AG36" s="58">
        <f>IF(AND(matrizOK,$B36="Motriz",OR(AG$2="Enlace",AG$2="Resultado"),'M1'!AQ43&gt;=1),'M1'!AQ43*1000000+(41-$A36)*1000+(41-AG$1),0)</f>
        <v/>
      </c>
      <c r="AH36" s="58">
        <f>IF(AND(matrizOK,$B36="Motriz",OR(AH$2="Enlace",AH$2="Resultado"),'M1'!AR43&gt;=1),'M1'!AR43*1000000+(41-$A36)*1000+(41-AH$1),0)</f>
        <v/>
      </c>
      <c r="AI36" s="58">
        <f>IF(AND(matrizOK,$B36="Motriz",OR(AI$2="Enlace",AI$2="Resultado"),'M1'!AS43&gt;=1),'M1'!AS43*1000000+(41-$A36)*1000+(41-AI$1),0)</f>
        <v/>
      </c>
      <c r="AJ36" s="58">
        <f>IF(AND(matrizOK,$B36="Motriz",OR(AJ$2="Enlace",AJ$2="Resultado"),'M1'!AT43&gt;=1),'M1'!AT43*1000000+(41-$A36)*1000+(41-AJ$1),0)</f>
        <v/>
      </c>
      <c r="AK36" s="58">
        <f>IF(AND(matrizOK,$B36="Motriz",OR(AK$2="Enlace",AK$2="Resultado"),'M1'!AU43&gt;=1),'M1'!AU43*1000000+(41-$A36)*1000+(41-AK$1),0)</f>
        <v/>
      </c>
      <c r="AL36" s="58">
        <f>IF(AND(matrizOK,$B36="Motriz",OR(AL$2="Enlace",AL$2="Resultado"),'M1'!AV43&gt;=1),'M1'!AV43*1000000+(41-$A36)*1000+(41-AL$1),0)</f>
        <v/>
      </c>
      <c r="AM36" s="58">
        <f>IF(AND(matrizOK,$B36="Motriz",OR(AM$2="Enlace",AM$2="Resultado"),'M1'!AW43&gt;=1),'M1'!AW43*1000000+(41-$A36)*1000+(41-AM$1),0)</f>
        <v/>
      </c>
      <c r="AN36" s="58">
        <f>IF(AND(matrizOK,$B36="Motriz",OR(AN$2="Enlace",AN$2="Resultado"),'M1'!AX43&gt;=1),'M1'!AX43*1000000+(41-$A36)*1000+(41-AN$1),0)</f>
        <v/>
      </c>
      <c r="AO36" s="58">
        <f>IF(AND(matrizOK,$B36="Motriz",OR(AO$2="Enlace",AO$2="Resultado"),'M1'!AY43&gt;=1),'M1'!AY43*1000000+(41-$A36)*1000+(41-AO$1),0)</f>
        <v/>
      </c>
      <c r="AP36" s="58">
        <f>IF(AND(matrizOK,$B36="Motriz",OR(AP$2="Enlace",AP$2="Resultado"),'M1'!AZ43&gt;=1),'M1'!AZ43*1000000+(41-$A36)*1000+(41-AP$1),0)</f>
        <v/>
      </c>
    </row>
    <row r="37">
      <c r="A37" s="58" t="n">
        <v>35</v>
      </c>
      <c r="B37" s="58">
        <f>IF($A37&lt;=nVariables,INDEX('M6'!$I$10:$I$49,$A37),"")</f>
        <v/>
      </c>
      <c r="C37" s="58">
        <f>IF(AND(matrizOK,$B37="Motriz",OR(C$2="Enlace",C$2="Resultado"),'M1'!M44&gt;=1),'M1'!M44*1000000+(41-$A37)*1000+(41-C$1),0)</f>
        <v/>
      </c>
      <c r="D37" s="58">
        <f>IF(AND(matrizOK,$B37="Motriz",OR(D$2="Enlace",D$2="Resultado"),'M1'!N44&gt;=1),'M1'!N44*1000000+(41-$A37)*1000+(41-D$1),0)</f>
        <v/>
      </c>
      <c r="E37" s="58">
        <f>IF(AND(matrizOK,$B37="Motriz",OR(E$2="Enlace",E$2="Resultado"),'M1'!O44&gt;=1),'M1'!O44*1000000+(41-$A37)*1000+(41-E$1),0)</f>
        <v/>
      </c>
      <c r="F37" s="58">
        <f>IF(AND(matrizOK,$B37="Motriz",OR(F$2="Enlace",F$2="Resultado"),'M1'!P44&gt;=1),'M1'!P44*1000000+(41-$A37)*1000+(41-F$1),0)</f>
        <v/>
      </c>
      <c r="G37" s="58">
        <f>IF(AND(matrizOK,$B37="Motriz",OR(G$2="Enlace",G$2="Resultado"),'M1'!Q44&gt;=1),'M1'!Q44*1000000+(41-$A37)*1000+(41-G$1),0)</f>
        <v/>
      </c>
      <c r="H37" s="58">
        <f>IF(AND(matrizOK,$B37="Motriz",OR(H$2="Enlace",H$2="Resultado"),'M1'!R44&gt;=1),'M1'!R44*1000000+(41-$A37)*1000+(41-H$1),0)</f>
        <v/>
      </c>
      <c r="I37" s="58">
        <f>IF(AND(matrizOK,$B37="Motriz",OR(I$2="Enlace",I$2="Resultado"),'M1'!S44&gt;=1),'M1'!S44*1000000+(41-$A37)*1000+(41-I$1),0)</f>
        <v/>
      </c>
      <c r="J37" s="58">
        <f>IF(AND(matrizOK,$B37="Motriz",OR(J$2="Enlace",J$2="Resultado"),'M1'!T44&gt;=1),'M1'!T44*1000000+(41-$A37)*1000+(41-J$1),0)</f>
        <v/>
      </c>
      <c r="K37" s="58">
        <f>IF(AND(matrizOK,$B37="Motriz",OR(K$2="Enlace",K$2="Resultado"),'M1'!U44&gt;=1),'M1'!U44*1000000+(41-$A37)*1000+(41-K$1),0)</f>
        <v/>
      </c>
      <c r="L37" s="58">
        <f>IF(AND(matrizOK,$B37="Motriz",OR(L$2="Enlace",L$2="Resultado"),'M1'!V44&gt;=1),'M1'!V44*1000000+(41-$A37)*1000+(41-L$1),0)</f>
        <v/>
      </c>
      <c r="M37" s="58">
        <f>IF(AND(matrizOK,$B37="Motriz",OR(M$2="Enlace",M$2="Resultado"),'M1'!W44&gt;=1),'M1'!W44*1000000+(41-$A37)*1000+(41-M$1),0)</f>
        <v/>
      </c>
      <c r="N37" s="58">
        <f>IF(AND(matrizOK,$B37="Motriz",OR(N$2="Enlace",N$2="Resultado"),'M1'!X44&gt;=1),'M1'!X44*1000000+(41-$A37)*1000+(41-N$1),0)</f>
        <v/>
      </c>
      <c r="O37" s="58">
        <f>IF(AND(matrizOK,$B37="Motriz",OR(O$2="Enlace",O$2="Resultado"),'M1'!Y44&gt;=1),'M1'!Y44*1000000+(41-$A37)*1000+(41-O$1),0)</f>
        <v/>
      </c>
      <c r="P37" s="58">
        <f>IF(AND(matrizOK,$B37="Motriz",OR(P$2="Enlace",P$2="Resultado"),'M1'!Z44&gt;=1),'M1'!Z44*1000000+(41-$A37)*1000+(41-P$1),0)</f>
        <v/>
      </c>
      <c r="Q37" s="58">
        <f>IF(AND(matrizOK,$B37="Motriz",OR(Q$2="Enlace",Q$2="Resultado"),'M1'!AA44&gt;=1),'M1'!AA44*1000000+(41-$A37)*1000+(41-Q$1),0)</f>
        <v/>
      </c>
      <c r="R37" s="58">
        <f>IF(AND(matrizOK,$B37="Motriz",OR(R$2="Enlace",R$2="Resultado"),'M1'!AB44&gt;=1),'M1'!AB44*1000000+(41-$A37)*1000+(41-R$1),0)</f>
        <v/>
      </c>
      <c r="S37" s="58">
        <f>IF(AND(matrizOK,$B37="Motriz",OR(S$2="Enlace",S$2="Resultado"),'M1'!AC44&gt;=1),'M1'!AC44*1000000+(41-$A37)*1000+(41-S$1),0)</f>
        <v/>
      </c>
      <c r="T37" s="58">
        <f>IF(AND(matrizOK,$B37="Motriz",OR(T$2="Enlace",T$2="Resultado"),'M1'!AD44&gt;=1),'M1'!AD44*1000000+(41-$A37)*1000+(41-T$1),0)</f>
        <v/>
      </c>
      <c r="U37" s="58">
        <f>IF(AND(matrizOK,$B37="Motriz",OR(U$2="Enlace",U$2="Resultado"),'M1'!AE44&gt;=1),'M1'!AE44*1000000+(41-$A37)*1000+(41-U$1),0)</f>
        <v/>
      </c>
      <c r="V37" s="58">
        <f>IF(AND(matrizOK,$B37="Motriz",OR(V$2="Enlace",V$2="Resultado"),'M1'!AF44&gt;=1),'M1'!AF44*1000000+(41-$A37)*1000+(41-V$1),0)</f>
        <v/>
      </c>
      <c r="W37" s="58">
        <f>IF(AND(matrizOK,$B37="Motriz",OR(W$2="Enlace",W$2="Resultado"),'M1'!AG44&gt;=1),'M1'!AG44*1000000+(41-$A37)*1000+(41-W$1),0)</f>
        <v/>
      </c>
      <c r="X37" s="58">
        <f>IF(AND(matrizOK,$B37="Motriz",OR(X$2="Enlace",X$2="Resultado"),'M1'!AH44&gt;=1),'M1'!AH44*1000000+(41-$A37)*1000+(41-X$1),0)</f>
        <v/>
      </c>
      <c r="Y37" s="58">
        <f>IF(AND(matrizOK,$B37="Motriz",OR(Y$2="Enlace",Y$2="Resultado"),'M1'!AI44&gt;=1),'M1'!AI44*1000000+(41-$A37)*1000+(41-Y$1),0)</f>
        <v/>
      </c>
      <c r="Z37" s="58">
        <f>IF(AND(matrizOK,$B37="Motriz",OR(Z$2="Enlace",Z$2="Resultado"),'M1'!AJ44&gt;=1),'M1'!AJ44*1000000+(41-$A37)*1000+(41-Z$1),0)</f>
        <v/>
      </c>
      <c r="AA37" s="58">
        <f>IF(AND(matrizOK,$B37="Motriz",OR(AA$2="Enlace",AA$2="Resultado"),'M1'!AK44&gt;=1),'M1'!AK44*1000000+(41-$A37)*1000+(41-AA$1),0)</f>
        <v/>
      </c>
      <c r="AB37" s="58">
        <f>IF(AND(matrizOK,$B37="Motriz",OR(AB$2="Enlace",AB$2="Resultado"),'M1'!AL44&gt;=1),'M1'!AL44*1000000+(41-$A37)*1000+(41-AB$1),0)</f>
        <v/>
      </c>
      <c r="AC37" s="58">
        <f>IF(AND(matrizOK,$B37="Motriz",OR(AC$2="Enlace",AC$2="Resultado"),'M1'!AM44&gt;=1),'M1'!AM44*1000000+(41-$A37)*1000+(41-AC$1),0)</f>
        <v/>
      </c>
      <c r="AD37" s="58">
        <f>IF(AND(matrizOK,$B37="Motriz",OR(AD$2="Enlace",AD$2="Resultado"),'M1'!AN44&gt;=1),'M1'!AN44*1000000+(41-$A37)*1000+(41-AD$1),0)</f>
        <v/>
      </c>
      <c r="AE37" s="58">
        <f>IF(AND(matrizOK,$B37="Motriz",OR(AE$2="Enlace",AE$2="Resultado"),'M1'!AO44&gt;=1),'M1'!AO44*1000000+(41-$A37)*1000+(41-AE$1),0)</f>
        <v/>
      </c>
      <c r="AF37" s="58">
        <f>IF(AND(matrizOK,$B37="Motriz",OR(AF$2="Enlace",AF$2="Resultado"),'M1'!AP44&gt;=1),'M1'!AP44*1000000+(41-$A37)*1000+(41-AF$1),0)</f>
        <v/>
      </c>
      <c r="AG37" s="58">
        <f>IF(AND(matrizOK,$B37="Motriz",OR(AG$2="Enlace",AG$2="Resultado"),'M1'!AQ44&gt;=1),'M1'!AQ44*1000000+(41-$A37)*1000+(41-AG$1),0)</f>
        <v/>
      </c>
      <c r="AH37" s="58">
        <f>IF(AND(matrizOK,$B37="Motriz",OR(AH$2="Enlace",AH$2="Resultado"),'M1'!AR44&gt;=1),'M1'!AR44*1000000+(41-$A37)*1000+(41-AH$1),0)</f>
        <v/>
      </c>
      <c r="AI37" s="58">
        <f>IF(AND(matrizOK,$B37="Motriz",OR(AI$2="Enlace",AI$2="Resultado"),'M1'!AS44&gt;=1),'M1'!AS44*1000000+(41-$A37)*1000+(41-AI$1),0)</f>
        <v/>
      </c>
      <c r="AJ37" s="58">
        <f>IF(AND(matrizOK,$B37="Motriz",OR(AJ$2="Enlace",AJ$2="Resultado"),'M1'!AT44&gt;=1),'M1'!AT44*1000000+(41-$A37)*1000+(41-AJ$1),0)</f>
        <v/>
      </c>
      <c r="AK37" s="58">
        <f>IF(AND(matrizOK,$B37="Motriz",OR(AK$2="Enlace",AK$2="Resultado"),'M1'!AU44&gt;=1),'M1'!AU44*1000000+(41-$A37)*1000+(41-AK$1),0)</f>
        <v/>
      </c>
      <c r="AL37" s="58">
        <f>IF(AND(matrizOK,$B37="Motriz",OR(AL$2="Enlace",AL$2="Resultado"),'M1'!AV44&gt;=1),'M1'!AV44*1000000+(41-$A37)*1000+(41-AL$1),0)</f>
        <v/>
      </c>
      <c r="AM37" s="58">
        <f>IF(AND(matrizOK,$B37="Motriz",OR(AM$2="Enlace",AM$2="Resultado"),'M1'!AW44&gt;=1),'M1'!AW44*1000000+(41-$A37)*1000+(41-AM$1),0)</f>
        <v/>
      </c>
      <c r="AN37" s="58">
        <f>IF(AND(matrizOK,$B37="Motriz",OR(AN$2="Enlace",AN$2="Resultado"),'M1'!AX44&gt;=1),'M1'!AX44*1000000+(41-$A37)*1000+(41-AN$1),0)</f>
        <v/>
      </c>
      <c r="AO37" s="58">
        <f>IF(AND(matrizOK,$B37="Motriz",OR(AO$2="Enlace",AO$2="Resultado"),'M1'!AY44&gt;=1),'M1'!AY44*1000000+(41-$A37)*1000+(41-AO$1),0)</f>
        <v/>
      </c>
      <c r="AP37" s="58">
        <f>IF(AND(matrizOK,$B37="Motriz",OR(AP$2="Enlace",AP$2="Resultado"),'M1'!AZ44&gt;=1),'M1'!AZ44*1000000+(41-$A37)*1000+(41-AP$1),0)</f>
        <v/>
      </c>
    </row>
    <row r="38">
      <c r="A38" s="58" t="n">
        <v>36</v>
      </c>
      <c r="B38" s="58">
        <f>IF($A38&lt;=nVariables,INDEX('M6'!$I$10:$I$49,$A38),"")</f>
        <v/>
      </c>
      <c r="C38" s="58">
        <f>IF(AND(matrizOK,$B38="Motriz",OR(C$2="Enlace",C$2="Resultado"),'M1'!M45&gt;=1),'M1'!M45*1000000+(41-$A38)*1000+(41-C$1),0)</f>
        <v/>
      </c>
      <c r="D38" s="58">
        <f>IF(AND(matrizOK,$B38="Motriz",OR(D$2="Enlace",D$2="Resultado"),'M1'!N45&gt;=1),'M1'!N45*1000000+(41-$A38)*1000+(41-D$1),0)</f>
        <v/>
      </c>
      <c r="E38" s="58">
        <f>IF(AND(matrizOK,$B38="Motriz",OR(E$2="Enlace",E$2="Resultado"),'M1'!O45&gt;=1),'M1'!O45*1000000+(41-$A38)*1000+(41-E$1),0)</f>
        <v/>
      </c>
      <c r="F38" s="58">
        <f>IF(AND(matrizOK,$B38="Motriz",OR(F$2="Enlace",F$2="Resultado"),'M1'!P45&gt;=1),'M1'!P45*1000000+(41-$A38)*1000+(41-F$1),0)</f>
        <v/>
      </c>
      <c r="G38" s="58">
        <f>IF(AND(matrizOK,$B38="Motriz",OR(G$2="Enlace",G$2="Resultado"),'M1'!Q45&gt;=1),'M1'!Q45*1000000+(41-$A38)*1000+(41-G$1),0)</f>
        <v/>
      </c>
      <c r="H38" s="58">
        <f>IF(AND(matrizOK,$B38="Motriz",OR(H$2="Enlace",H$2="Resultado"),'M1'!R45&gt;=1),'M1'!R45*1000000+(41-$A38)*1000+(41-H$1),0)</f>
        <v/>
      </c>
      <c r="I38" s="58">
        <f>IF(AND(matrizOK,$B38="Motriz",OR(I$2="Enlace",I$2="Resultado"),'M1'!S45&gt;=1),'M1'!S45*1000000+(41-$A38)*1000+(41-I$1),0)</f>
        <v/>
      </c>
      <c r="J38" s="58">
        <f>IF(AND(matrizOK,$B38="Motriz",OR(J$2="Enlace",J$2="Resultado"),'M1'!T45&gt;=1),'M1'!T45*1000000+(41-$A38)*1000+(41-J$1),0)</f>
        <v/>
      </c>
      <c r="K38" s="58">
        <f>IF(AND(matrizOK,$B38="Motriz",OR(K$2="Enlace",K$2="Resultado"),'M1'!U45&gt;=1),'M1'!U45*1000000+(41-$A38)*1000+(41-K$1),0)</f>
        <v/>
      </c>
      <c r="L38" s="58">
        <f>IF(AND(matrizOK,$B38="Motriz",OR(L$2="Enlace",L$2="Resultado"),'M1'!V45&gt;=1),'M1'!V45*1000000+(41-$A38)*1000+(41-L$1),0)</f>
        <v/>
      </c>
      <c r="M38" s="58">
        <f>IF(AND(matrizOK,$B38="Motriz",OR(M$2="Enlace",M$2="Resultado"),'M1'!W45&gt;=1),'M1'!W45*1000000+(41-$A38)*1000+(41-M$1),0)</f>
        <v/>
      </c>
      <c r="N38" s="58">
        <f>IF(AND(matrizOK,$B38="Motriz",OR(N$2="Enlace",N$2="Resultado"),'M1'!X45&gt;=1),'M1'!X45*1000000+(41-$A38)*1000+(41-N$1),0)</f>
        <v/>
      </c>
      <c r="O38" s="58">
        <f>IF(AND(matrizOK,$B38="Motriz",OR(O$2="Enlace",O$2="Resultado"),'M1'!Y45&gt;=1),'M1'!Y45*1000000+(41-$A38)*1000+(41-O$1),0)</f>
        <v/>
      </c>
      <c r="P38" s="58">
        <f>IF(AND(matrizOK,$B38="Motriz",OR(P$2="Enlace",P$2="Resultado"),'M1'!Z45&gt;=1),'M1'!Z45*1000000+(41-$A38)*1000+(41-P$1),0)</f>
        <v/>
      </c>
      <c r="Q38" s="58">
        <f>IF(AND(matrizOK,$B38="Motriz",OR(Q$2="Enlace",Q$2="Resultado"),'M1'!AA45&gt;=1),'M1'!AA45*1000000+(41-$A38)*1000+(41-Q$1),0)</f>
        <v/>
      </c>
      <c r="R38" s="58">
        <f>IF(AND(matrizOK,$B38="Motriz",OR(R$2="Enlace",R$2="Resultado"),'M1'!AB45&gt;=1),'M1'!AB45*1000000+(41-$A38)*1000+(41-R$1),0)</f>
        <v/>
      </c>
      <c r="S38" s="58">
        <f>IF(AND(matrizOK,$B38="Motriz",OR(S$2="Enlace",S$2="Resultado"),'M1'!AC45&gt;=1),'M1'!AC45*1000000+(41-$A38)*1000+(41-S$1),0)</f>
        <v/>
      </c>
      <c r="T38" s="58">
        <f>IF(AND(matrizOK,$B38="Motriz",OR(T$2="Enlace",T$2="Resultado"),'M1'!AD45&gt;=1),'M1'!AD45*1000000+(41-$A38)*1000+(41-T$1),0)</f>
        <v/>
      </c>
      <c r="U38" s="58">
        <f>IF(AND(matrizOK,$B38="Motriz",OR(U$2="Enlace",U$2="Resultado"),'M1'!AE45&gt;=1),'M1'!AE45*1000000+(41-$A38)*1000+(41-U$1),0)</f>
        <v/>
      </c>
      <c r="V38" s="58">
        <f>IF(AND(matrizOK,$B38="Motriz",OR(V$2="Enlace",V$2="Resultado"),'M1'!AF45&gt;=1),'M1'!AF45*1000000+(41-$A38)*1000+(41-V$1),0)</f>
        <v/>
      </c>
      <c r="W38" s="58">
        <f>IF(AND(matrizOK,$B38="Motriz",OR(W$2="Enlace",W$2="Resultado"),'M1'!AG45&gt;=1),'M1'!AG45*1000000+(41-$A38)*1000+(41-W$1),0)</f>
        <v/>
      </c>
      <c r="X38" s="58">
        <f>IF(AND(matrizOK,$B38="Motriz",OR(X$2="Enlace",X$2="Resultado"),'M1'!AH45&gt;=1),'M1'!AH45*1000000+(41-$A38)*1000+(41-X$1),0)</f>
        <v/>
      </c>
      <c r="Y38" s="58">
        <f>IF(AND(matrizOK,$B38="Motriz",OR(Y$2="Enlace",Y$2="Resultado"),'M1'!AI45&gt;=1),'M1'!AI45*1000000+(41-$A38)*1000+(41-Y$1),0)</f>
        <v/>
      </c>
      <c r="Z38" s="58">
        <f>IF(AND(matrizOK,$B38="Motriz",OR(Z$2="Enlace",Z$2="Resultado"),'M1'!AJ45&gt;=1),'M1'!AJ45*1000000+(41-$A38)*1000+(41-Z$1),0)</f>
        <v/>
      </c>
      <c r="AA38" s="58">
        <f>IF(AND(matrizOK,$B38="Motriz",OR(AA$2="Enlace",AA$2="Resultado"),'M1'!AK45&gt;=1),'M1'!AK45*1000000+(41-$A38)*1000+(41-AA$1),0)</f>
        <v/>
      </c>
      <c r="AB38" s="58">
        <f>IF(AND(matrizOK,$B38="Motriz",OR(AB$2="Enlace",AB$2="Resultado"),'M1'!AL45&gt;=1),'M1'!AL45*1000000+(41-$A38)*1000+(41-AB$1),0)</f>
        <v/>
      </c>
      <c r="AC38" s="58">
        <f>IF(AND(matrizOK,$B38="Motriz",OR(AC$2="Enlace",AC$2="Resultado"),'M1'!AM45&gt;=1),'M1'!AM45*1000000+(41-$A38)*1000+(41-AC$1),0)</f>
        <v/>
      </c>
      <c r="AD38" s="58">
        <f>IF(AND(matrizOK,$B38="Motriz",OR(AD$2="Enlace",AD$2="Resultado"),'M1'!AN45&gt;=1),'M1'!AN45*1000000+(41-$A38)*1000+(41-AD$1),0)</f>
        <v/>
      </c>
      <c r="AE38" s="58">
        <f>IF(AND(matrizOK,$B38="Motriz",OR(AE$2="Enlace",AE$2="Resultado"),'M1'!AO45&gt;=1),'M1'!AO45*1000000+(41-$A38)*1000+(41-AE$1),0)</f>
        <v/>
      </c>
      <c r="AF38" s="58">
        <f>IF(AND(matrizOK,$B38="Motriz",OR(AF$2="Enlace",AF$2="Resultado"),'M1'!AP45&gt;=1),'M1'!AP45*1000000+(41-$A38)*1000+(41-AF$1),0)</f>
        <v/>
      </c>
      <c r="AG38" s="58">
        <f>IF(AND(matrizOK,$B38="Motriz",OR(AG$2="Enlace",AG$2="Resultado"),'M1'!AQ45&gt;=1),'M1'!AQ45*1000000+(41-$A38)*1000+(41-AG$1),0)</f>
        <v/>
      </c>
      <c r="AH38" s="58">
        <f>IF(AND(matrizOK,$B38="Motriz",OR(AH$2="Enlace",AH$2="Resultado"),'M1'!AR45&gt;=1),'M1'!AR45*1000000+(41-$A38)*1000+(41-AH$1),0)</f>
        <v/>
      </c>
      <c r="AI38" s="58">
        <f>IF(AND(matrizOK,$B38="Motriz",OR(AI$2="Enlace",AI$2="Resultado"),'M1'!AS45&gt;=1),'M1'!AS45*1000000+(41-$A38)*1000+(41-AI$1),0)</f>
        <v/>
      </c>
      <c r="AJ38" s="58">
        <f>IF(AND(matrizOK,$B38="Motriz",OR(AJ$2="Enlace",AJ$2="Resultado"),'M1'!AT45&gt;=1),'M1'!AT45*1000000+(41-$A38)*1000+(41-AJ$1),0)</f>
        <v/>
      </c>
      <c r="AK38" s="58">
        <f>IF(AND(matrizOK,$B38="Motriz",OR(AK$2="Enlace",AK$2="Resultado"),'M1'!AU45&gt;=1),'M1'!AU45*1000000+(41-$A38)*1000+(41-AK$1),0)</f>
        <v/>
      </c>
      <c r="AL38" s="58">
        <f>IF(AND(matrizOK,$B38="Motriz",OR(AL$2="Enlace",AL$2="Resultado"),'M1'!AV45&gt;=1),'M1'!AV45*1000000+(41-$A38)*1000+(41-AL$1),0)</f>
        <v/>
      </c>
      <c r="AM38" s="58">
        <f>IF(AND(matrizOK,$B38="Motriz",OR(AM$2="Enlace",AM$2="Resultado"),'M1'!AW45&gt;=1),'M1'!AW45*1000000+(41-$A38)*1000+(41-AM$1),0)</f>
        <v/>
      </c>
      <c r="AN38" s="58">
        <f>IF(AND(matrizOK,$B38="Motriz",OR(AN$2="Enlace",AN$2="Resultado"),'M1'!AX45&gt;=1),'M1'!AX45*1000000+(41-$A38)*1000+(41-AN$1),0)</f>
        <v/>
      </c>
      <c r="AO38" s="58">
        <f>IF(AND(matrizOK,$B38="Motriz",OR(AO$2="Enlace",AO$2="Resultado"),'M1'!AY45&gt;=1),'M1'!AY45*1000000+(41-$A38)*1000+(41-AO$1),0)</f>
        <v/>
      </c>
      <c r="AP38" s="58">
        <f>IF(AND(matrizOK,$B38="Motriz",OR(AP$2="Enlace",AP$2="Resultado"),'M1'!AZ45&gt;=1),'M1'!AZ45*1000000+(41-$A38)*1000+(41-AP$1),0)</f>
        <v/>
      </c>
    </row>
    <row r="39">
      <c r="A39" s="58" t="n">
        <v>37</v>
      </c>
      <c r="B39" s="58">
        <f>IF($A39&lt;=nVariables,INDEX('M6'!$I$10:$I$49,$A39),"")</f>
        <v/>
      </c>
      <c r="C39" s="58">
        <f>IF(AND(matrizOK,$B39="Motriz",OR(C$2="Enlace",C$2="Resultado"),'M1'!M46&gt;=1),'M1'!M46*1000000+(41-$A39)*1000+(41-C$1),0)</f>
        <v/>
      </c>
      <c r="D39" s="58">
        <f>IF(AND(matrizOK,$B39="Motriz",OR(D$2="Enlace",D$2="Resultado"),'M1'!N46&gt;=1),'M1'!N46*1000000+(41-$A39)*1000+(41-D$1),0)</f>
        <v/>
      </c>
      <c r="E39" s="58">
        <f>IF(AND(matrizOK,$B39="Motriz",OR(E$2="Enlace",E$2="Resultado"),'M1'!O46&gt;=1),'M1'!O46*1000000+(41-$A39)*1000+(41-E$1),0)</f>
        <v/>
      </c>
      <c r="F39" s="58">
        <f>IF(AND(matrizOK,$B39="Motriz",OR(F$2="Enlace",F$2="Resultado"),'M1'!P46&gt;=1),'M1'!P46*1000000+(41-$A39)*1000+(41-F$1),0)</f>
        <v/>
      </c>
      <c r="G39" s="58">
        <f>IF(AND(matrizOK,$B39="Motriz",OR(G$2="Enlace",G$2="Resultado"),'M1'!Q46&gt;=1),'M1'!Q46*1000000+(41-$A39)*1000+(41-G$1),0)</f>
        <v/>
      </c>
      <c r="H39" s="58">
        <f>IF(AND(matrizOK,$B39="Motriz",OR(H$2="Enlace",H$2="Resultado"),'M1'!R46&gt;=1),'M1'!R46*1000000+(41-$A39)*1000+(41-H$1),0)</f>
        <v/>
      </c>
      <c r="I39" s="58">
        <f>IF(AND(matrizOK,$B39="Motriz",OR(I$2="Enlace",I$2="Resultado"),'M1'!S46&gt;=1),'M1'!S46*1000000+(41-$A39)*1000+(41-I$1),0)</f>
        <v/>
      </c>
      <c r="J39" s="58">
        <f>IF(AND(matrizOK,$B39="Motriz",OR(J$2="Enlace",J$2="Resultado"),'M1'!T46&gt;=1),'M1'!T46*1000000+(41-$A39)*1000+(41-J$1),0)</f>
        <v/>
      </c>
      <c r="K39" s="58">
        <f>IF(AND(matrizOK,$B39="Motriz",OR(K$2="Enlace",K$2="Resultado"),'M1'!U46&gt;=1),'M1'!U46*1000000+(41-$A39)*1000+(41-K$1),0)</f>
        <v/>
      </c>
      <c r="L39" s="58">
        <f>IF(AND(matrizOK,$B39="Motriz",OR(L$2="Enlace",L$2="Resultado"),'M1'!V46&gt;=1),'M1'!V46*1000000+(41-$A39)*1000+(41-L$1),0)</f>
        <v/>
      </c>
      <c r="M39" s="58">
        <f>IF(AND(matrizOK,$B39="Motriz",OR(M$2="Enlace",M$2="Resultado"),'M1'!W46&gt;=1),'M1'!W46*1000000+(41-$A39)*1000+(41-M$1),0)</f>
        <v/>
      </c>
      <c r="N39" s="58">
        <f>IF(AND(matrizOK,$B39="Motriz",OR(N$2="Enlace",N$2="Resultado"),'M1'!X46&gt;=1),'M1'!X46*1000000+(41-$A39)*1000+(41-N$1),0)</f>
        <v/>
      </c>
      <c r="O39" s="58">
        <f>IF(AND(matrizOK,$B39="Motriz",OR(O$2="Enlace",O$2="Resultado"),'M1'!Y46&gt;=1),'M1'!Y46*1000000+(41-$A39)*1000+(41-O$1),0)</f>
        <v/>
      </c>
      <c r="P39" s="58">
        <f>IF(AND(matrizOK,$B39="Motriz",OR(P$2="Enlace",P$2="Resultado"),'M1'!Z46&gt;=1),'M1'!Z46*1000000+(41-$A39)*1000+(41-P$1),0)</f>
        <v/>
      </c>
      <c r="Q39" s="58">
        <f>IF(AND(matrizOK,$B39="Motriz",OR(Q$2="Enlace",Q$2="Resultado"),'M1'!AA46&gt;=1),'M1'!AA46*1000000+(41-$A39)*1000+(41-Q$1),0)</f>
        <v/>
      </c>
      <c r="R39" s="58">
        <f>IF(AND(matrizOK,$B39="Motriz",OR(R$2="Enlace",R$2="Resultado"),'M1'!AB46&gt;=1),'M1'!AB46*1000000+(41-$A39)*1000+(41-R$1),0)</f>
        <v/>
      </c>
      <c r="S39" s="58">
        <f>IF(AND(matrizOK,$B39="Motriz",OR(S$2="Enlace",S$2="Resultado"),'M1'!AC46&gt;=1),'M1'!AC46*1000000+(41-$A39)*1000+(41-S$1),0)</f>
        <v/>
      </c>
      <c r="T39" s="58">
        <f>IF(AND(matrizOK,$B39="Motriz",OR(T$2="Enlace",T$2="Resultado"),'M1'!AD46&gt;=1),'M1'!AD46*1000000+(41-$A39)*1000+(41-T$1),0)</f>
        <v/>
      </c>
      <c r="U39" s="58">
        <f>IF(AND(matrizOK,$B39="Motriz",OR(U$2="Enlace",U$2="Resultado"),'M1'!AE46&gt;=1),'M1'!AE46*1000000+(41-$A39)*1000+(41-U$1),0)</f>
        <v/>
      </c>
      <c r="V39" s="58">
        <f>IF(AND(matrizOK,$B39="Motriz",OR(V$2="Enlace",V$2="Resultado"),'M1'!AF46&gt;=1),'M1'!AF46*1000000+(41-$A39)*1000+(41-V$1),0)</f>
        <v/>
      </c>
      <c r="W39" s="58">
        <f>IF(AND(matrizOK,$B39="Motriz",OR(W$2="Enlace",W$2="Resultado"),'M1'!AG46&gt;=1),'M1'!AG46*1000000+(41-$A39)*1000+(41-W$1),0)</f>
        <v/>
      </c>
      <c r="X39" s="58">
        <f>IF(AND(matrizOK,$B39="Motriz",OR(X$2="Enlace",X$2="Resultado"),'M1'!AH46&gt;=1),'M1'!AH46*1000000+(41-$A39)*1000+(41-X$1),0)</f>
        <v/>
      </c>
      <c r="Y39" s="58">
        <f>IF(AND(matrizOK,$B39="Motriz",OR(Y$2="Enlace",Y$2="Resultado"),'M1'!AI46&gt;=1),'M1'!AI46*1000000+(41-$A39)*1000+(41-Y$1),0)</f>
        <v/>
      </c>
      <c r="Z39" s="58">
        <f>IF(AND(matrizOK,$B39="Motriz",OR(Z$2="Enlace",Z$2="Resultado"),'M1'!AJ46&gt;=1),'M1'!AJ46*1000000+(41-$A39)*1000+(41-Z$1),0)</f>
        <v/>
      </c>
      <c r="AA39" s="58">
        <f>IF(AND(matrizOK,$B39="Motriz",OR(AA$2="Enlace",AA$2="Resultado"),'M1'!AK46&gt;=1),'M1'!AK46*1000000+(41-$A39)*1000+(41-AA$1),0)</f>
        <v/>
      </c>
      <c r="AB39" s="58">
        <f>IF(AND(matrizOK,$B39="Motriz",OR(AB$2="Enlace",AB$2="Resultado"),'M1'!AL46&gt;=1),'M1'!AL46*1000000+(41-$A39)*1000+(41-AB$1),0)</f>
        <v/>
      </c>
      <c r="AC39" s="58">
        <f>IF(AND(matrizOK,$B39="Motriz",OR(AC$2="Enlace",AC$2="Resultado"),'M1'!AM46&gt;=1),'M1'!AM46*1000000+(41-$A39)*1000+(41-AC$1),0)</f>
        <v/>
      </c>
      <c r="AD39" s="58">
        <f>IF(AND(matrizOK,$B39="Motriz",OR(AD$2="Enlace",AD$2="Resultado"),'M1'!AN46&gt;=1),'M1'!AN46*1000000+(41-$A39)*1000+(41-AD$1),0)</f>
        <v/>
      </c>
      <c r="AE39" s="58">
        <f>IF(AND(matrizOK,$B39="Motriz",OR(AE$2="Enlace",AE$2="Resultado"),'M1'!AO46&gt;=1),'M1'!AO46*1000000+(41-$A39)*1000+(41-AE$1),0)</f>
        <v/>
      </c>
      <c r="AF39" s="58">
        <f>IF(AND(matrizOK,$B39="Motriz",OR(AF$2="Enlace",AF$2="Resultado"),'M1'!AP46&gt;=1),'M1'!AP46*1000000+(41-$A39)*1000+(41-AF$1),0)</f>
        <v/>
      </c>
      <c r="AG39" s="58">
        <f>IF(AND(matrizOK,$B39="Motriz",OR(AG$2="Enlace",AG$2="Resultado"),'M1'!AQ46&gt;=1),'M1'!AQ46*1000000+(41-$A39)*1000+(41-AG$1),0)</f>
        <v/>
      </c>
      <c r="AH39" s="58">
        <f>IF(AND(matrizOK,$B39="Motriz",OR(AH$2="Enlace",AH$2="Resultado"),'M1'!AR46&gt;=1),'M1'!AR46*1000000+(41-$A39)*1000+(41-AH$1),0)</f>
        <v/>
      </c>
      <c r="AI39" s="58">
        <f>IF(AND(matrizOK,$B39="Motriz",OR(AI$2="Enlace",AI$2="Resultado"),'M1'!AS46&gt;=1),'M1'!AS46*1000000+(41-$A39)*1000+(41-AI$1),0)</f>
        <v/>
      </c>
      <c r="AJ39" s="58">
        <f>IF(AND(matrizOK,$B39="Motriz",OR(AJ$2="Enlace",AJ$2="Resultado"),'M1'!AT46&gt;=1),'M1'!AT46*1000000+(41-$A39)*1000+(41-AJ$1),0)</f>
        <v/>
      </c>
      <c r="AK39" s="58">
        <f>IF(AND(matrizOK,$B39="Motriz",OR(AK$2="Enlace",AK$2="Resultado"),'M1'!AU46&gt;=1),'M1'!AU46*1000000+(41-$A39)*1000+(41-AK$1),0)</f>
        <v/>
      </c>
      <c r="AL39" s="58">
        <f>IF(AND(matrizOK,$B39="Motriz",OR(AL$2="Enlace",AL$2="Resultado"),'M1'!AV46&gt;=1),'M1'!AV46*1000000+(41-$A39)*1000+(41-AL$1),0)</f>
        <v/>
      </c>
      <c r="AM39" s="58">
        <f>IF(AND(matrizOK,$B39="Motriz",OR(AM$2="Enlace",AM$2="Resultado"),'M1'!AW46&gt;=1),'M1'!AW46*1000000+(41-$A39)*1000+(41-AM$1),0)</f>
        <v/>
      </c>
      <c r="AN39" s="58">
        <f>IF(AND(matrizOK,$B39="Motriz",OR(AN$2="Enlace",AN$2="Resultado"),'M1'!AX46&gt;=1),'M1'!AX46*1000000+(41-$A39)*1000+(41-AN$1),0)</f>
        <v/>
      </c>
      <c r="AO39" s="58">
        <f>IF(AND(matrizOK,$B39="Motriz",OR(AO$2="Enlace",AO$2="Resultado"),'M1'!AY46&gt;=1),'M1'!AY46*1000000+(41-$A39)*1000+(41-AO$1),0)</f>
        <v/>
      </c>
      <c r="AP39" s="58">
        <f>IF(AND(matrizOK,$B39="Motriz",OR(AP$2="Enlace",AP$2="Resultado"),'M1'!AZ46&gt;=1),'M1'!AZ46*1000000+(41-$A39)*1000+(41-AP$1),0)</f>
        <v/>
      </c>
    </row>
    <row r="40">
      <c r="A40" s="58" t="n">
        <v>38</v>
      </c>
      <c r="B40" s="58">
        <f>IF($A40&lt;=nVariables,INDEX('M6'!$I$10:$I$49,$A40),"")</f>
        <v/>
      </c>
      <c r="C40" s="58">
        <f>IF(AND(matrizOK,$B40="Motriz",OR(C$2="Enlace",C$2="Resultado"),'M1'!M47&gt;=1),'M1'!M47*1000000+(41-$A40)*1000+(41-C$1),0)</f>
        <v/>
      </c>
      <c r="D40" s="58">
        <f>IF(AND(matrizOK,$B40="Motriz",OR(D$2="Enlace",D$2="Resultado"),'M1'!N47&gt;=1),'M1'!N47*1000000+(41-$A40)*1000+(41-D$1),0)</f>
        <v/>
      </c>
      <c r="E40" s="58">
        <f>IF(AND(matrizOK,$B40="Motriz",OR(E$2="Enlace",E$2="Resultado"),'M1'!O47&gt;=1),'M1'!O47*1000000+(41-$A40)*1000+(41-E$1),0)</f>
        <v/>
      </c>
      <c r="F40" s="58">
        <f>IF(AND(matrizOK,$B40="Motriz",OR(F$2="Enlace",F$2="Resultado"),'M1'!P47&gt;=1),'M1'!P47*1000000+(41-$A40)*1000+(41-F$1),0)</f>
        <v/>
      </c>
      <c r="G40" s="58">
        <f>IF(AND(matrizOK,$B40="Motriz",OR(G$2="Enlace",G$2="Resultado"),'M1'!Q47&gt;=1),'M1'!Q47*1000000+(41-$A40)*1000+(41-G$1),0)</f>
        <v/>
      </c>
      <c r="H40" s="58">
        <f>IF(AND(matrizOK,$B40="Motriz",OR(H$2="Enlace",H$2="Resultado"),'M1'!R47&gt;=1),'M1'!R47*1000000+(41-$A40)*1000+(41-H$1),0)</f>
        <v/>
      </c>
      <c r="I40" s="58">
        <f>IF(AND(matrizOK,$B40="Motriz",OR(I$2="Enlace",I$2="Resultado"),'M1'!S47&gt;=1),'M1'!S47*1000000+(41-$A40)*1000+(41-I$1),0)</f>
        <v/>
      </c>
      <c r="J40" s="58">
        <f>IF(AND(matrizOK,$B40="Motriz",OR(J$2="Enlace",J$2="Resultado"),'M1'!T47&gt;=1),'M1'!T47*1000000+(41-$A40)*1000+(41-J$1),0)</f>
        <v/>
      </c>
      <c r="K40" s="58">
        <f>IF(AND(matrizOK,$B40="Motriz",OR(K$2="Enlace",K$2="Resultado"),'M1'!U47&gt;=1),'M1'!U47*1000000+(41-$A40)*1000+(41-K$1),0)</f>
        <v/>
      </c>
      <c r="L40" s="58">
        <f>IF(AND(matrizOK,$B40="Motriz",OR(L$2="Enlace",L$2="Resultado"),'M1'!V47&gt;=1),'M1'!V47*1000000+(41-$A40)*1000+(41-L$1),0)</f>
        <v/>
      </c>
      <c r="M40" s="58">
        <f>IF(AND(matrizOK,$B40="Motriz",OR(M$2="Enlace",M$2="Resultado"),'M1'!W47&gt;=1),'M1'!W47*1000000+(41-$A40)*1000+(41-M$1),0)</f>
        <v/>
      </c>
      <c r="N40" s="58">
        <f>IF(AND(matrizOK,$B40="Motriz",OR(N$2="Enlace",N$2="Resultado"),'M1'!X47&gt;=1),'M1'!X47*1000000+(41-$A40)*1000+(41-N$1),0)</f>
        <v/>
      </c>
      <c r="O40" s="58">
        <f>IF(AND(matrizOK,$B40="Motriz",OR(O$2="Enlace",O$2="Resultado"),'M1'!Y47&gt;=1),'M1'!Y47*1000000+(41-$A40)*1000+(41-O$1),0)</f>
        <v/>
      </c>
      <c r="P40" s="58">
        <f>IF(AND(matrizOK,$B40="Motriz",OR(P$2="Enlace",P$2="Resultado"),'M1'!Z47&gt;=1),'M1'!Z47*1000000+(41-$A40)*1000+(41-P$1),0)</f>
        <v/>
      </c>
      <c r="Q40" s="58">
        <f>IF(AND(matrizOK,$B40="Motriz",OR(Q$2="Enlace",Q$2="Resultado"),'M1'!AA47&gt;=1),'M1'!AA47*1000000+(41-$A40)*1000+(41-Q$1),0)</f>
        <v/>
      </c>
      <c r="R40" s="58">
        <f>IF(AND(matrizOK,$B40="Motriz",OR(R$2="Enlace",R$2="Resultado"),'M1'!AB47&gt;=1),'M1'!AB47*1000000+(41-$A40)*1000+(41-R$1),0)</f>
        <v/>
      </c>
      <c r="S40" s="58">
        <f>IF(AND(matrizOK,$B40="Motriz",OR(S$2="Enlace",S$2="Resultado"),'M1'!AC47&gt;=1),'M1'!AC47*1000000+(41-$A40)*1000+(41-S$1),0)</f>
        <v/>
      </c>
      <c r="T40" s="58">
        <f>IF(AND(matrizOK,$B40="Motriz",OR(T$2="Enlace",T$2="Resultado"),'M1'!AD47&gt;=1),'M1'!AD47*1000000+(41-$A40)*1000+(41-T$1),0)</f>
        <v/>
      </c>
      <c r="U40" s="58">
        <f>IF(AND(matrizOK,$B40="Motriz",OR(U$2="Enlace",U$2="Resultado"),'M1'!AE47&gt;=1),'M1'!AE47*1000000+(41-$A40)*1000+(41-U$1),0)</f>
        <v/>
      </c>
      <c r="V40" s="58">
        <f>IF(AND(matrizOK,$B40="Motriz",OR(V$2="Enlace",V$2="Resultado"),'M1'!AF47&gt;=1),'M1'!AF47*1000000+(41-$A40)*1000+(41-V$1),0)</f>
        <v/>
      </c>
      <c r="W40" s="58">
        <f>IF(AND(matrizOK,$B40="Motriz",OR(W$2="Enlace",W$2="Resultado"),'M1'!AG47&gt;=1),'M1'!AG47*1000000+(41-$A40)*1000+(41-W$1),0)</f>
        <v/>
      </c>
      <c r="X40" s="58">
        <f>IF(AND(matrizOK,$B40="Motriz",OR(X$2="Enlace",X$2="Resultado"),'M1'!AH47&gt;=1),'M1'!AH47*1000000+(41-$A40)*1000+(41-X$1),0)</f>
        <v/>
      </c>
      <c r="Y40" s="58">
        <f>IF(AND(matrizOK,$B40="Motriz",OR(Y$2="Enlace",Y$2="Resultado"),'M1'!AI47&gt;=1),'M1'!AI47*1000000+(41-$A40)*1000+(41-Y$1),0)</f>
        <v/>
      </c>
      <c r="Z40" s="58">
        <f>IF(AND(matrizOK,$B40="Motriz",OR(Z$2="Enlace",Z$2="Resultado"),'M1'!AJ47&gt;=1),'M1'!AJ47*1000000+(41-$A40)*1000+(41-Z$1),0)</f>
        <v/>
      </c>
      <c r="AA40" s="58">
        <f>IF(AND(matrizOK,$B40="Motriz",OR(AA$2="Enlace",AA$2="Resultado"),'M1'!AK47&gt;=1),'M1'!AK47*1000000+(41-$A40)*1000+(41-AA$1),0)</f>
        <v/>
      </c>
      <c r="AB40" s="58">
        <f>IF(AND(matrizOK,$B40="Motriz",OR(AB$2="Enlace",AB$2="Resultado"),'M1'!AL47&gt;=1),'M1'!AL47*1000000+(41-$A40)*1000+(41-AB$1),0)</f>
        <v/>
      </c>
      <c r="AC40" s="58">
        <f>IF(AND(matrizOK,$B40="Motriz",OR(AC$2="Enlace",AC$2="Resultado"),'M1'!AM47&gt;=1),'M1'!AM47*1000000+(41-$A40)*1000+(41-AC$1),0)</f>
        <v/>
      </c>
      <c r="AD40" s="58">
        <f>IF(AND(matrizOK,$B40="Motriz",OR(AD$2="Enlace",AD$2="Resultado"),'M1'!AN47&gt;=1),'M1'!AN47*1000000+(41-$A40)*1000+(41-AD$1),0)</f>
        <v/>
      </c>
      <c r="AE40" s="58">
        <f>IF(AND(matrizOK,$B40="Motriz",OR(AE$2="Enlace",AE$2="Resultado"),'M1'!AO47&gt;=1),'M1'!AO47*1000000+(41-$A40)*1000+(41-AE$1),0)</f>
        <v/>
      </c>
      <c r="AF40" s="58">
        <f>IF(AND(matrizOK,$B40="Motriz",OR(AF$2="Enlace",AF$2="Resultado"),'M1'!AP47&gt;=1),'M1'!AP47*1000000+(41-$A40)*1000+(41-AF$1),0)</f>
        <v/>
      </c>
      <c r="AG40" s="58">
        <f>IF(AND(matrizOK,$B40="Motriz",OR(AG$2="Enlace",AG$2="Resultado"),'M1'!AQ47&gt;=1),'M1'!AQ47*1000000+(41-$A40)*1000+(41-AG$1),0)</f>
        <v/>
      </c>
      <c r="AH40" s="58">
        <f>IF(AND(matrizOK,$B40="Motriz",OR(AH$2="Enlace",AH$2="Resultado"),'M1'!AR47&gt;=1),'M1'!AR47*1000000+(41-$A40)*1000+(41-AH$1),0)</f>
        <v/>
      </c>
      <c r="AI40" s="58">
        <f>IF(AND(matrizOK,$B40="Motriz",OR(AI$2="Enlace",AI$2="Resultado"),'M1'!AS47&gt;=1),'M1'!AS47*1000000+(41-$A40)*1000+(41-AI$1),0)</f>
        <v/>
      </c>
      <c r="AJ40" s="58">
        <f>IF(AND(matrizOK,$B40="Motriz",OR(AJ$2="Enlace",AJ$2="Resultado"),'M1'!AT47&gt;=1),'M1'!AT47*1000000+(41-$A40)*1000+(41-AJ$1),0)</f>
        <v/>
      </c>
      <c r="AK40" s="58">
        <f>IF(AND(matrizOK,$B40="Motriz",OR(AK$2="Enlace",AK$2="Resultado"),'M1'!AU47&gt;=1),'M1'!AU47*1000000+(41-$A40)*1000+(41-AK$1),0)</f>
        <v/>
      </c>
      <c r="AL40" s="58">
        <f>IF(AND(matrizOK,$B40="Motriz",OR(AL$2="Enlace",AL$2="Resultado"),'M1'!AV47&gt;=1),'M1'!AV47*1000000+(41-$A40)*1000+(41-AL$1),0)</f>
        <v/>
      </c>
      <c r="AM40" s="58">
        <f>IF(AND(matrizOK,$B40="Motriz",OR(AM$2="Enlace",AM$2="Resultado"),'M1'!AW47&gt;=1),'M1'!AW47*1000000+(41-$A40)*1000+(41-AM$1),0)</f>
        <v/>
      </c>
      <c r="AN40" s="58">
        <f>IF(AND(matrizOK,$B40="Motriz",OR(AN$2="Enlace",AN$2="Resultado"),'M1'!AX47&gt;=1),'M1'!AX47*1000000+(41-$A40)*1000+(41-AN$1),0)</f>
        <v/>
      </c>
      <c r="AO40" s="58">
        <f>IF(AND(matrizOK,$B40="Motriz",OR(AO$2="Enlace",AO$2="Resultado"),'M1'!AY47&gt;=1),'M1'!AY47*1000000+(41-$A40)*1000+(41-AO$1),0)</f>
        <v/>
      </c>
      <c r="AP40" s="58">
        <f>IF(AND(matrizOK,$B40="Motriz",OR(AP$2="Enlace",AP$2="Resultado"),'M1'!AZ47&gt;=1),'M1'!AZ47*1000000+(41-$A40)*1000+(41-AP$1),0)</f>
        <v/>
      </c>
    </row>
    <row r="41">
      <c r="A41" s="58" t="n">
        <v>39</v>
      </c>
      <c r="B41" s="58">
        <f>IF($A41&lt;=nVariables,INDEX('M6'!$I$10:$I$49,$A41),"")</f>
        <v/>
      </c>
      <c r="C41" s="58">
        <f>IF(AND(matrizOK,$B41="Motriz",OR(C$2="Enlace",C$2="Resultado"),'M1'!M48&gt;=1),'M1'!M48*1000000+(41-$A41)*1000+(41-C$1),0)</f>
        <v/>
      </c>
      <c r="D41" s="58">
        <f>IF(AND(matrizOK,$B41="Motriz",OR(D$2="Enlace",D$2="Resultado"),'M1'!N48&gt;=1),'M1'!N48*1000000+(41-$A41)*1000+(41-D$1),0)</f>
        <v/>
      </c>
      <c r="E41" s="58">
        <f>IF(AND(matrizOK,$B41="Motriz",OR(E$2="Enlace",E$2="Resultado"),'M1'!O48&gt;=1),'M1'!O48*1000000+(41-$A41)*1000+(41-E$1),0)</f>
        <v/>
      </c>
      <c r="F41" s="58">
        <f>IF(AND(matrizOK,$B41="Motriz",OR(F$2="Enlace",F$2="Resultado"),'M1'!P48&gt;=1),'M1'!P48*1000000+(41-$A41)*1000+(41-F$1),0)</f>
        <v/>
      </c>
      <c r="G41" s="58">
        <f>IF(AND(matrizOK,$B41="Motriz",OR(G$2="Enlace",G$2="Resultado"),'M1'!Q48&gt;=1),'M1'!Q48*1000000+(41-$A41)*1000+(41-G$1),0)</f>
        <v/>
      </c>
      <c r="H41" s="58">
        <f>IF(AND(matrizOK,$B41="Motriz",OR(H$2="Enlace",H$2="Resultado"),'M1'!R48&gt;=1),'M1'!R48*1000000+(41-$A41)*1000+(41-H$1),0)</f>
        <v/>
      </c>
      <c r="I41" s="58">
        <f>IF(AND(matrizOK,$B41="Motriz",OR(I$2="Enlace",I$2="Resultado"),'M1'!S48&gt;=1),'M1'!S48*1000000+(41-$A41)*1000+(41-I$1),0)</f>
        <v/>
      </c>
      <c r="J41" s="58">
        <f>IF(AND(matrizOK,$B41="Motriz",OR(J$2="Enlace",J$2="Resultado"),'M1'!T48&gt;=1),'M1'!T48*1000000+(41-$A41)*1000+(41-J$1),0)</f>
        <v/>
      </c>
      <c r="K41" s="58">
        <f>IF(AND(matrizOK,$B41="Motriz",OR(K$2="Enlace",K$2="Resultado"),'M1'!U48&gt;=1),'M1'!U48*1000000+(41-$A41)*1000+(41-K$1),0)</f>
        <v/>
      </c>
      <c r="L41" s="58">
        <f>IF(AND(matrizOK,$B41="Motriz",OR(L$2="Enlace",L$2="Resultado"),'M1'!V48&gt;=1),'M1'!V48*1000000+(41-$A41)*1000+(41-L$1),0)</f>
        <v/>
      </c>
      <c r="M41" s="58">
        <f>IF(AND(matrizOK,$B41="Motriz",OR(M$2="Enlace",M$2="Resultado"),'M1'!W48&gt;=1),'M1'!W48*1000000+(41-$A41)*1000+(41-M$1),0)</f>
        <v/>
      </c>
      <c r="N41" s="58">
        <f>IF(AND(matrizOK,$B41="Motriz",OR(N$2="Enlace",N$2="Resultado"),'M1'!X48&gt;=1),'M1'!X48*1000000+(41-$A41)*1000+(41-N$1),0)</f>
        <v/>
      </c>
      <c r="O41" s="58">
        <f>IF(AND(matrizOK,$B41="Motriz",OR(O$2="Enlace",O$2="Resultado"),'M1'!Y48&gt;=1),'M1'!Y48*1000000+(41-$A41)*1000+(41-O$1),0)</f>
        <v/>
      </c>
      <c r="P41" s="58">
        <f>IF(AND(matrizOK,$B41="Motriz",OR(P$2="Enlace",P$2="Resultado"),'M1'!Z48&gt;=1),'M1'!Z48*1000000+(41-$A41)*1000+(41-P$1),0)</f>
        <v/>
      </c>
      <c r="Q41" s="58">
        <f>IF(AND(matrizOK,$B41="Motriz",OR(Q$2="Enlace",Q$2="Resultado"),'M1'!AA48&gt;=1),'M1'!AA48*1000000+(41-$A41)*1000+(41-Q$1),0)</f>
        <v/>
      </c>
      <c r="R41" s="58">
        <f>IF(AND(matrizOK,$B41="Motriz",OR(R$2="Enlace",R$2="Resultado"),'M1'!AB48&gt;=1),'M1'!AB48*1000000+(41-$A41)*1000+(41-R$1),0)</f>
        <v/>
      </c>
      <c r="S41" s="58">
        <f>IF(AND(matrizOK,$B41="Motriz",OR(S$2="Enlace",S$2="Resultado"),'M1'!AC48&gt;=1),'M1'!AC48*1000000+(41-$A41)*1000+(41-S$1),0)</f>
        <v/>
      </c>
      <c r="T41" s="58">
        <f>IF(AND(matrizOK,$B41="Motriz",OR(T$2="Enlace",T$2="Resultado"),'M1'!AD48&gt;=1),'M1'!AD48*1000000+(41-$A41)*1000+(41-T$1),0)</f>
        <v/>
      </c>
      <c r="U41" s="58">
        <f>IF(AND(matrizOK,$B41="Motriz",OR(U$2="Enlace",U$2="Resultado"),'M1'!AE48&gt;=1),'M1'!AE48*1000000+(41-$A41)*1000+(41-U$1),0)</f>
        <v/>
      </c>
      <c r="V41" s="58">
        <f>IF(AND(matrizOK,$B41="Motriz",OR(V$2="Enlace",V$2="Resultado"),'M1'!AF48&gt;=1),'M1'!AF48*1000000+(41-$A41)*1000+(41-V$1),0)</f>
        <v/>
      </c>
      <c r="W41" s="58">
        <f>IF(AND(matrizOK,$B41="Motriz",OR(W$2="Enlace",W$2="Resultado"),'M1'!AG48&gt;=1),'M1'!AG48*1000000+(41-$A41)*1000+(41-W$1),0)</f>
        <v/>
      </c>
      <c r="X41" s="58">
        <f>IF(AND(matrizOK,$B41="Motriz",OR(X$2="Enlace",X$2="Resultado"),'M1'!AH48&gt;=1),'M1'!AH48*1000000+(41-$A41)*1000+(41-X$1),0)</f>
        <v/>
      </c>
      <c r="Y41" s="58">
        <f>IF(AND(matrizOK,$B41="Motriz",OR(Y$2="Enlace",Y$2="Resultado"),'M1'!AI48&gt;=1),'M1'!AI48*1000000+(41-$A41)*1000+(41-Y$1),0)</f>
        <v/>
      </c>
      <c r="Z41" s="58">
        <f>IF(AND(matrizOK,$B41="Motriz",OR(Z$2="Enlace",Z$2="Resultado"),'M1'!AJ48&gt;=1),'M1'!AJ48*1000000+(41-$A41)*1000+(41-Z$1),0)</f>
        <v/>
      </c>
      <c r="AA41" s="58">
        <f>IF(AND(matrizOK,$B41="Motriz",OR(AA$2="Enlace",AA$2="Resultado"),'M1'!AK48&gt;=1),'M1'!AK48*1000000+(41-$A41)*1000+(41-AA$1),0)</f>
        <v/>
      </c>
      <c r="AB41" s="58">
        <f>IF(AND(matrizOK,$B41="Motriz",OR(AB$2="Enlace",AB$2="Resultado"),'M1'!AL48&gt;=1),'M1'!AL48*1000000+(41-$A41)*1000+(41-AB$1),0)</f>
        <v/>
      </c>
      <c r="AC41" s="58">
        <f>IF(AND(matrizOK,$B41="Motriz",OR(AC$2="Enlace",AC$2="Resultado"),'M1'!AM48&gt;=1),'M1'!AM48*1000000+(41-$A41)*1000+(41-AC$1),0)</f>
        <v/>
      </c>
      <c r="AD41" s="58">
        <f>IF(AND(matrizOK,$B41="Motriz",OR(AD$2="Enlace",AD$2="Resultado"),'M1'!AN48&gt;=1),'M1'!AN48*1000000+(41-$A41)*1000+(41-AD$1),0)</f>
        <v/>
      </c>
      <c r="AE41" s="58">
        <f>IF(AND(matrizOK,$B41="Motriz",OR(AE$2="Enlace",AE$2="Resultado"),'M1'!AO48&gt;=1),'M1'!AO48*1000000+(41-$A41)*1000+(41-AE$1),0)</f>
        <v/>
      </c>
      <c r="AF41" s="58">
        <f>IF(AND(matrizOK,$B41="Motriz",OR(AF$2="Enlace",AF$2="Resultado"),'M1'!AP48&gt;=1),'M1'!AP48*1000000+(41-$A41)*1000+(41-AF$1),0)</f>
        <v/>
      </c>
      <c r="AG41" s="58">
        <f>IF(AND(matrizOK,$B41="Motriz",OR(AG$2="Enlace",AG$2="Resultado"),'M1'!AQ48&gt;=1),'M1'!AQ48*1000000+(41-$A41)*1000+(41-AG$1),0)</f>
        <v/>
      </c>
      <c r="AH41" s="58">
        <f>IF(AND(matrizOK,$B41="Motriz",OR(AH$2="Enlace",AH$2="Resultado"),'M1'!AR48&gt;=1),'M1'!AR48*1000000+(41-$A41)*1000+(41-AH$1),0)</f>
        <v/>
      </c>
      <c r="AI41" s="58">
        <f>IF(AND(matrizOK,$B41="Motriz",OR(AI$2="Enlace",AI$2="Resultado"),'M1'!AS48&gt;=1),'M1'!AS48*1000000+(41-$A41)*1000+(41-AI$1),0)</f>
        <v/>
      </c>
      <c r="AJ41" s="58">
        <f>IF(AND(matrizOK,$B41="Motriz",OR(AJ$2="Enlace",AJ$2="Resultado"),'M1'!AT48&gt;=1),'M1'!AT48*1000000+(41-$A41)*1000+(41-AJ$1),0)</f>
        <v/>
      </c>
      <c r="AK41" s="58">
        <f>IF(AND(matrizOK,$B41="Motriz",OR(AK$2="Enlace",AK$2="Resultado"),'M1'!AU48&gt;=1),'M1'!AU48*1000000+(41-$A41)*1000+(41-AK$1),0)</f>
        <v/>
      </c>
      <c r="AL41" s="58">
        <f>IF(AND(matrizOK,$B41="Motriz",OR(AL$2="Enlace",AL$2="Resultado"),'M1'!AV48&gt;=1),'M1'!AV48*1000000+(41-$A41)*1000+(41-AL$1),0)</f>
        <v/>
      </c>
      <c r="AM41" s="58">
        <f>IF(AND(matrizOK,$B41="Motriz",OR(AM$2="Enlace",AM$2="Resultado"),'M1'!AW48&gt;=1),'M1'!AW48*1000000+(41-$A41)*1000+(41-AM$1),0)</f>
        <v/>
      </c>
      <c r="AN41" s="58">
        <f>IF(AND(matrizOK,$B41="Motriz",OR(AN$2="Enlace",AN$2="Resultado"),'M1'!AX48&gt;=1),'M1'!AX48*1000000+(41-$A41)*1000+(41-AN$1),0)</f>
        <v/>
      </c>
      <c r="AO41" s="58">
        <f>IF(AND(matrizOK,$B41="Motriz",OR(AO$2="Enlace",AO$2="Resultado"),'M1'!AY48&gt;=1),'M1'!AY48*1000000+(41-$A41)*1000+(41-AO$1),0)</f>
        <v/>
      </c>
      <c r="AP41" s="58">
        <f>IF(AND(matrizOK,$B41="Motriz",OR(AP$2="Enlace",AP$2="Resultado"),'M1'!AZ48&gt;=1),'M1'!AZ48*1000000+(41-$A41)*1000+(41-AP$1),0)</f>
        <v/>
      </c>
    </row>
    <row r="42">
      <c r="A42" s="58" t="n">
        <v>40</v>
      </c>
      <c r="B42" s="58">
        <f>IF($A42&lt;=nVariables,INDEX('M6'!$I$10:$I$49,$A42),"")</f>
        <v/>
      </c>
      <c r="C42" s="58">
        <f>IF(AND(matrizOK,$B42="Motriz",OR(C$2="Enlace",C$2="Resultado"),'M1'!M49&gt;=1),'M1'!M49*1000000+(41-$A42)*1000+(41-C$1),0)</f>
        <v/>
      </c>
      <c r="D42" s="58">
        <f>IF(AND(matrizOK,$B42="Motriz",OR(D$2="Enlace",D$2="Resultado"),'M1'!N49&gt;=1),'M1'!N49*1000000+(41-$A42)*1000+(41-D$1),0)</f>
        <v/>
      </c>
      <c r="E42" s="58">
        <f>IF(AND(matrizOK,$B42="Motriz",OR(E$2="Enlace",E$2="Resultado"),'M1'!O49&gt;=1),'M1'!O49*1000000+(41-$A42)*1000+(41-E$1),0)</f>
        <v/>
      </c>
      <c r="F42" s="58">
        <f>IF(AND(matrizOK,$B42="Motriz",OR(F$2="Enlace",F$2="Resultado"),'M1'!P49&gt;=1),'M1'!P49*1000000+(41-$A42)*1000+(41-F$1),0)</f>
        <v/>
      </c>
      <c r="G42" s="58">
        <f>IF(AND(matrizOK,$B42="Motriz",OR(G$2="Enlace",G$2="Resultado"),'M1'!Q49&gt;=1),'M1'!Q49*1000000+(41-$A42)*1000+(41-G$1),0)</f>
        <v/>
      </c>
      <c r="H42" s="58">
        <f>IF(AND(matrizOK,$B42="Motriz",OR(H$2="Enlace",H$2="Resultado"),'M1'!R49&gt;=1),'M1'!R49*1000000+(41-$A42)*1000+(41-H$1),0)</f>
        <v/>
      </c>
      <c r="I42" s="58">
        <f>IF(AND(matrizOK,$B42="Motriz",OR(I$2="Enlace",I$2="Resultado"),'M1'!S49&gt;=1),'M1'!S49*1000000+(41-$A42)*1000+(41-I$1),0)</f>
        <v/>
      </c>
      <c r="J42" s="58">
        <f>IF(AND(matrizOK,$B42="Motriz",OR(J$2="Enlace",J$2="Resultado"),'M1'!T49&gt;=1),'M1'!T49*1000000+(41-$A42)*1000+(41-J$1),0)</f>
        <v/>
      </c>
      <c r="K42" s="58">
        <f>IF(AND(matrizOK,$B42="Motriz",OR(K$2="Enlace",K$2="Resultado"),'M1'!U49&gt;=1),'M1'!U49*1000000+(41-$A42)*1000+(41-K$1),0)</f>
        <v/>
      </c>
      <c r="L42" s="58">
        <f>IF(AND(matrizOK,$B42="Motriz",OR(L$2="Enlace",L$2="Resultado"),'M1'!V49&gt;=1),'M1'!V49*1000000+(41-$A42)*1000+(41-L$1),0)</f>
        <v/>
      </c>
      <c r="M42" s="58">
        <f>IF(AND(matrizOK,$B42="Motriz",OR(M$2="Enlace",M$2="Resultado"),'M1'!W49&gt;=1),'M1'!W49*1000000+(41-$A42)*1000+(41-M$1),0)</f>
        <v/>
      </c>
      <c r="N42" s="58">
        <f>IF(AND(matrizOK,$B42="Motriz",OR(N$2="Enlace",N$2="Resultado"),'M1'!X49&gt;=1),'M1'!X49*1000000+(41-$A42)*1000+(41-N$1),0)</f>
        <v/>
      </c>
      <c r="O42" s="58">
        <f>IF(AND(matrizOK,$B42="Motriz",OR(O$2="Enlace",O$2="Resultado"),'M1'!Y49&gt;=1),'M1'!Y49*1000000+(41-$A42)*1000+(41-O$1),0)</f>
        <v/>
      </c>
      <c r="P42" s="58">
        <f>IF(AND(matrizOK,$B42="Motriz",OR(P$2="Enlace",P$2="Resultado"),'M1'!Z49&gt;=1),'M1'!Z49*1000000+(41-$A42)*1000+(41-P$1),0)</f>
        <v/>
      </c>
      <c r="Q42" s="58">
        <f>IF(AND(matrizOK,$B42="Motriz",OR(Q$2="Enlace",Q$2="Resultado"),'M1'!AA49&gt;=1),'M1'!AA49*1000000+(41-$A42)*1000+(41-Q$1),0)</f>
        <v/>
      </c>
      <c r="R42" s="58">
        <f>IF(AND(matrizOK,$B42="Motriz",OR(R$2="Enlace",R$2="Resultado"),'M1'!AB49&gt;=1),'M1'!AB49*1000000+(41-$A42)*1000+(41-R$1),0)</f>
        <v/>
      </c>
      <c r="S42" s="58">
        <f>IF(AND(matrizOK,$B42="Motriz",OR(S$2="Enlace",S$2="Resultado"),'M1'!AC49&gt;=1),'M1'!AC49*1000000+(41-$A42)*1000+(41-S$1),0)</f>
        <v/>
      </c>
      <c r="T42" s="58">
        <f>IF(AND(matrizOK,$B42="Motriz",OR(T$2="Enlace",T$2="Resultado"),'M1'!AD49&gt;=1),'M1'!AD49*1000000+(41-$A42)*1000+(41-T$1),0)</f>
        <v/>
      </c>
      <c r="U42" s="58">
        <f>IF(AND(matrizOK,$B42="Motriz",OR(U$2="Enlace",U$2="Resultado"),'M1'!AE49&gt;=1),'M1'!AE49*1000000+(41-$A42)*1000+(41-U$1),0)</f>
        <v/>
      </c>
      <c r="V42" s="58">
        <f>IF(AND(matrizOK,$B42="Motriz",OR(V$2="Enlace",V$2="Resultado"),'M1'!AF49&gt;=1),'M1'!AF49*1000000+(41-$A42)*1000+(41-V$1),0)</f>
        <v/>
      </c>
      <c r="W42" s="58">
        <f>IF(AND(matrizOK,$B42="Motriz",OR(W$2="Enlace",W$2="Resultado"),'M1'!AG49&gt;=1),'M1'!AG49*1000000+(41-$A42)*1000+(41-W$1),0)</f>
        <v/>
      </c>
      <c r="X42" s="58">
        <f>IF(AND(matrizOK,$B42="Motriz",OR(X$2="Enlace",X$2="Resultado"),'M1'!AH49&gt;=1),'M1'!AH49*1000000+(41-$A42)*1000+(41-X$1),0)</f>
        <v/>
      </c>
      <c r="Y42" s="58">
        <f>IF(AND(matrizOK,$B42="Motriz",OR(Y$2="Enlace",Y$2="Resultado"),'M1'!AI49&gt;=1),'M1'!AI49*1000000+(41-$A42)*1000+(41-Y$1),0)</f>
        <v/>
      </c>
      <c r="Z42" s="58">
        <f>IF(AND(matrizOK,$B42="Motriz",OR(Z$2="Enlace",Z$2="Resultado"),'M1'!AJ49&gt;=1),'M1'!AJ49*1000000+(41-$A42)*1000+(41-Z$1),0)</f>
        <v/>
      </c>
      <c r="AA42" s="58">
        <f>IF(AND(matrizOK,$B42="Motriz",OR(AA$2="Enlace",AA$2="Resultado"),'M1'!AK49&gt;=1),'M1'!AK49*1000000+(41-$A42)*1000+(41-AA$1),0)</f>
        <v/>
      </c>
      <c r="AB42" s="58">
        <f>IF(AND(matrizOK,$B42="Motriz",OR(AB$2="Enlace",AB$2="Resultado"),'M1'!AL49&gt;=1),'M1'!AL49*1000000+(41-$A42)*1000+(41-AB$1),0)</f>
        <v/>
      </c>
      <c r="AC42" s="58">
        <f>IF(AND(matrizOK,$B42="Motriz",OR(AC$2="Enlace",AC$2="Resultado"),'M1'!AM49&gt;=1),'M1'!AM49*1000000+(41-$A42)*1000+(41-AC$1),0)</f>
        <v/>
      </c>
      <c r="AD42" s="58">
        <f>IF(AND(matrizOK,$B42="Motriz",OR(AD$2="Enlace",AD$2="Resultado"),'M1'!AN49&gt;=1),'M1'!AN49*1000000+(41-$A42)*1000+(41-AD$1),0)</f>
        <v/>
      </c>
      <c r="AE42" s="58">
        <f>IF(AND(matrizOK,$B42="Motriz",OR(AE$2="Enlace",AE$2="Resultado"),'M1'!AO49&gt;=1),'M1'!AO49*1000000+(41-$A42)*1000+(41-AE$1),0)</f>
        <v/>
      </c>
      <c r="AF42" s="58">
        <f>IF(AND(matrizOK,$B42="Motriz",OR(AF$2="Enlace",AF$2="Resultado"),'M1'!AP49&gt;=1),'M1'!AP49*1000000+(41-$A42)*1000+(41-AF$1),0)</f>
        <v/>
      </c>
      <c r="AG42" s="58">
        <f>IF(AND(matrizOK,$B42="Motriz",OR(AG$2="Enlace",AG$2="Resultado"),'M1'!AQ49&gt;=1),'M1'!AQ49*1000000+(41-$A42)*1000+(41-AG$1),0)</f>
        <v/>
      </c>
      <c r="AH42" s="58">
        <f>IF(AND(matrizOK,$B42="Motriz",OR(AH$2="Enlace",AH$2="Resultado"),'M1'!AR49&gt;=1),'M1'!AR49*1000000+(41-$A42)*1000+(41-AH$1),0)</f>
        <v/>
      </c>
      <c r="AI42" s="58">
        <f>IF(AND(matrizOK,$B42="Motriz",OR(AI$2="Enlace",AI$2="Resultado"),'M1'!AS49&gt;=1),'M1'!AS49*1000000+(41-$A42)*1000+(41-AI$1),0)</f>
        <v/>
      </c>
      <c r="AJ42" s="58">
        <f>IF(AND(matrizOK,$B42="Motriz",OR(AJ$2="Enlace",AJ$2="Resultado"),'M1'!AT49&gt;=1),'M1'!AT49*1000000+(41-$A42)*1000+(41-AJ$1),0)</f>
        <v/>
      </c>
      <c r="AK42" s="58">
        <f>IF(AND(matrizOK,$B42="Motriz",OR(AK$2="Enlace",AK$2="Resultado"),'M1'!AU49&gt;=1),'M1'!AU49*1000000+(41-$A42)*1000+(41-AK$1),0)</f>
        <v/>
      </c>
      <c r="AL42" s="58">
        <f>IF(AND(matrizOK,$B42="Motriz",OR(AL$2="Enlace",AL$2="Resultado"),'M1'!AV49&gt;=1),'M1'!AV49*1000000+(41-$A42)*1000+(41-AL$1),0)</f>
        <v/>
      </c>
      <c r="AM42" s="58">
        <f>IF(AND(matrizOK,$B42="Motriz",OR(AM$2="Enlace",AM$2="Resultado"),'M1'!AW49&gt;=1),'M1'!AW49*1000000+(41-$A42)*1000+(41-AM$1),0)</f>
        <v/>
      </c>
      <c r="AN42" s="58">
        <f>IF(AND(matrizOK,$B42="Motriz",OR(AN$2="Enlace",AN$2="Resultado"),'M1'!AX49&gt;=1),'M1'!AX49*1000000+(41-$A42)*1000+(41-AN$1),0)</f>
        <v/>
      </c>
      <c r="AO42" s="58">
        <f>IF(AND(matrizOK,$B42="Motriz",OR(AO$2="Enlace",AO$2="Resultado"),'M1'!AY49&gt;=1),'M1'!AY49*1000000+(41-$A42)*1000+(41-AO$1),0)</f>
        <v/>
      </c>
      <c r="AP42" s="58">
        <f>IF(AND(matrizOK,$B42="Motriz",OR(AP$2="Enlace",AP$2="Resultado"),'M1'!AZ49&gt;=1),'M1'!AZ49*1000000+(41-$A42)*1000+(41-AP$1),0)</f>
        <v/>
      </c>
    </row>
    <row r="45">
      <c r="A45" s="60" t="inlineStr">
        <is>
          <t>k</t>
        </is>
      </c>
      <c r="B45" s="60" t="inlineStr">
        <is>
          <t>puntaje</t>
        </is>
      </c>
      <c r="C45" s="60" t="inlineStr">
        <is>
          <t>¿hay?</t>
        </is>
      </c>
      <c r="D45" s="60" t="inlineStr">
        <is>
          <t>valor</t>
        </is>
      </c>
      <c r="E45" s="60" t="inlineStr">
        <is>
          <t>origen</t>
        </is>
      </c>
      <c r="F45" s="60" t="inlineStr">
        <is>
          <t>destino</t>
        </is>
      </c>
      <c r="H45" s="60" t="inlineStr">
        <is>
          <t>total de relaciones</t>
        </is>
      </c>
    </row>
    <row r="46">
      <c r="A46" s="58" t="n">
        <v>1</v>
      </c>
      <c r="B46" s="58">
        <f>LARGE($C$3:$AP$42,A46)</f>
        <v/>
      </c>
      <c r="C46" s="58">
        <f>IF(B46&gt;=1000000,1,0)</f>
        <v/>
      </c>
      <c r="D46" s="58">
        <f>IF(C46=1,INT(B46/1000000),"")</f>
        <v/>
      </c>
      <c r="E46" s="58">
        <f>IF(C46=1,41-INT(MOD(B46,1000000)/1000),"")</f>
        <v/>
      </c>
      <c r="F46" s="58">
        <f>IF(C46=1,41-MOD(B46,1000),"")</f>
        <v/>
      </c>
      <c r="H46" s="58">
        <f>COUNTIF($C$3:$AP$42,"&gt;=1000000")</f>
        <v/>
      </c>
    </row>
    <row r="47">
      <c r="A47" s="58" t="n">
        <v>2</v>
      </c>
      <c r="B47" s="58">
        <f>LARGE($C$3:$AP$42,A47)</f>
        <v/>
      </c>
      <c r="C47" s="58">
        <f>IF(B47&gt;=1000000,1,0)</f>
        <v/>
      </c>
      <c r="D47" s="58">
        <f>IF(C47=1,INT(B47/1000000),"")</f>
        <v/>
      </c>
      <c r="E47" s="58">
        <f>IF(C47=1,41-INT(MOD(B47,1000000)/1000),"")</f>
        <v/>
      </c>
      <c r="F47" s="58">
        <f>IF(C47=1,41-MOD(B47,1000),"")</f>
        <v/>
      </c>
    </row>
    <row r="48">
      <c r="A48" s="58" t="n">
        <v>3</v>
      </c>
      <c r="B48" s="58">
        <f>LARGE($C$3:$AP$42,A48)</f>
        <v/>
      </c>
      <c r="C48" s="58">
        <f>IF(B48&gt;=1000000,1,0)</f>
        <v/>
      </c>
      <c r="D48" s="58">
        <f>IF(C48=1,INT(B48/1000000),"")</f>
        <v/>
      </c>
      <c r="E48" s="58">
        <f>IF(C48=1,41-INT(MOD(B48,1000000)/1000),"")</f>
        <v/>
      </c>
      <c r="F48" s="58">
        <f>IF(C48=1,41-MOD(B48,1000),"")</f>
        <v/>
      </c>
    </row>
    <row r="49">
      <c r="A49" s="58" t="n">
        <v>4</v>
      </c>
      <c r="B49" s="58">
        <f>LARGE($C$3:$AP$42,A49)</f>
        <v/>
      </c>
      <c r="C49" s="58">
        <f>IF(B49&gt;=1000000,1,0)</f>
        <v/>
      </c>
      <c r="D49" s="58">
        <f>IF(C49=1,INT(B49/1000000),"")</f>
        <v/>
      </c>
      <c r="E49" s="58">
        <f>IF(C49=1,41-INT(MOD(B49,1000000)/1000),"")</f>
        <v/>
      </c>
      <c r="F49" s="58">
        <f>IF(C49=1,41-MOD(B49,1000),"")</f>
        <v/>
      </c>
    </row>
    <row r="50">
      <c r="A50" s="58" t="n">
        <v>5</v>
      </c>
      <c r="B50" s="58">
        <f>LARGE($C$3:$AP$42,A50)</f>
        <v/>
      </c>
      <c r="C50" s="58">
        <f>IF(B50&gt;=1000000,1,0)</f>
        <v/>
      </c>
      <c r="D50" s="58">
        <f>IF(C50=1,INT(B50/1000000),"")</f>
        <v/>
      </c>
      <c r="E50" s="58">
        <f>IF(C50=1,41-INT(MOD(B50,1000000)/1000),"")</f>
        <v/>
      </c>
      <c r="F50" s="58">
        <f>IF(C50=1,41-MOD(B50,1000),"")</f>
        <v/>
      </c>
    </row>
    <row r="51">
      <c r="A51" s="58" t="n">
        <v>6</v>
      </c>
      <c r="B51" s="58">
        <f>LARGE($C$3:$AP$42,A51)</f>
        <v/>
      </c>
      <c r="C51" s="58">
        <f>IF(B51&gt;=1000000,1,0)</f>
        <v/>
      </c>
      <c r="D51" s="58">
        <f>IF(C51=1,INT(B51/1000000),"")</f>
        <v/>
      </c>
      <c r="E51" s="58">
        <f>IF(C51=1,41-INT(MOD(B51,1000000)/1000),"")</f>
        <v/>
      </c>
      <c r="F51" s="58">
        <f>IF(C51=1,41-MOD(B51,1000),"")</f>
        <v/>
      </c>
    </row>
    <row r="52">
      <c r="A52" s="58" t="n">
        <v>7</v>
      </c>
      <c r="B52" s="58">
        <f>LARGE($C$3:$AP$42,A52)</f>
        <v/>
      </c>
      <c r="C52" s="58">
        <f>IF(B52&gt;=1000000,1,0)</f>
        <v/>
      </c>
      <c r="D52" s="58">
        <f>IF(C52=1,INT(B52/1000000),"")</f>
        <v/>
      </c>
      <c r="E52" s="58">
        <f>IF(C52=1,41-INT(MOD(B52,1000000)/1000),"")</f>
        <v/>
      </c>
      <c r="F52" s="58">
        <f>IF(C52=1,41-MOD(B52,1000),"")</f>
        <v/>
      </c>
    </row>
    <row r="53">
      <c r="A53" s="58" t="n">
        <v>8</v>
      </c>
      <c r="B53" s="58">
        <f>LARGE($C$3:$AP$42,A53)</f>
        <v/>
      </c>
      <c r="C53" s="58">
        <f>IF(B53&gt;=1000000,1,0)</f>
        <v/>
      </c>
      <c r="D53" s="58">
        <f>IF(C53=1,INT(B53/1000000),"")</f>
        <v/>
      </c>
      <c r="E53" s="58">
        <f>IF(C53=1,41-INT(MOD(B53,1000000)/1000),"")</f>
        <v/>
      </c>
      <c r="F53" s="58">
        <f>IF(C53=1,41-MOD(B53,1000),"")</f>
        <v/>
      </c>
    </row>
    <row r="54">
      <c r="A54" s="58" t="n">
        <v>9</v>
      </c>
      <c r="B54" s="58">
        <f>LARGE($C$3:$AP$42,A54)</f>
        <v/>
      </c>
      <c r="C54" s="58">
        <f>IF(B54&gt;=1000000,1,0)</f>
        <v/>
      </c>
      <c r="D54" s="58">
        <f>IF(C54=1,INT(B54/1000000),"")</f>
        <v/>
      </c>
      <c r="E54" s="58">
        <f>IF(C54=1,41-INT(MOD(B54,1000000)/1000),"")</f>
        <v/>
      </c>
      <c r="F54" s="58">
        <f>IF(C54=1,41-MOD(B54,1000),"")</f>
        <v/>
      </c>
    </row>
    <row r="55">
      <c r="A55" s="58" t="n">
        <v>10</v>
      </c>
      <c r="B55" s="58">
        <f>LARGE($C$3:$AP$42,A55)</f>
        <v/>
      </c>
      <c r="C55" s="58">
        <f>IF(B55&gt;=1000000,1,0)</f>
        <v/>
      </c>
      <c r="D55" s="58">
        <f>IF(C55=1,INT(B55/1000000),"")</f>
        <v/>
      </c>
      <c r="E55" s="58">
        <f>IF(C55=1,41-INT(MOD(B55,1000000)/1000),"")</f>
        <v/>
      </c>
      <c r="F55" s="58">
        <f>IF(C55=1,41-MOD(B55,1000),"")</f>
        <v/>
      </c>
    </row>
    <row r="56">
      <c r="A56" s="58" t="n">
        <v>11</v>
      </c>
      <c r="B56" s="58">
        <f>LARGE($C$3:$AP$42,A56)</f>
        <v/>
      </c>
      <c r="C56" s="58">
        <f>IF(B56&gt;=1000000,1,0)</f>
        <v/>
      </c>
      <c r="D56" s="58">
        <f>IF(C56=1,INT(B56/1000000),"")</f>
        <v/>
      </c>
      <c r="E56" s="58">
        <f>IF(C56=1,41-INT(MOD(B56,1000000)/1000),"")</f>
        <v/>
      </c>
      <c r="F56" s="58">
        <f>IF(C56=1,41-MOD(B56,1000),"")</f>
        <v/>
      </c>
    </row>
    <row r="57">
      <c r="A57" s="58" t="n">
        <v>12</v>
      </c>
      <c r="B57" s="58">
        <f>LARGE($C$3:$AP$42,A57)</f>
        <v/>
      </c>
      <c r="C57" s="58">
        <f>IF(B57&gt;=1000000,1,0)</f>
        <v/>
      </c>
      <c r="D57" s="58">
        <f>IF(C57=1,INT(B57/1000000),"")</f>
        <v/>
      </c>
      <c r="E57" s="58">
        <f>IF(C57=1,41-INT(MOD(B57,1000000)/1000),"")</f>
        <v/>
      </c>
      <c r="F57" s="58">
        <f>IF(C57=1,41-MOD(B57,1000),"")</f>
        <v/>
      </c>
    </row>
    <row r="58">
      <c r="A58" s="58" t="n">
        <v>13</v>
      </c>
      <c r="B58" s="58">
        <f>LARGE($C$3:$AP$42,A58)</f>
        <v/>
      </c>
      <c r="C58" s="58">
        <f>IF(B58&gt;=1000000,1,0)</f>
        <v/>
      </c>
      <c r="D58" s="58">
        <f>IF(C58=1,INT(B58/1000000),"")</f>
        <v/>
      </c>
      <c r="E58" s="58">
        <f>IF(C58=1,41-INT(MOD(B58,1000000)/1000),"")</f>
        <v/>
      </c>
      <c r="F58" s="58">
        <f>IF(C58=1,41-MOD(B58,1000),"")</f>
        <v/>
      </c>
    </row>
    <row r="59">
      <c r="A59" s="58" t="n">
        <v>14</v>
      </c>
      <c r="B59" s="58">
        <f>LARGE($C$3:$AP$42,A59)</f>
        <v/>
      </c>
      <c r="C59" s="58">
        <f>IF(B59&gt;=1000000,1,0)</f>
        <v/>
      </c>
      <c r="D59" s="58">
        <f>IF(C59=1,INT(B59/1000000),"")</f>
        <v/>
      </c>
      <c r="E59" s="58">
        <f>IF(C59=1,41-INT(MOD(B59,1000000)/1000),"")</f>
        <v/>
      </c>
      <c r="F59" s="58">
        <f>IF(C59=1,41-MOD(B59,1000),"")</f>
        <v/>
      </c>
    </row>
    <row r="60">
      <c r="A60" s="58" t="n">
        <v>15</v>
      </c>
      <c r="B60" s="58">
        <f>LARGE($C$3:$AP$42,A60)</f>
        <v/>
      </c>
      <c r="C60" s="58">
        <f>IF(B60&gt;=1000000,1,0)</f>
        <v/>
      </c>
      <c r="D60" s="58">
        <f>IF(C60=1,INT(B60/1000000),"")</f>
        <v/>
      </c>
      <c r="E60" s="58">
        <f>IF(C60=1,41-INT(MOD(B60,1000000)/1000),"")</f>
        <v/>
      </c>
      <c r="F60" s="58">
        <f>IF(C60=1,41-MOD(B60,1000),"")</f>
        <v/>
      </c>
    </row>
    <row r="61">
      <c r="A61" s="58" t="n">
        <v>16</v>
      </c>
      <c r="B61" s="58">
        <f>LARGE($C$3:$AP$42,A61)</f>
        <v/>
      </c>
      <c r="C61" s="58">
        <f>IF(B61&gt;=1000000,1,0)</f>
        <v/>
      </c>
      <c r="D61" s="58">
        <f>IF(C61=1,INT(B61/1000000),"")</f>
        <v/>
      </c>
      <c r="E61" s="58">
        <f>IF(C61=1,41-INT(MOD(B61,1000000)/1000),"")</f>
        <v/>
      </c>
      <c r="F61" s="58">
        <f>IF(C61=1,41-MOD(B61,1000),"")</f>
        <v/>
      </c>
    </row>
    <row r="62">
      <c r="A62" s="58" t="n">
        <v>17</v>
      </c>
      <c r="B62" s="58">
        <f>LARGE($C$3:$AP$42,A62)</f>
        <v/>
      </c>
      <c r="C62" s="58">
        <f>IF(B62&gt;=1000000,1,0)</f>
        <v/>
      </c>
      <c r="D62" s="58">
        <f>IF(C62=1,INT(B62/1000000),"")</f>
        <v/>
      </c>
      <c r="E62" s="58">
        <f>IF(C62=1,41-INT(MOD(B62,1000000)/1000),"")</f>
        <v/>
      </c>
      <c r="F62" s="58">
        <f>IF(C62=1,41-MOD(B62,1000),"")</f>
        <v/>
      </c>
    </row>
    <row r="63">
      <c r="A63" s="58" t="n">
        <v>18</v>
      </c>
      <c r="B63" s="58">
        <f>LARGE($C$3:$AP$42,A63)</f>
        <v/>
      </c>
      <c r="C63" s="58">
        <f>IF(B63&gt;=1000000,1,0)</f>
        <v/>
      </c>
      <c r="D63" s="58">
        <f>IF(C63=1,INT(B63/1000000),"")</f>
        <v/>
      </c>
      <c r="E63" s="58">
        <f>IF(C63=1,41-INT(MOD(B63,1000000)/1000),"")</f>
        <v/>
      </c>
      <c r="F63" s="58">
        <f>IF(C63=1,41-MOD(B63,1000),"")</f>
        <v/>
      </c>
    </row>
    <row r="64">
      <c r="A64" s="58" t="n">
        <v>19</v>
      </c>
      <c r="B64" s="58">
        <f>LARGE($C$3:$AP$42,A64)</f>
        <v/>
      </c>
      <c r="C64" s="58">
        <f>IF(B64&gt;=1000000,1,0)</f>
        <v/>
      </c>
      <c r="D64" s="58">
        <f>IF(C64=1,INT(B64/1000000),"")</f>
        <v/>
      </c>
      <c r="E64" s="58">
        <f>IF(C64=1,41-INT(MOD(B64,1000000)/1000),"")</f>
        <v/>
      </c>
      <c r="F64" s="58">
        <f>IF(C64=1,41-MOD(B64,1000),"")</f>
        <v/>
      </c>
    </row>
    <row r="65">
      <c r="A65" s="58" t="n">
        <v>20</v>
      </c>
      <c r="B65" s="58">
        <f>LARGE($C$3:$AP$42,A65)</f>
        <v/>
      </c>
      <c r="C65" s="58">
        <f>IF(B65&gt;=1000000,1,0)</f>
        <v/>
      </c>
      <c r="D65" s="58">
        <f>IF(C65=1,INT(B65/1000000),"")</f>
        <v/>
      </c>
      <c r="E65" s="58">
        <f>IF(C65=1,41-INT(MOD(B65,1000000)/1000),"")</f>
        <v/>
      </c>
      <c r="F65" s="58">
        <f>IF(C65=1,41-MOD(B65,1000),"")</f>
        <v/>
      </c>
    </row>
    <row r="69">
      <c r="A69" s="60" t="inlineStr">
        <is>
          <t>i</t>
        </is>
      </c>
      <c r="B69" s="60" t="inlineStr">
        <is>
          <t>papel</t>
        </is>
      </c>
      <c r="C69" s="60" t="inlineStr">
        <is>
          <t>etiqueta</t>
        </is>
      </c>
      <c r="D69" s="60" t="inlineStr">
        <is>
          <t>① efectos</t>
        </is>
      </c>
      <c r="E69" s="60" t="inlineStr">
        <is>
          <t>③ directas</t>
        </is>
      </c>
      <c r="F69" s="60" t="inlineStr">
        <is>
          <t>④ raíz</t>
        </is>
      </c>
      <c r="G69" s="60" t="inlineStr">
        <is>
          <t>⑤ fuera</t>
        </is>
      </c>
    </row>
    <row r="70">
      <c r="A70" s="58" t="n">
        <v>1</v>
      </c>
      <c r="B70" s="58">
        <f>IF(AND(matrizOK,$A70&lt;=nVariables),'M6'!I10,"")</f>
        <v/>
      </c>
      <c r="C70" s="58">
        <f>M!AT10</f>
        <v/>
      </c>
      <c r="D70" s="58">
        <f>""&amp;IF($B70="Resultado",IF(""="","","; ")&amp;$C70,"")</f>
        <v/>
      </c>
      <c r="E70" s="58">
        <f>""&amp;IF($B70="Enlace",IF(""="","","; ")&amp;$C70,"")</f>
        <v/>
      </c>
      <c r="F70" s="58">
        <f>""&amp;IF($B70="Motriz",IF(""="","","; ")&amp;$C70,"")</f>
        <v/>
      </c>
      <c r="G70" s="58">
        <f>""&amp;IF($B70="Autónoma",IF(""="","","; ")&amp;$C70,"")</f>
        <v/>
      </c>
    </row>
    <row r="71">
      <c r="A71" s="58" t="n">
        <v>2</v>
      </c>
      <c r="B71" s="58">
        <f>IF(AND(matrizOK,$A71&lt;=nVariables),'M6'!I11,"")</f>
        <v/>
      </c>
      <c r="C71" s="58">
        <f>M!AT11</f>
        <v/>
      </c>
      <c r="D71" s="58">
        <f>D70&amp;IF($B71="Resultado",IF(D70="","","; ")&amp;$C71,"")</f>
        <v/>
      </c>
      <c r="E71" s="58">
        <f>E70&amp;IF($B71="Enlace",IF(E70="","","; ")&amp;$C71,"")</f>
        <v/>
      </c>
      <c r="F71" s="58">
        <f>F70&amp;IF($B71="Motriz",IF(F70="","","; ")&amp;$C71,"")</f>
        <v/>
      </c>
      <c r="G71" s="58">
        <f>G70&amp;IF($B71="Autónoma",IF(G70="","","; ")&amp;$C71,"")</f>
        <v/>
      </c>
    </row>
    <row r="72">
      <c r="A72" s="58" t="n">
        <v>3</v>
      </c>
      <c r="B72" s="58">
        <f>IF(AND(matrizOK,$A72&lt;=nVariables),'M6'!I12,"")</f>
        <v/>
      </c>
      <c r="C72" s="58">
        <f>M!AT12</f>
        <v/>
      </c>
      <c r="D72" s="58">
        <f>D71&amp;IF($B72="Resultado",IF(D71="","","; ")&amp;$C72,"")</f>
        <v/>
      </c>
      <c r="E72" s="58">
        <f>E71&amp;IF($B72="Enlace",IF(E71="","","; ")&amp;$C72,"")</f>
        <v/>
      </c>
      <c r="F72" s="58">
        <f>F71&amp;IF($B72="Motriz",IF(F71="","","; ")&amp;$C72,"")</f>
        <v/>
      </c>
      <c r="G72" s="58">
        <f>G71&amp;IF($B72="Autónoma",IF(G71="","","; ")&amp;$C72,"")</f>
        <v/>
      </c>
    </row>
    <row r="73">
      <c r="A73" s="58" t="n">
        <v>4</v>
      </c>
      <c r="B73" s="58">
        <f>IF(AND(matrizOK,$A73&lt;=nVariables),'M6'!I13,"")</f>
        <v/>
      </c>
      <c r="C73" s="58">
        <f>M!AT13</f>
        <v/>
      </c>
      <c r="D73" s="58">
        <f>D72&amp;IF($B73="Resultado",IF(D72="","","; ")&amp;$C73,"")</f>
        <v/>
      </c>
      <c r="E73" s="58">
        <f>E72&amp;IF($B73="Enlace",IF(E72="","","; ")&amp;$C73,"")</f>
        <v/>
      </c>
      <c r="F73" s="58">
        <f>F72&amp;IF($B73="Motriz",IF(F72="","","; ")&amp;$C73,"")</f>
        <v/>
      </c>
      <c r="G73" s="58">
        <f>G72&amp;IF($B73="Autónoma",IF(G72="","","; ")&amp;$C73,"")</f>
        <v/>
      </c>
    </row>
    <row r="74">
      <c r="A74" s="58" t="n">
        <v>5</v>
      </c>
      <c r="B74" s="58">
        <f>IF(AND(matrizOK,$A74&lt;=nVariables),'M6'!I14,"")</f>
        <v/>
      </c>
      <c r="C74" s="58">
        <f>M!AT14</f>
        <v/>
      </c>
      <c r="D74" s="58">
        <f>D73&amp;IF($B74="Resultado",IF(D73="","","; ")&amp;$C74,"")</f>
        <v/>
      </c>
      <c r="E74" s="58">
        <f>E73&amp;IF($B74="Enlace",IF(E73="","","; ")&amp;$C74,"")</f>
        <v/>
      </c>
      <c r="F74" s="58">
        <f>F73&amp;IF($B74="Motriz",IF(F73="","","; ")&amp;$C74,"")</f>
        <v/>
      </c>
      <c r="G74" s="58">
        <f>G73&amp;IF($B74="Autónoma",IF(G73="","","; ")&amp;$C74,"")</f>
        <v/>
      </c>
    </row>
    <row r="75">
      <c r="A75" s="58" t="n">
        <v>6</v>
      </c>
      <c r="B75" s="58">
        <f>IF(AND(matrizOK,$A75&lt;=nVariables),'M6'!I15,"")</f>
        <v/>
      </c>
      <c r="C75" s="58">
        <f>M!AT15</f>
        <v/>
      </c>
      <c r="D75" s="58">
        <f>D74&amp;IF($B75="Resultado",IF(D74="","","; ")&amp;$C75,"")</f>
        <v/>
      </c>
      <c r="E75" s="58">
        <f>E74&amp;IF($B75="Enlace",IF(E74="","","; ")&amp;$C75,"")</f>
        <v/>
      </c>
      <c r="F75" s="58">
        <f>F74&amp;IF($B75="Motriz",IF(F74="","","; ")&amp;$C75,"")</f>
        <v/>
      </c>
      <c r="G75" s="58">
        <f>G74&amp;IF($B75="Autónoma",IF(G74="","","; ")&amp;$C75,"")</f>
        <v/>
      </c>
    </row>
    <row r="76">
      <c r="A76" s="58" t="n">
        <v>7</v>
      </c>
      <c r="B76" s="58">
        <f>IF(AND(matrizOK,$A76&lt;=nVariables),'M6'!I16,"")</f>
        <v/>
      </c>
      <c r="C76" s="58">
        <f>M!AT16</f>
        <v/>
      </c>
      <c r="D76" s="58">
        <f>D75&amp;IF($B76="Resultado",IF(D75="","","; ")&amp;$C76,"")</f>
        <v/>
      </c>
      <c r="E76" s="58">
        <f>E75&amp;IF($B76="Enlace",IF(E75="","","; ")&amp;$C76,"")</f>
        <v/>
      </c>
      <c r="F76" s="58">
        <f>F75&amp;IF($B76="Motriz",IF(F75="","","; ")&amp;$C76,"")</f>
        <v/>
      </c>
      <c r="G76" s="58">
        <f>G75&amp;IF($B76="Autónoma",IF(G75="","","; ")&amp;$C76,"")</f>
        <v/>
      </c>
    </row>
    <row r="77">
      <c r="A77" s="58" t="n">
        <v>8</v>
      </c>
      <c r="B77" s="58">
        <f>IF(AND(matrizOK,$A77&lt;=nVariables),'M6'!I17,"")</f>
        <v/>
      </c>
      <c r="C77" s="58">
        <f>M!AT17</f>
        <v/>
      </c>
      <c r="D77" s="58">
        <f>D76&amp;IF($B77="Resultado",IF(D76="","","; ")&amp;$C77,"")</f>
        <v/>
      </c>
      <c r="E77" s="58">
        <f>E76&amp;IF($B77="Enlace",IF(E76="","","; ")&amp;$C77,"")</f>
        <v/>
      </c>
      <c r="F77" s="58">
        <f>F76&amp;IF($B77="Motriz",IF(F76="","","; ")&amp;$C77,"")</f>
        <v/>
      </c>
      <c r="G77" s="58">
        <f>G76&amp;IF($B77="Autónoma",IF(G76="","","; ")&amp;$C77,"")</f>
        <v/>
      </c>
    </row>
    <row r="78">
      <c r="A78" s="58" t="n">
        <v>9</v>
      </c>
      <c r="B78" s="58">
        <f>IF(AND(matrizOK,$A78&lt;=nVariables),'M6'!I18,"")</f>
        <v/>
      </c>
      <c r="C78" s="58">
        <f>M!AT18</f>
        <v/>
      </c>
      <c r="D78" s="58">
        <f>D77&amp;IF($B78="Resultado",IF(D77="","","; ")&amp;$C78,"")</f>
        <v/>
      </c>
      <c r="E78" s="58">
        <f>E77&amp;IF($B78="Enlace",IF(E77="","","; ")&amp;$C78,"")</f>
        <v/>
      </c>
      <c r="F78" s="58">
        <f>F77&amp;IF($B78="Motriz",IF(F77="","","; ")&amp;$C78,"")</f>
        <v/>
      </c>
      <c r="G78" s="58">
        <f>G77&amp;IF($B78="Autónoma",IF(G77="","","; ")&amp;$C78,"")</f>
        <v/>
      </c>
    </row>
    <row r="79">
      <c r="A79" s="58" t="n">
        <v>10</v>
      </c>
      <c r="B79" s="58">
        <f>IF(AND(matrizOK,$A79&lt;=nVariables),'M6'!I19,"")</f>
        <v/>
      </c>
      <c r="C79" s="58">
        <f>M!AT19</f>
        <v/>
      </c>
      <c r="D79" s="58">
        <f>D78&amp;IF($B79="Resultado",IF(D78="","","; ")&amp;$C79,"")</f>
        <v/>
      </c>
      <c r="E79" s="58">
        <f>E78&amp;IF($B79="Enlace",IF(E78="","","; ")&amp;$C79,"")</f>
        <v/>
      </c>
      <c r="F79" s="58">
        <f>F78&amp;IF($B79="Motriz",IF(F78="","","; ")&amp;$C79,"")</f>
        <v/>
      </c>
      <c r="G79" s="58">
        <f>G78&amp;IF($B79="Autónoma",IF(G78="","","; ")&amp;$C79,"")</f>
        <v/>
      </c>
    </row>
    <row r="80">
      <c r="A80" s="58" t="n">
        <v>11</v>
      </c>
      <c r="B80" s="58">
        <f>IF(AND(matrizOK,$A80&lt;=nVariables),'M6'!I20,"")</f>
        <v/>
      </c>
      <c r="C80" s="58">
        <f>M!AT20</f>
        <v/>
      </c>
      <c r="D80" s="58">
        <f>D79&amp;IF($B80="Resultado",IF(D79="","","; ")&amp;$C80,"")</f>
        <v/>
      </c>
      <c r="E80" s="58">
        <f>E79&amp;IF($B80="Enlace",IF(E79="","","; ")&amp;$C80,"")</f>
        <v/>
      </c>
      <c r="F80" s="58">
        <f>F79&amp;IF($B80="Motriz",IF(F79="","","; ")&amp;$C80,"")</f>
        <v/>
      </c>
      <c r="G80" s="58">
        <f>G79&amp;IF($B80="Autónoma",IF(G79="","","; ")&amp;$C80,"")</f>
        <v/>
      </c>
    </row>
    <row r="81">
      <c r="A81" s="58" t="n">
        <v>12</v>
      </c>
      <c r="B81" s="58">
        <f>IF(AND(matrizOK,$A81&lt;=nVariables),'M6'!I21,"")</f>
        <v/>
      </c>
      <c r="C81" s="58">
        <f>M!AT21</f>
        <v/>
      </c>
      <c r="D81" s="58">
        <f>D80&amp;IF($B81="Resultado",IF(D80="","","; ")&amp;$C81,"")</f>
        <v/>
      </c>
      <c r="E81" s="58">
        <f>E80&amp;IF($B81="Enlace",IF(E80="","","; ")&amp;$C81,"")</f>
        <v/>
      </c>
      <c r="F81" s="58">
        <f>F80&amp;IF($B81="Motriz",IF(F80="","","; ")&amp;$C81,"")</f>
        <v/>
      </c>
      <c r="G81" s="58">
        <f>G80&amp;IF($B81="Autónoma",IF(G80="","","; ")&amp;$C81,"")</f>
        <v/>
      </c>
    </row>
    <row r="82">
      <c r="A82" s="58" t="n">
        <v>13</v>
      </c>
      <c r="B82" s="58">
        <f>IF(AND(matrizOK,$A82&lt;=nVariables),'M6'!I22,"")</f>
        <v/>
      </c>
      <c r="C82" s="58">
        <f>M!AT22</f>
        <v/>
      </c>
      <c r="D82" s="58">
        <f>D81&amp;IF($B82="Resultado",IF(D81="","","; ")&amp;$C82,"")</f>
        <v/>
      </c>
      <c r="E82" s="58">
        <f>E81&amp;IF($B82="Enlace",IF(E81="","","; ")&amp;$C82,"")</f>
        <v/>
      </c>
      <c r="F82" s="58">
        <f>F81&amp;IF($B82="Motriz",IF(F81="","","; ")&amp;$C82,"")</f>
        <v/>
      </c>
      <c r="G82" s="58">
        <f>G81&amp;IF($B82="Autónoma",IF(G81="","","; ")&amp;$C82,"")</f>
        <v/>
      </c>
    </row>
    <row r="83">
      <c r="A83" s="58" t="n">
        <v>14</v>
      </c>
      <c r="B83" s="58">
        <f>IF(AND(matrizOK,$A83&lt;=nVariables),'M6'!I23,"")</f>
        <v/>
      </c>
      <c r="C83" s="58">
        <f>M!AT23</f>
        <v/>
      </c>
      <c r="D83" s="58">
        <f>D82&amp;IF($B83="Resultado",IF(D82="","","; ")&amp;$C83,"")</f>
        <v/>
      </c>
      <c r="E83" s="58">
        <f>E82&amp;IF($B83="Enlace",IF(E82="","","; ")&amp;$C83,"")</f>
        <v/>
      </c>
      <c r="F83" s="58">
        <f>F82&amp;IF($B83="Motriz",IF(F82="","","; ")&amp;$C83,"")</f>
        <v/>
      </c>
      <c r="G83" s="58">
        <f>G82&amp;IF($B83="Autónoma",IF(G82="","","; ")&amp;$C83,"")</f>
        <v/>
      </c>
    </row>
    <row r="84">
      <c r="A84" s="58" t="n">
        <v>15</v>
      </c>
      <c r="B84" s="58">
        <f>IF(AND(matrizOK,$A84&lt;=nVariables),'M6'!I24,"")</f>
        <v/>
      </c>
      <c r="C84" s="58">
        <f>M!AT24</f>
        <v/>
      </c>
      <c r="D84" s="58">
        <f>D83&amp;IF($B84="Resultado",IF(D83="","","; ")&amp;$C84,"")</f>
        <v/>
      </c>
      <c r="E84" s="58">
        <f>E83&amp;IF($B84="Enlace",IF(E83="","","; ")&amp;$C84,"")</f>
        <v/>
      </c>
      <c r="F84" s="58">
        <f>F83&amp;IF($B84="Motriz",IF(F83="","","; ")&amp;$C84,"")</f>
        <v/>
      </c>
      <c r="G84" s="58">
        <f>G83&amp;IF($B84="Autónoma",IF(G83="","","; ")&amp;$C84,"")</f>
        <v/>
      </c>
    </row>
    <row r="85">
      <c r="A85" s="58" t="n">
        <v>16</v>
      </c>
      <c r="B85" s="58">
        <f>IF(AND(matrizOK,$A85&lt;=nVariables),'M6'!I25,"")</f>
        <v/>
      </c>
      <c r="C85" s="58">
        <f>M!AT25</f>
        <v/>
      </c>
      <c r="D85" s="58">
        <f>D84&amp;IF($B85="Resultado",IF(D84="","","; ")&amp;$C85,"")</f>
        <v/>
      </c>
      <c r="E85" s="58">
        <f>E84&amp;IF($B85="Enlace",IF(E84="","","; ")&amp;$C85,"")</f>
        <v/>
      </c>
      <c r="F85" s="58">
        <f>F84&amp;IF($B85="Motriz",IF(F84="","","; ")&amp;$C85,"")</f>
        <v/>
      </c>
      <c r="G85" s="58">
        <f>G84&amp;IF($B85="Autónoma",IF(G84="","","; ")&amp;$C85,"")</f>
        <v/>
      </c>
    </row>
    <row r="86">
      <c r="A86" s="58" t="n">
        <v>17</v>
      </c>
      <c r="B86" s="58">
        <f>IF(AND(matrizOK,$A86&lt;=nVariables),'M6'!I26,"")</f>
        <v/>
      </c>
      <c r="C86" s="58">
        <f>M!AT26</f>
        <v/>
      </c>
      <c r="D86" s="58">
        <f>D85&amp;IF($B86="Resultado",IF(D85="","","; ")&amp;$C86,"")</f>
        <v/>
      </c>
      <c r="E86" s="58">
        <f>E85&amp;IF($B86="Enlace",IF(E85="","","; ")&amp;$C86,"")</f>
        <v/>
      </c>
      <c r="F86" s="58">
        <f>F85&amp;IF($B86="Motriz",IF(F85="","","; ")&amp;$C86,"")</f>
        <v/>
      </c>
      <c r="G86" s="58">
        <f>G85&amp;IF($B86="Autónoma",IF(G85="","","; ")&amp;$C86,"")</f>
        <v/>
      </c>
    </row>
    <row r="87">
      <c r="A87" s="58" t="n">
        <v>18</v>
      </c>
      <c r="B87" s="58">
        <f>IF(AND(matrizOK,$A87&lt;=nVariables),'M6'!I27,"")</f>
        <v/>
      </c>
      <c r="C87" s="58">
        <f>M!AT27</f>
        <v/>
      </c>
      <c r="D87" s="58">
        <f>D86&amp;IF($B87="Resultado",IF(D86="","","; ")&amp;$C87,"")</f>
        <v/>
      </c>
      <c r="E87" s="58">
        <f>E86&amp;IF($B87="Enlace",IF(E86="","","; ")&amp;$C87,"")</f>
        <v/>
      </c>
      <c r="F87" s="58">
        <f>F86&amp;IF($B87="Motriz",IF(F86="","","; ")&amp;$C87,"")</f>
        <v/>
      </c>
      <c r="G87" s="58">
        <f>G86&amp;IF($B87="Autónoma",IF(G86="","","; ")&amp;$C87,"")</f>
        <v/>
      </c>
    </row>
    <row r="88">
      <c r="A88" s="58" t="n">
        <v>19</v>
      </c>
      <c r="B88" s="58">
        <f>IF(AND(matrizOK,$A88&lt;=nVariables),'M6'!I28,"")</f>
        <v/>
      </c>
      <c r="C88" s="58">
        <f>M!AT28</f>
        <v/>
      </c>
      <c r="D88" s="58">
        <f>D87&amp;IF($B88="Resultado",IF(D87="","","; ")&amp;$C88,"")</f>
        <v/>
      </c>
      <c r="E88" s="58">
        <f>E87&amp;IF($B88="Enlace",IF(E87="","","; ")&amp;$C88,"")</f>
        <v/>
      </c>
      <c r="F88" s="58">
        <f>F87&amp;IF($B88="Motriz",IF(F87="","","; ")&amp;$C88,"")</f>
        <v/>
      </c>
      <c r="G88" s="58">
        <f>G87&amp;IF($B88="Autónoma",IF(G87="","","; ")&amp;$C88,"")</f>
        <v/>
      </c>
    </row>
    <row r="89">
      <c r="A89" s="58" t="n">
        <v>20</v>
      </c>
      <c r="B89" s="58">
        <f>IF(AND(matrizOK,$A89&lt;=nVariables),'M6'!I29,"")</f>
        <v/>
      </c>
      <c r="C89" s="58">
        <f>M!AT29</f>
        <v/>
      </c>
      <c r="D89" s="58">
        <f>D88&amp;IF($B89="Resultado",IF(D88="","","; ")&amp;$C89,"")</f>
        <v/>
      </c>
      <c r="E89" s="58">
        <f>E88&amp;IF($B89="Enlace",IF(E88="","","; ")&amp;$C89,"")</f>
        <v/>
      </c>
      <c r="F89" s="58">
        <f>F88&amp;IF($B89="Motriz",IF(F88="","","; ")&amp;$C89,"")</f>
        <v/>
      </c>
      <c r="G89" s="58">
        <f>G88&amp;IF($B89="Autónoma",IF(G88="","","; ")&amp;$C89,"")</f>
        <v/>
      </c>
    </row>
    <row r="90">
      <c r="A90" s="58" t="n">
        <v>21</v>
      </c>
      <c r="B90" s="58">
        <f>IF(AND(matrizOK,$A90&lt;=nVariables),'M6'!I30,"")</f>
        <v/>
      </c>
      <c r="C90" s="58">
        <f>M!AT30</f>
        <v/>
      </c>
      <c r="D90" s="58">
        <f>D89&amp;IF($B90="Resultado",IF(D89="","","; ")&amp;$C90,"")</f>
        <v/>
      </c>
      <c r="E90" s="58">
        <f>E89&amp;IF($B90="Enlace",IF(E89="","","; ")&amp;$C90,"")</f>
        <v/>
      </c>
      <c r="F90" s="58">
        <f>F89&amp;IF($B90="Motriz",IF(F89="","","; ")&amp;$C90,"")</f>
        <v/>
      </c>
      <c r="G90" s="58">
        <f>G89&amp;IF($B90="Autónoma",IF(G89="","","; ")&amp;$C90,"")</f>
        <v/>
      </c>
    </row>
    <row r="91">
      <c r="A91" s="58" t="n">
        <v>22</v>
      </c>
      <c r="B91" s="58">
        <f>IF(AND(matrizOK,$A91&lt;=nVariables),'M6'!I31,"")</f>
        <v/>
      </c>
      <c r="C91" s="58">
        <f>M!AT31</f>
        <v/>
      </c>
      <c r="D91" s="58">
        <f>D90&amp;IF($B91="Resultado",IF(D90="","","; ")&amp;$C91,"")</f>
        <v/>
      </c>
      <c r="E91" s="58">
        <f>E90&amp;IF($B91="Enlace",IF(E90="","","; ")&amp;$C91,"")</f>
        <v/>
      </c>
      <c r="F91" s="58">
        <f>F90&amp;IF($B91="Motriz",IF(F90="","","; ")&amp;$C91,"")</f>
        <v/>
      </c>
      <c r="G91" s="58">
        <f>G90&amp;IF($B91="Autónoma",IF(G90="","","; ")&amp;$C91,"")</f>
        <v/>
      </c>
    </row>
    <row r="92">
      <c r="A92" s="58" t="n">
        <v>23</v>
      </c>
      <c r="B92" s="58">
        <f>IF(AND(matrizOK,$A92&lt;=nVariables),'M6'!I32,"")</f>
        <v/>
      </c>
      <c r="C92" s="58">
        <f>M!AT32</f>
        <v/>
      </c>
      <c r="D92" s="58">
        <f>D91&amp;IF($B92="Resultado",IF(D91="","","; ")&amp;$C92,"")</f>
        <v/>
      </c>
      <c r="E92" s="58">
        <f>E91&amp;IF($B92="Enlace",IF(E91="","","; ")&amp;$C92,"")</f>
        <v/>
      </c>
      <c r="F92" s="58">
        <f>F91&amp;IF($B92="Motriz",IF(F91="","","; ")&amp;$C92,"")</f>
        <v/>
      </c>
      <c r="G92" s="58">
        <f>G91&amp;IF($B92="Autónoma",IF(G91="","","; ")&amp;$C92,"")</f>
        <v/>
      </c>
    </row>
    <row r="93">
      <c r="A93" s="58" t="n">
        <v>24</v>
      </c>
      <c r="B93" s="58">
        <f>IF(AND(matrizOK,$A93&lt;=nVariables),'M6'!I33,"")</f>
        <v/>
      </c>
      <c r="C93" s="58">
        <f>M!AT33</f>
        <v/>
      </c>
      <c r="D93" s="58">
        <f>D92&amp;IF($B93="Resultado",IF(D92="","","; ")&amp;$C93,"")</f>
        <v/>
      </c>
      <c r="E93" s="58">
        <f>E92&amp;IF($B93="Enlace",IF(E92="","","; ")&amp;$C93,"")</f>
        <v/>
      </c>
      <c r="F93" s="58">
        <f>F92&amp;IF($B93="Motriz",IF(F92="","","; ")&amp;$C93,"")</f>
        <v/>
      </c>
      <c r="G93" s="58">
        <f>G92&amp;IF($B93="Autónoma",IF(G92="","","; ")&amp;$C93,"")</f>
        <v/>
      </c>
    </row>
    <row r="94">
      <c r="A94" s="58" t="n">
        <v>25</v>
      </c>
      <c r="B94" s="58">
        <f>IF(AND(matrizOK,$A94&lt;=nVariables),'M6'!I34,"")</f>
        <v/>
      </c>
      <c r="C94" s="58">
        <f>M!AT34</f>
        <v/>
      </c>
      <c r="D94" s="58">
        <f>D93&amp;IF($B94="Resultado",IF(D93="","","; ")&amp;$C94,"")</f>
        <v/>
      </c>
      <c r="E94" s="58">
        <f>E93&amp;IF($B94="Enlace",IF(E93="","","; ")&amp;$C94,"")</f>
        <v/>
      </c>
      <c r="F94" s="58">
        <f>F93&amp;IF($B94="Motriz",IF(F93="","","; ")&amp;$C94,"")</f>
        <v/>
      </c>
      <c r="G94" s="58">
        <f>G93&amp;IF($B94="Autónoma",IF(G93="","","; ")&amp;$C94,"")</f>
        <v/>
      </c>
    </row>
    <row r="95">
      <c r="A95" s="58" t="n">
        <v>26</v>
      </c>
      <c r="B95" s="58">
        <f>IF(AND(matrizOK,$A95&lt;=nVariables),'M6'!I35,"")</f>
        <v/>
      </c>
      <c r="C95" s="58">
        <f>M!AT35</f>
        <v/>
      </c>
      <c r="D95" s="58">
        <f>D94&amp;IF($B95="Resultado",IF(D94="","","; ")&amp;$C95,"")</f>
        <v/>
      </c>
      <c r="E95" s="58">
        <f>E94&amp;IF($B95="Enlace",IF(E94="","","; ")&amp;$C95,"")</f>
        <v/>
      </c>
      <c r="F95" s="58">
        <f>F94&amp;IF($B95="Motriz",IF(F94="","","; ")&amp;$C95,"")</f>
        <v/>
      </c>
      <c r="G95" s="58">
        <f>G94&amp;IF($B95="Autónoma",IF(G94="","","; ")&amp;$C95,"")</f>
        <v/>
      </c>
    </row>
    <row r="96">
      <c r="A96" s="58" t="n">
        <v>27</v>
      </c>
      <c r="B96" s="58">
        <f>IF(AND(matrizOK,$A96&lt;=nVariables),'M6'!I36,"")</f>
        <v/>
      </c>
      <c r="C96" s="58">
        <f>M!AT36</f>
        <v/>
      </c>
      <c r="D96" s="58">
        <f>D95&amp;IF($B96="Resultado",IF(D95="","","; ")&amp;$C96,"")</f>
        <v/>
      </c>
      <c r="E96" s="58">
        <f>E95&amp;IF($B96="Enlace",IF(E95="","","; ")&amp;$C96,"")</f>
        <v/>
      </c>
      <c r="F96" s="58">
        <f>F95&amp;IF($B96="Motriz",IF(F95="","","; ")&amp;$C96,"")</f>
        <v/>
      </c>
      <c r="G96" s="58">
        <f>G95&amp;IF($B96="Autónoma",IF(G95="","","; ")&amp;$C96,"")</f>
        <v/>
      </c>
    </row>
    <row r="97">
      <c r="A97" s="58" t="n">
        <v>28</v>
      </c>
      <c r="B97" s="58">
        <f>IF(AND(matrizOK,$A97&lt;=nVariables),'M6'!I37,"")</f>
        <v/>
      </c>
      <c r="C97" s="58">
        <f>M!AT37</f>
        <v/>
      </c>
      <c r="D97" s="58">
        <f>D96&amp;IF($B97="Resultado",IF(D96="","","; ")&amp;$C97,"")</f>
        <v/>
      </c>
      <c r="E97" s="58">
        <f>E96&amp;IF($B97="Enlace",IF(E96="","","; ")&amp;$C97,"")</f>
        <v/>
      </c>
      <c r="F97" s="58">
        <f>F96&amp;IF($B97="Motriz",IF(F96="","","; ")&amp;$C97,"")</f>
        <v/>
      </c>
      <c r="G97" s="58">
        <f>G96&amp;IF($B97="Autónoma",IF(G96="","","; ")&amp;$C97,"")</f>
        <v/>
      </c>
    </row>
    <row r="98">
      <c r="A98" s="58" t="n">
        <v>29</v>
      </c>
      <c r="B98" s="58">
        <f>IF(AND(matrizOK,$A98&lt;=nVariables),'M6'!I38,"")</f>
        <v/>
      </c>
      <c r="C98" s="58">
        <f>M!AT38</f>
        <v/>
      </c>
      <c r="D98" s="58">
        <f>D97&amp;IF($B98="Resultado",IF(D97="","","; ")&amp;$C98,"")</f>
        <v/>
      </c>
      <c r="E98" s="58">
        <f>E97&amp;IF($B98="Enlace",IF(E97="","","; ")&amp;$C98,"")</f>
        <v/>
      </c>
      <c r="F98" s="58">
        <f>F97&amp;IF($B98="Motriz",IF(F97="","","; ")&amp;$C98,"")</f>
        <v/>
      </c>
      <c r="G98" s="58">
        <f>G97&amp;IF($B98="Autónoma",IF(G97="","","; ")&amp;$C98,"")</f>
        <v/>
      </c>
    </row>
    <row r="99">
      <c r="A99" s="58" t="n">
        <v>30</v>
      </c>
      <c r="B99" s="58">
        <f>IF(AND(matrizOK,$A99&lt;=nVariables),'M6'!I39,"")</f>
        <v/>
      </c>
      <c r="C99" s="58">
        <f>M!AT39</f>
        <v/>
      </c>
      <c r="D99" s="58">
        <f>D98&amp;IF($B99="Resultado",IF(D98="","","; ")&amp;$C99,"")</f>
        <v/>
      </c>
      <c r="E99" s="58">
        <f>E98&amp;IF($B99="Enlace",IF(E98="","","; ")&amp;$C99,"")</f>
        <v/>
      </c>
      <c r="F99" s="58">
        <f>F98&amp;IF($B99="Motriz",IF(F98="","","; ")&amp;$C99,"")</f>
        <v/>
      </c>
      <c r="G99" s="58">
        <f>G98&amp;IF($B99="Autónoma",IF(G98="","","; ")&amp;$C99,"")</f>
        <v/>
      </c>
    </row>
    <row r="100">
      <c r="A100" s="58" t="n">
        <v>31</v>
      </c>
      <c r="B100" s="58">
        <f>IF(AND(matrizOK,$A100&lt;=nVariables),'M6'!I40,"")</f>
        <v/>
      </c>
      <c r="C100" s="58">
        <f>M!AT40</f>
        <v/>
      </c>
      <c r="D100" s="58">
        <f>D99&amp;IF($B100="Resultado",IF(D99="","","; ")&amp;$C100,"")</f>
        <v/>
      </c>
      <c r="E100" s="58">
        <f>E99&amp;IF($B100="Enlace",IF(E99="","","; ")&amp;$C100,"")</f>
        <v/>
      </c>
      <c r="F100" s="58">
        <f>F99&amp;IF($B100="Motriz",IF(F99="","","; ")&amp;$C100,"")</f>
        <v/>
      </c>
      <c r="G100" s="58">
        <f>G99&amp;IF($B100="Autónoma",IF(G99="","","; ")&amp;$C100,"")</f>
        <v/>
      </c>
    </row>
    <row r="101">
      <c r="A101" s="58" t="n">
        <v>32</v>
      </c>
      <c r="B101" s="58">
        <f>IF(AND(matrizOK,$A101&lt;=nVariables),'M6'!I41,"")</f>
        <v/>
      </c>
      <c r="C101" s="58">
        <f>M!AT41</f>
        <v/>
      </c>
      <c r="D101" s="58">
        <f>D100&amp;IF($B101="Resultado",IF(D100="","","; ")&amp;$C101,"")</f>
        <v/>
      </c>
      <c r="E101" s="58">
        <f>E100&amp;IF($B101="Enlace",IF(E100="","","; ")&amp;$C101,"")</f>
        <v/>
      </c>
      <c r="F101" s="58">
        <f>F100&amp;IF($B101="Motriz",IF(F100="","","; ")&amp;$C101,"")</f>
        <v/>
      </c>
      <c r="G101" s="58">
        <f>G100&amp;IF($B101="Autónoma",IF(G100="","","; ")&amp;$C101,"")</f>
        <v/>
      </c>
    </row>
    <row r="102">
      <c r="A102" s="58" t="n">
        <v>33</v>
      </c>
      <c r="B102" s="58">
        <f>IF(AND(matrizOK,$A102&lt;=nVariables),'M6'!I42,"")</f>
        <v/>
      </c>
      <c r="C102" s="58">
        <f>M!AT42</f>
        <v/>
      </c>
      <c r="D102" s="58">
        <f>D101&amp;IF($B102="Resultado",IF(D101="","","; ")&amp;$C102,"")</f>
        <v/>
      </c>
      <c r="E102" s="58">
        <f>E101&amp;IF($B102="Enlace",IF(E101="","","; ")&amp;$C102,"")</f>
        <v/>
      </c>
      <c r="F102" s="58">
        <f>F101&amp;IF($B102="Motriz",IF(F101="","","; ")&amp;$C102,"")</f>
        <v/>
      </c>
      <c r="G102" s="58">
        <f>G101&amp;IF($B102="Autónoma",IF(G101="","","; ")&amp;$C102,"")</f>
        <v/>
      </c>
    </row>
    <row r="103">
      <c r="A103" s="58" t="n">
        <v>34</v>
      </c>
      <c r="B103" s="58">
        <f>IF(AND(matrizOK,$A103&lt;=nVariables),'M6'!I43,"")</f>
        <v/>
      </c>
      <c r="C103" s="58">
        <f>M!AT43</f>
        <v/>
      </c>
      <c r="D103" s="58">
        <f>D102&amp;IF($B103="Resultado",IF(D102="","","; ")&amp;$C103,"")</f>
        <v/>
      </c>
      <c r="E103" s="58">
        <f>E102&amp;IF($B103="Enlace",IF(E102="","","; ")&amp;$C103,"")</f>
        <v/>
      </c>
      <c r="F103" s="58">
        <f>F102&amp;IF($B103="Motriz",IF(F102="","","; ")&amp;$C103,"")</f>
        <v/>
      </c>
      <c r="G103" s="58">
        <f>G102&amp;IF($B103="Autónoma",IF(G102="","","; ")&amp;$C103,"")</f>
        <v/>
      </c>
    </row>
    <row r="104">
      <c r="A104" s="58" t="n">
        <v>35</v>
      </c>
      <c r="B104" s="58">
        <f>IF(AND(matrizOK,$A104&lt;=nVariables),'M6'!I44,"")</f>
        <v/>
      </c>
      <c r="C104" s="58">
        <f>M!AT44</f>
        <v/>
      </c>
      <c r="D104" s="58">
        <f>D103&amp;IF($B104="Resultado",IF(D103="","","; ")&amp;$C104,"")</f>
        <v/>
      </c>
      <c r="E104" s="58">
        <f>E103&amp;IF($B104="Enlace",IF(E103="","","; ")&amp;$C104,"")</f>
        <v/>
      </c>
      <c r="F104" s="58">
        <f>F103&amp;IF($B104="Motriz",IF(F103="","","; ")&amp;$C104,"")</f>
        <v/>
      </c>
      <c r="G104" s="58">
        <f>G103&amp;IF($B104="Autónoma",IF(G103="","","; ")&amp;$C104,"")</f>
        <v/>
      </c>
    </row>
    <row r="105">
      <c r="A105" s="58" t="n">
        <v>36</v>
      </c>
      <c r="B105" s="58">
        <f>IF(AND(matrizOK,$A105&lt;=nVariables),'M6'!I45,"")</f>
        <v/>
      </c>
      <c r="C105" s="58">
        <f>M!AT45</f>
        <v/>
      </c>
      <c r="D105" s="58">
        <f>D104&amp;IF($B105="Resultado",IF(D104="","","; ")&amp;$C105,"")</f>
        <v/>
      </c>
      <c r="E105" s="58">
        <f>E104&amp;IF($B105="Enlace",IF(E104="","","; ")&amp;$C105,"")</f>
        <v/>
      </c>
      <c r="F105" s="58">
        <f>F104&amp;IF($B105="Motriz",IF(F104="","","; ")&amp;$C105,"")</f>
        <v/>
      </c>
      <c r="G105" s="58">
        <f>G104&amp;IF($B105="Autónoma",IF(G104="","","; ")&amp;$C105,"")</f>
        <v/>
      </c>
    </row>
    <row r="106">
      <c r="A106" s="58" t="n">
        <v>37</v>
      </c>
      <c r="B106" s="58">
        <f>IF(AND(matrizOK,$A106&lt;=nVariables),'M6'!I46,"")</f>
        <v/>
      </c>
      <c r="C106" s="58">
        <f>M!AT46</f>
        <v/>
      </c>
      <c r="D106" s="58">
        <f>D105&amp;IF($B106="Resultado",IF(D105="","","; ")&amp;$C106,"")</f>
        <v/>
      </c>
      <c r="E106" s="58">
        <f>E105&amp;IF($B106="Enlace",IF(E105="","","; ")&amp;$C106,"")</f>
        <v/>
      </c>
      <c r="F106" s="58">
        <f>F105&amp;IF($B106="Motriz",IF(F105="","","; ")&amp;$C106,"")</f>
        <v/>
      </c>
      <c r="G106" s="58">
        <f>G105&amp;IF($B106="Autónoma",IF(G105="","","; ")&amp;$C106,"")</f>
        <v/>
      </c>
    </row>
    <row r="107">
      <c r="A107" s="58" t="n">
        <v>38</v>
      </c>
      <c r="B107" s="58">
        <f>IF(AND(matrizOK,$A107&lt;=nVariables),'M6'!I47,"")</f>
        <v/>
      </c>
      <c r="C107" s="58">
        <f>M!AT47</f>
        <v/>
      </c>
      <c r="D107" s="58">
        <f>D106&amp;IF($B107="Resultado",IF(D106="","","; ")&amp;$C107,"")</f>
        <v/>
      </c>
      <c r="E107" s="58">
        <f>E106&amp;IF($B107="Enlace",IF(E106="","","; ")&amp;$C107,"")</f>
        <v/>
      </c>
      <c r="F107" s="58">
        <f>F106&amp;IF($B107="Motriz",IF(F106="","","; ")&amp;$C107,"")</f>
        <v/>
      </c>
      <c r="G107" s="58">
        <f>G106&amp;IF($B107="Autónoma",IF(G106="","","; ")&amp;$C107,"")</f>
        <v/>
      </c>
    </row>
    <row r="108">
      <c r="A108" s="58" t="n">
        <v>39</v>
      </c>
      <c r="B108" s="58">
        <f>IF(AND(matrizOK,$A108&lt;=nVariables),'M6'!I48,"")</f>
        <v/>
      </c>
      <c r="C108" s="58">
        <f>M!AT48</f>
        <v/>
      </c>
      <c r="D108" s="58">
        <f>D107&amp;IF($B108="Resultado",IF(D107="","","; ")&amp;$C108,"")</f>
        <v/>
      </c>
      <c r="E108" s="58">
        <f>E107&amp;IF($B108="Enlace",IF(E107="","","; ")&amp;$C108,"")</f>
        <v/>
      </c>
      <c r="F108" s="58">
        <f>F107&amp;IF($B108="Motriz",IF(F107="","","; ")&amp;$C108,"")</f>
        <v/>
      </c>
      <c r="G108" s="58">
        <f>G107&amp;IF($B108="Autónoma",IF(G107="","","; ")&amp;$C108,"")</f>
        <v/>
      </c>
    </row>
    <row r="109">
      <c r="A109" s="58" t="n">
        <v>40</v>
      </c>
      <c r="B109" s="58">
        <f>IF(AND(matrizOK,$A109&lt;=nVariables),'M6'!I49,"")</f>
        <v/>
      </c>
      <c r="C109" s="58">
        <f>M!AT49</f>
        <v/>
      </c>
      <c r="D109" s="58">
        <f>D108&amp;IF($B109="Resultado",IF(D108="","","; ")&amp;$C109,"")</f>
        <v/>
      </c>
      <c r="E109" s="58">
        <f>E108&amp;IF($B109="Enlace",IF(E108="","","; ")&amp;$C109,"")</f>
        <v/>
      </c>
      <c r="F109" s="58">
        <f>F108&amp;IF($B109="Motriz",IF(F108="","","; ")&amp;$C109,"")</f>
        <v/>
      </c>
      <c r="G109" s="58">
        <f>G108&amp;IF($B109="Autónoma",IF(G108="","","; ")&amp;$C109,"")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Vester–MICMAC automatizado</dc:creator>
  <dcterms:created xmlns:dcterms="http://purl.org/dc/terms/" xmlns:xsi="http://www.w3.org/2001/XMLSchema-instance" xsi:type="dcterms:W3CDTF">2026-10-12T20:41:54Z</dcterms:created>
  <dcterms:modified xmlns:dcterms="http://purl.org/dc/terms/" xmlns:xsi="http://www.w3.org/2001/XMLSchema-instance" xsi:type="dcterms:W3CDTF">2026-10-13T16:19:30Z</dcterms:modified>
  <cp:lastModifiedBy>Andres Calderon</cp:lastModifiedBy>
</cp:coreProperties>
</file>