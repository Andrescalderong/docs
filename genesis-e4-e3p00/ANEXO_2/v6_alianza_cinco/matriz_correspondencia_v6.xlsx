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por partida" sheetId="1" state="visible" r:id="rId1"/>
    <sheet xmlns:r="http://schemas.openxmlformats.org/officeDocument/2006/relationships" name="Actividades" sheetId="2" state="visible" r:id="rId2"/>
    <sheet xmlns:r="http://schemas.openxmlformats.org/officeDocument/2006/relationships" name="Alertas" sheetId="3" state="visible" r:id="rId3"/>
    <sheet xmlns:r="http://schemas.openxmlformats.org/officeDocument/2006/relationships" name="Conciliación" sheetId="4" state="visible" r:id="rId4"/>
    <sheet xmlns:r="http://schemas.openxmlformats.org/officeDocument/2006/relationships" name="Cambios en el Anexo 2" sheetId="5" state="visible" r:id="rId5"/>
  </sheets>
  <definedNames>
    <definedName name="_xlnm._FilterDatabase" localSheetId="0" hidden="1">'Matriz por partida'!$A$1:$U$98</definedName>
    <definedName name="_xlnm._FilterDatabase" localSheetId="1" hidden="1">'Actividades'!$A$1:$L$23</definedName>
    <definedName name="_xlnm._FilterDatabase" localSheetId="2" hidden="1">'Alertas'!$A$1:$D$10</definedName>
    <definedName name="_xlnm._FilterDatabase" localSheetId="3" hidden="1">'Conciliación'!$A$1:$D$21</definedName>
    <definedName name="_xlnm._FilterDatabase" localSheetId="4" hidden="1">'Cambios en el Anexo 2'!$A$1:$D$13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  <xf numFmtId="3" fontId="0" fillId="3" borderId="1" applyAlignment="1" pivotButton="0" quotePrefix="0" xfId="0">
      <alignment vertical="top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40" customWidth="1" min="3" max="3"/>
    <col width="30" customWidth="1" min="4" max="4"/>
    <col width="45" customWidth="1" min="5" max="5"/>
    <col width="16" customWidth="1" min="6" max="6"/>
    <col width="34" customWidth="1" min="7" max="7"/>
    <col width="18" customWidth="1" min="8" max="8"/>
    <col width="9" customWidth="1" min="9" max="9"/>
    <col width="12" customWidth="1" min="10" max="10"/>
    <col width="15" customWidth="1" min="11" max="11"/>
    <col width="17" customWidth="1" min="12" max="12"/>
    <col width="26" customWidth="1" min="13" max="13"/>
    <col width="28" customWidth="1" min="14" max="14"/>
    <col width="26" customWidth="1" min="15" max="15"/>
    <col width="34" customWidth="1" min="16" max="16"/>
    <col width="12" customWidth="1" min="17" max="17"/>
    <col width="34" customWidth="1" min="18" max="18"/>
    <col width="50" customWidth="1" min="19" max="19"/>
    <col width="46" customWidth="1" min="20" max="20"/>
    <col width="60" customWidth="1" min="21" max="21"/>
  </cols>
  <sheetData>
    <row r="1">
      <c r="A1" s="1" t="inlineStr">
        <is>
          <t>Código Anexo 3</t>
        </is>
      </c>
      <c r="B1" s="1" t="inlineStr">
        <is>
          <t>Rubro (TdR 12.2)</t>
        </is>
      </c>
      <c r="C1" s="1" t="inlineStr">
        <is>
          <t>Concepto</t>
        </is>
      </c>
      <c r="D1" s="1" t="inlineStr">
        <is>
          <t>Objetivo específico</t>
        </is>
      </c>
      <c r="E1" s="1" t="inlineStr">
        <is>
          <t>Producto MGA (programa 3906)</t>
        </is>
      </c>
      <c r="F1" s="1" t="inlineStr">
        <is>
          <t>Origen del vínculo con el producto</t>
        </is>
      </c>
      <c r="G1" s="1" t="inlineStr">
        <is>
          <t>Actividad principal (cronograma financiero)</t>
        </is>
      </c>
      <c r="H1" s="1" t="inlineStr">
        <is>
          <t>Actividades declaradas en el texto del Anexo 3</t>
        </is>
      </c>
      <c r="I1" s="1" t="inlineStr">
        <is>
          <t>Cantidad</t>
        </is>
      </c>
      <c r="J1" s="1" t="inlineStr">
        <is>
          <t>Unidad</t>
        </is>
      </c>
      <c r="K1" s="1" t="inlineStr">
        <is>
          <t>Valor unitario (COP)</t>
        </is>
      </c>
      <c r="L1" s="1" t="inlineStr">
        <is>
          <t>Costo total (COP)</t>
        </is>
      </c>
      <c r="M1" s="1" t="inlineStr">
        <is>
          <t>Fuente de financiación</t>
        </is>
      </c>
      <c r="N1" s="1" t="inlineStr">
        <is>
          <t>Entidad aportante o ejecutora</t>
        </is>
      </c>
      <c r="O1" s="1" t="inlineStr">
        <is>
          <t>Responsable (perfil)</t>
        </is>
      </c>
      <c r="P1" s="1" t="inlineStr">
        <is>
          <t>Municipio</t>
        </is>
      </c>
      <c r="Q1" s="1" t="inlineStr">
        <is>
          <t>Período (mes inicial–final)</t>
        </is>
      </c>
      <c r="R1" s="1" t="inlineStr">
        <is>
          <t>Ubicación en el Anexo 2</t>
        </is>
      </c>
      <c r="S1" s="1" t="inlineStr">
        <is>
          <t>Ubicación en la MGA-Web</t>
        </is>
      </c>
      <c r="T1" s="1" t="inlineStr">
        <is>
          <t>Ubicación en el SIGP</t>
        </is>
      </c>
      <c r="U1" s="1" t="inlineStr">
        <is>
          <t>Observación</t>
        </is>
      </c>
    </row>
    <row r="2">
      <c r="A2" s="2" t="inlineStr">
        <is>
          <t>TH-01</t>
        </is>
      </c>
      <c r="B2" s="2" t="inlineStr">
        <is>
          <t>Talento Humano</t>
        </is>
      </c>
      <c r="C2" s="2" t="inlineStr">
        <is>
          <t>Jóvenes investigadores e innovadores — cohorte 1 (estudiantes de pregrado)</t>
        </is>
      </c>
      <c r="D2" s="2" t="inlineStr">
        <is>
          <t>OE1. Medición verificada</t>
        </is>
      </c>
      <c r="E2" s="2" t="inlineStr">
        <is>
          <t>P5. Servicio de apoyo financiero para el fortalecimiento de las vocaciones científicas en CTI</t>
        </is>
      </c>
      <c r="F2" s="2" t="inlineStr">
        <is>
          <t>Anexo 3</t>
        </is>
      </c>
      <c r="G2" s="2" t="inlineStr">
        <is>
          <t>1.1 Seleccionar los sitios y diseñar la colocalización</t>
        </is>
      </c>
      <c r="H2" s="2" t="inlineStr">
        <is>
          <t>1.1, 1.2, 1.3, 1.4, 1.5, 1.6</t>
        </is>
      </c>
      <c r="I2" s="2" t="n">
        <v>36</v>
      </c>
      <c r="J2" s="2" t="inlineStr">
        <is>
          <t>persona-mes</t>
        </is>
      </c>
      <c r="K2" s="3" t="n">
        <v>2000000</v>
      </c>
      <c r="L2" s="3" t="n">
        <v>72000000</v>
      </c>
      <c r="M2" s="2" t="inlineStr">
        <is>
          <t>SGR, Asignación para la CTeI</t>
        </is>
      </c>
      <c r="N2" s="2" t="inlineStr">
        <is>
          <t>Universidad Santo Tomás (ejecutora)</t>
        </is>
      </c>
      <c r="O2" s="2" t="inlineStr">
        <is>
          <t>Jóvenes investigadores e innovadores</t>
        </is>
      </c>
      <c r="P2" s="2" t="inlineStr">
        <is>
          <t>Común a Manizales y Calarcá (sin localización en el Anexo 3)</t>
        </is>
      </c>
      <c r="Q2" s="2" t="inlineStr">
        <is>
          <t>M1–M12</t>
        </is>
      </c>
      <c r="R2" s="2" t="inlineStr">
        <is>
          <t>Tabla 30.3 (líneas del SGR); Tabla 15.2 (actividad 1.1); Tabla 28.3 (rubro)</t>
        </is>
      </c>
      <c r="S2" s="2" t="inlineStr">
        <is>
          <t>Cadena de valor › OE1 › P5. Servicio de apoyo financiero para el fortalecimiento de las vocaciones científicas en CTI › Actividad 1.1 › insumo: Mano de obra calificada (clasificación propuesta)</t>
        </is>
      </c>
      <c r="T2" s="2" t="inlineStr">
        <is>
          <t>Presupuesto › rubro «Talento Humano» › fuente «SGR»; Cronograma › actividad 1.1</t>
        </is>
      </c>
      <c r="U2" s="4" t="inlineStr">
        <is>
          <t>El Anexo 3 declara cotizaciones pendientes (TdR 12.2: al menos dos por rubro, no subsanable)</t>
        </is>
      </c>
    </row>
    <row r="3">
      <c r="A3" s="2" t="inlineStr">
        <is>
          <t>TH-02</t>
        </is>
      </c>
      <c r="B3" s="2" t="inlineStr">
        <is>
          <t>Talento Humano</t>
        </is>
      </c>
      <c r="C3" s="2" t="inlineStr">
        <is>
          <t>Jóvenes investigadores e innovadores — cohorte 2 (estudiantes de pregrado)</t>
        </is>
      </c>
      <c r="D3" s="2" t="inlineStr">
        <is>
          <t>OE1. Medición verificada</t>
        </is>
      </c>
      <c r="E3" s="2" t="inlineStr">
        <is>
          <t>P5. Servicio de apoyo financiero para el fortalecimiento de las vocaciones científicas en CTI</t>
        </is>
      </c>
      <c r="F3" s="2" t="inlineStr">
        <is>
          <t>Anexo 3</t>
        </is>
      </c>
      <c r="G3" s="2" t="inlineStr">
        <is>
          <t>1.1 Seleccionar los sitios y diseñar la colocalización</t>
        </is>
      </c>
      <c r="H3" s="2" t="inlineStr">
        <is>
          <t>1.1, 1.2, 1.3, 1.4, 1.5, 1.6</t>
        </is>
      </c>
      <c r="I3" s="2" t="n">
        <v>36</v>
      </c>
      <c r="J3" s="2" t="inlineStr">
        <is>
          <t>persona-mes</t>
        </is>
      </c>
      <c r="K3" s="3" t="n">
        <v>2000000</v>
      </c>
      <c r="L3" s="3" t="n">
        <v>72000000</v>
      </c>
      <c r="M3" s="2" t="inlineStr">
        <is>
          <t>SGR, Asignación para la CTeI</t>
        </is>
      </c>
      <c r="N3" s="2" t="inlineStr">
        <is>
          <t>Universidad Santo Tomás (ejecutora)</t>
        </is>
      </c>
      <c r="O3" s="2" t="inlineStr">
        <is>
          <t>Jóvenes investigadores e innovadores</t>
        </is>
      </c>
      <c r="P3" s="2" t="inlineStr">
        <is>
          <t>Común a Manizales y Calarcá (sin localización en el Anexo 3)</t>
        </is>
      </c>
      <c r="Q3" s="2" t="inlineStr">
        <is>
          <t>M13–M24</t>
        </is>
      </c>
      <c r="R3" s="2" t="inlineStr">
        <is>
          <t>Tabla 30.3 (líneas del SGR); Tabla 15.2 (actividad 1.1); Tabla 28.3 (rubro)</t>
        </is>
      </c>
      <c r="S3" s="2" t="inlineStr">
        <is>
          <t>Cadena de valor › OE1 › P5. Servicio de apoyo financiero para el fortalecimiento de las vocaciones científicas en CTI › Actividad 1.1 › insumo: Mano de obra calificada (clasificación propuesta)</t>
        </is>
      </c>
      <c r="T3" s="2" t="inlineStr">
        <is>
          <t>Presupuesto › rubro «Talento Humano» › fuente «SGR»; Cronograma › actividad 1.1</t>
        </is>
      </c>
      <c r="U3" s="4" t="inlineStr">
        <is>
          <t>El Anexo 3 declara cotizaciones pendientes (TdR 12.2: al menos dos por rubro, no subsanable)</t>
        </is>
      </c>
    </row>
    <row r="4">
      <c r="A4" s="2" t="inlineStr">
        <is>
          <t>TH-03</t>
        </is>
      </c>
      <c r="B4" s="2" t="inlineStr">
        <is>
          <t>Talento Humano</t>
        </is>
      </c>
      <c r="C4" s="2" t="inlineStr">
        <is>
          <t>Estudiantes de maestría en modalidad de investigación (sostenimiento)</t>
        </is>
      </c>
      <c r="D4" s="2" t="inlineStr">
        <is>
          <t>OE1. Medición verificada</t>
        </is>
      </c>
      <c r="E4" s="2" t="inlineStr">
        <is>
          <t>P2. Documentos de investigación; P3. Servicio de apoyo financiero para la formación de maestría ya sea nacional o en el exterior, en la modalidad de investigación</t>
        </is>
      </c>
      <c r="F4" s="2" t="inlineStr">
        <is>
          <t>Anexo 3</t>
        </is>
      </c>
      <c r="G4" s="2" t="inlineStr">
        <is>
          <t>1.1 Seleccionar los sitios y diseñar la colocalización</t>
        </is>
      </c>
      <c r="H4" s="2" t="inlineStr">
        <is>
          <t>1.1, 1.2, 1.3, 1.4, 1.5, 1.6</t>
        </is>
      </c>
      <c r="I4" s="2" t="n">
        <v>48</v>
      </c>
      <c r="J4" s="2" t="inlineStr">
        <is>
          <t>persona-mes</t>
        </is>
      </c>
      <c r="K4" s="3" t="n">
        <v>4350000</v>
      </c>
      <c r="L4" s="3" t="n">
        <v>208800000</v>
      </c>
      <c r="M4" s="2" t="inlineStr">
        <is>
          <t>SGR, Asignación para la CTeI</t>
        </is>
      </c>
      <c r="N4" s="2" t="inlineStr">
        <is>
          <t>Universidad Santo Tomás (ejecutora)</t>
        </is>
      </c>
      <c r="O4" s="2" t="inlineStr">
        <is>
          <t>Estudiantes de maestría en modalidad de investigación (sostenimiento)</t>
        </is>
      </c>
      <c r="P4" s="2" t="inlineStr">
        <is>
          <t>Común a Manizales y Calarcá (sin localización en el Anexo 3)</t>
        </is>
      </c>
      <c r="Q4" s="2" t="inlineStr">
        <is>
          <t>M1–M24</t>
        </is>
      </c>
      <c r="R4" s="2" t="inlineStr">
        <is>
          <t>Tabla 30.3 (líneas del SGR); Tabla 15.2 (actividad 1.1); Tabla 28.3 (rubro)</t>
        </is>
      </c>
      <c r="S4" s="2" t="inlineStr">
        <is>
          <t>Cadena de valor › OE1 › P2. Documentos de investigación › Actividad 1.1 › insumo: Mano de obra calificada (clasificación propuesta)</t>
        </is>
      </c>
      <c r="T4" s="2" t="inlineStr">
        <is>
          <t>Presupuesto › rubro «Talento Humano» › fuente «SGR»; Cronograma › actividad 1.1</t>
        </is>
      </c>
      <c r="U4" s="4" t="inlineStr">
        <is>
          <t>El Anexo 3 declara cotizaciones pendientes (TdR 12.2: al menos dos por rubro, no subsanable)</t>
        </is>
      </c>
    </row>
    <row r="5">
      <c r="A5" s="2" t="inlineStr">
        <is>
          <t>TH-04</t>
        </is>
      </c>
      <c r="B5" s="2" t="inlineStr">
        <is>
          <t>Talento Humano</t>
        </is>
      </c>
      <c r="C5" s="2" t="inlineStr">
        <is>
          <t>Matrícula de maestría en modalidad de investigación</t>
        </is>
      </c>
      <c r="D5" s="2" t="inlineStr">
        <is>
          <t>OE1. Medición verificada</t>
        </is>
      </c>
      <c r="E5" s="2" t="inlineStr">
        <is>
          <t>P3. Servicio de apoyo financiero para la formación de maestría ya sea nacional o en el exterior, en la modalidad de investigación</t>
        </is>
      </c>
      <c r="F5" s="2" t="inlineStr">
        <is>
          <t>Anexo 3</t>
        </is>
      </c>
      <c r="G5" s="2" t="inlineStr">
        <is>
          <t>1.1 Seleccionar los sitios y diseñar la colocalización</t>
        </is>
      </c>
      <c r="H5" s="2" t="inlineStr">
        <is>
          <t>1.1, 1.2, 1.3, 1.4, 1.5, 1.6</t>
        </is>
      </c>
      <c r="I5" s="2" t="n">
        <v>2</v>
      </c>
      <c r="J5" s="2" t="inlineStr">
        <is>
          <t>matrícula</t>
        </is>
      </c>
      <c r="K5" s="3" t="n">
        <v>48000000</v>
      </c>
      <c r="L5" s="3" t="n">
        <v>96000000</v>
      </c>
      <c r="M5" s="2" t="inlineStr">
        <is>
          <t>SGR, Asignación para la CTeI</t>
        </is>
      </c>
      <c r="N5" s="2" t="inlineStr">
        <is>
          <t>Universidad Santo Tomás (ejecutora)</t>
        </is>
      </c>
      <c r="O5" s="2" t="inlineStr">
        <is>
          <t>Matrícula de maestría en modalidad de investigación</t>
        </is>
      </c>
      <c r="P5" s="2" t="inlineStr">
        <is>
          <t>Común a Manizales y Calarcá (sin localización en el Anexo 3)</t>
        </is>
      </c>
      <c r="Q5" s="2" t="inlineStr">
        <is>
          <t>M1–M24</t>
        </is>
      </c>
      <c r="R5" s="2" t="inlineStr">
        <is>
          <t>Tabla 30.3 (líneas del SGR); Tabla 15.2 (actividad 1.1); Tabla 28.3 (rubro)</t>
        </is>
      </c>
      <c r="S5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5" s="2" t="inlineStr">
        <is>
          <t>Presupuesto › rubro «Talento Humano» › fuente «SGR»; Cronograma › actividad 1.1</t>
        </is>
      </c>
      <c r="U5" s="4" t="inlineStr">
        <is>
          <t>El Anexo 3 declara cotizaciones pendientes (TdR 12.2: al menos dos por rubro, no subsanable)</t>
        </is>
      </c>
    </row>
    <row r="6">
      <c r="A6" s="2" t="inlineStr">
        <is>
          <t>TH-05</t>
        </is>
      </c>
      <c r="B6" s="2" t="inlineStr">
        <is>
          <t>Talento Humano</t>
        </is>
      </c>
      <c r="C6" s="2" t="inlineStr">
        <is>
          <t>Doctor en estancia posdoctoral</t>
        </is>
      </c>
      <c r="D6" s="2" t="inlineStr">
        <is>
          <t>OE1. Medición verificada</t>
        </is>
      </c>
      <c r="E6" s="2" t="inlineStr">
        <is>
          <t>P4. Servicio de apoyo financiero de estancias de investigación</t>
        </is>
      </c>
      <c r="F6" s="2" t="inlineStr">
        <is>
          <t>Anexo 3</t>
        </is>
      </c>
      <c r="G6" s="2" t="inlineStr">
        <is>
          <t>1.1 Seleccionar los sitios y diseñar la colocalización</t>
        </is>
      </c>
      <c r="H6" s="2" t="inlineStr">
        <is>
          <t>1.1, 1.2, 1.3, 1.4, 1.5, 1.6</t>
        </is>
      </c>
      <c r="I6" s="2" t="n">
        <v>24</v>
      </c>
      <c r="J6" s="2" t="inlineStr">
        <is>
          <t>persona-mes</t>
        </is>
      </c>
      <c r="K6" s="3" t="n">
        <v>12920000</v>
      </c>
      <c r="L6" s="3" t="n">
        <v>310080000</v>
      </c>
      <c r="M6" s="2" t="inlineStr">
        <is>
          <t>SGR, Asignación para la CTeI</t>
        </is>
      </c>
      <c r="N6" s="2" t="inlineStr">
        <is>
          <t>Universidad Santo Tomás (ejecutora)</t>
        </is>
      </c>
      <c r="O6" s="2" t="inlineStr">
        <is>
          <t>Doctor en estancia posdoctoral</t>
        </is>
      </c>
      <c r="P6" s="2" t="inlineStr">
        <is>
          <t>Común a Manizales y Calarcá (sin localización en el Anexo 3)</t>
        </is>
      </c>
      <c r="Q6" s="2" t="inlineStr">
        <is>
          <t>M1–M24</t>
        </is>
      </c>
      <c r="R6" s="2" t="inlineStr">
        <is>
          <t>Tabla 30.3 (líneas del SGR); Tabla 15.2 (actividad 1.1); Tabla 28.3 (rubro)</t>
        </is>
      </c>
      <c r="S6" s="2" t="inlineStr">
        <is>
          <t>Cadena de valor › OE1 › P4. Servicio de apoyo financiero de estancias de investigación › Actividad 1.1 › insumo: Mano de obra calificada (clasificación propuesta)</t>
        </is>
      </c>
      <c r="T6" s="2" t="inlineStr">
        <is>
          <t>Presupuesto › rubro «Talento Humano» › fuente «SGR»; Cronograma › actividad 1.1</t>
        </is>
      </c>
      <c r="U6" s="4" t="inlineStr">
        <is>
          <t>El Anexo 3 declara cotizaciones pendientes (TdR 12.2: al menos dos por rubro, no subsanable) | El Anexo 12 pide dos productos TOP o A al doctor; el numeral 9 de los TdR pide uno</t>
        </is>
      </c>
    </row>
    <row r="7">
      <c r="A7" s="2" t="inlineStr">
        <is>
          <t>TH-06</t>
        </is>
      </c>
      <c r="B7" s="2" t="inlineStr">
        <is>
          <t>Talento Humano</t>
        </is>
      </c>
      <c r="C7" s="2" t="inlineStr">
        <is>
          <t>Ingenieros IoT y de campo</t>
        </is>
      </c>
      <c r="D7" s="2" t="inlineStr">
        <is>
          <t>OE2. Disponibilidad de la red</t>
        </is>
      </c>
      <c r="E7" s="2" t="inlineStr">
        <is>
          <t>P6. Servicio de apoyo financiero para programas y proyectos de infraestructura científica y tecnológica</t>
        </is>
      </c>
      <c r="F7" s="2" t="inlineStr">
        <is>
          <t>Anexo 3</t>
        </is>
      </c>
      <c r="G7" s="2" t="inlineStr">
        <is>
          <t>2.1 Diseñar la arquitectura de enlace y energía</t>
        </is>
      </c>
      <c r="H7" s="2" t="inlineStr">
        <is>
          <t>2.1, 2.2, 2.3, 2.4</t>
        </is>
      </c>
      <c r="I7" s="2" t="n">
        <v>72</v>
      </c>
      <c r="J7" s="2" t="inlineStr">
        <is>
          <t>persona-mes</t>
        </is>
      </c>
      <c r="K7" s="3" t="n">
        <v>10324430.45833333</v>
      </c>
      <c r="L7" s="3" t="n">
        <v>743358993</v>
      </c>
      <c r="M7" s="2" t="inlineStr">
        <is>
          <t>SGR, Asignación para la CTeI</t>
        </is>
      </c>
      <c r="N7" s="2" t="inlineStr">
        <is>
          <t>Universidad Santo Tomás (ejecutora)</t>
        </is>
      </c>
      <c r="O7" s="2" t="inlineStr">
        <is>
          <t>Ingenieros IoT y de campo</t>
        </is>
      </c>
      <c r="P7" s="2" t="inlineStr">
        <is>
          <t>Común a Manizales y Calarcá (sin localización en el Anexo 3)</t>
        </is>
      </c>
      <c r="Q7" s="2" t="inlineStr">
        <is>
          <t>M1–M24</t>
        </is>
      </c>
      <c r="R7" s="2" t="inlineStr">
        <is>
          <t>Tabla 30.3 (líneas del SGR); Tabla 15.2 (actividad 2.1); Tabla 28.3 (rubro)</t>
        </is>
      </c>
      <c r="S7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7" s="2" t="inlineStr">
        <is>
          <t>Presupuesto › rubro «Talento Humano» › fuente «SGR»; Cronograma › actividad 2.1</t>
        </is>
      </c>
      <c r="U7" s="2" t="inlineStr"/>
    </row>
    <row r="8">
      <c r="A8" s="2" t="inlineStr">
        <is>
          <t>TH-07</t>
        </is>
      </c>
      <c r="B8" s="2" t="inlineStr">
        <is>
          <t>Talento Humano</t>
        </is>
      </c>
      <c r="C8" s="2" t="inlineStr">
        <is>
          <t>Coordinación de apropiación social</t>
        </is>
      </c>
      <c r="D8" s="2" t="inlineStr">
        <is>
          <t>OE3. Uso institucional y custodia</t>
        </is>
      </c>
      <c r="E8" s="2" t="inlineStr">
        <is>
          <t>P8. Servicio de apropiación social del conocimiento</t>
        </is>
      </c>
      <c r="F8" s="2" t="inlineStr">
        <is>
          <t>Anexo 3</t>
        </is>
      </c>
      <c r="G8" s="2" t="inlineStr">
        <is>
          <t>3.1 Co-diseñar los umbrales y el protocolo de alerta con los consejos</t>
        </is>
      </c>
      <c r="H8" s="2" t="inlineStr">
        <is>
          <t>3.1, 3.2, 3.3, 3.4</t>
        </is>
      </c>
      <c r="I8" s="2" t="n">
        <v>24</v>
      </c>
      <c r="J8" s="2" t="inlineStr">
        <is>
          <t>persona-mes</t>
        </is>
      </c>
      <c r="K8" s="3" t="n">
        <v>7182212.291666667</v>
      </c>
      <c r="L8" s="3" t="n">
        <v>172373095</v>
      </c>
      <c r="M8" s="2" t="inlineStr">
        <is>
          <t>SGR, Asignación para la CTeI</t>
        </is>
      </c>
      <c r="N8" s="2" t="inlineStr">
        <is>
          <t>Avanciencia (ejecuta por contrato con la universidad)</t>
        </is>
      </c>
      <c r="O8" s="2" t="inlineStr">
        <is>
          <t>Coordinación de apropiación social</t>
        </is>
      </c>
      <c r="P8" s="2" t="inlineStr">
        <is>
          <t>Común a Manizales y Calarcá (sin localización en el Anexo 3)</t>
        </is>
      </c>
      <c r="Q8" s="2" t="inlineStr">
        <is>
          <t>M1–M24</t>
        </is>
      </c>
      <c r="R8" s="2" t="inlineStr">
        <is>
          <t>Tabla 30.3 (líneas del SGR); Tabla 15.2 (actividad 3.1); Tabla 28.3 (rubro); Tabla 19.4 (apropiación social)</t>
        </is>
      </c>
      <c r="S8" s="2" t="inlineStr">
        <is>
          <t>Cadena de valor › OE3 › P8. Servicio de apropiación social del conocimiento › Actividad 3.1 › insumo: Mano de obra calificada (clasificación propuesta)</t>
        </is>
      </c>
      <c r="T8" s="2" t="inlineStr">
        <is>
          <t>Presupuesto › rubro «Talento Humano» › fuente «SGR»; Cronograma › actividad 3.1</t>
        </is>
      </c>
      <c r="U8" s="2" t="inlineStr"/>
    </row>
    <row r="9">
      <c r="A9" s="2" t="inlineStr">
        <is>
          <t>TH-08</t>
        </is>
      </c>
      <c r="B9" s="2" t="inlineStr">
        <is>
          <t>Talento Humano</t>
        </is>
      </c>
      <c r="C9" s="2" t="inlineStr">
        <is>
          <t>Gerencia de proyecto</t>
        </is>
      </c>
      <c r="D9" s="2" t="inlineStr">
        <is>
          <t>OE1. Medición verificada</t>
        </is>
      </c>
      <c r="E9" s="2" t="inlineStr">
        <is>
          <t>P1. Servicio de apoyo para la generación de prototipos de materiales, productos o dispositivos</t>
        </is>
      </c>
      <c r="F9" s="2" t="inlineStr">
        <is>
          <t>Anexo 3</t>
        </is>
      </c>
      <c r="G9" s="2" t="inlineStr">
        <is>
          <t>1.8 Administración y apoyo a la supervisión (objetivo específico 1)</t>
        </is>
      </c>
      <c r="H9" s="2" t="inlineStr">
        <is>
          <t>1.8, 2.8, 3.6</t>
        </is>
      </c>
      <c r="I9" s="2" t="n">
        <v>24</v>
      </c>
      <c r="J9" s="2" t="inlineStr">
        <is>
          <t>persona-mes</t>
        </is>
      </c>
      <c r="K9" s="3" t="n">
        <v>10324430.45833333</v>
      </c>
      <c r="L9" s="3" t="n">
        <v>247786331</v>
      </c>
      <c r="M9" s="2" t="inlineStr">
        <is>
          <t>SGR, Asignación para la CTeI</t>
        </is>
      </c>
      <c r="N9" s="2" t="inlineStr">
        <is>
          <t>Universidad Santo Tomás (ejecutora)</t>
        </is>
      </c>
      <c r="O9" s="2" t="inlineStr">
        <is>
          <t>Gerencia de proyecto</t>
        </is>
      </c>
      <c r="P9" s="2" t="inlineStr">
        <is>
          <t>Común a Manizales y Calarcá (sin localización en el Anexo 3)</t>
        </is>
      </c>
      <c r="Q9" s="2" t="inlineStr">
        <is>
          <t>M1–M24</t>
        </is>
      </c>
      <c r="R9" s="2" t="inlineStr">
        <is>
          <t>Tabla 30.3 (líneas del SGR); Tabla 15.2 (actividad 1.8); Tabla 28.3 (rubro)</t>
        </is>
      </c>
      <c r="S9" s="2" t="inlineStr">
        <is>
          <t>Cadena de valor › OE1 › P1. Servicio de apoyo para la generación de prototipos de materiales, productos o dispositivos › Actividad 1.8 › insumo: Mano de obra calificada (clasificación propuesta)</t>
        </is>
      </c>
      <c r="T9" s="2" t="inlineStr">
        <is>
          <t>Presupuesto › rubro «Talento Humano» › fuente «SGR»; Cronograma › actividad 1.8</t>
        </is>
      </c>
      <c r="U9" s="2" t="inlineStr"/>
    </row>
    <row r="10">
      <c r="A10" s="2" t="inlineStr">
        <is>
          <t>TH-09</t>
        </is>
      </c>
      <c r="B10" s="2" t="inlineStr">
        <is>
          <t>Talento Humano</t>
        </is>
      </c>
      <c r="C10" s="2" t="inlineStr">
        <is>
          <t>Especialista en metrología y calibración</t>
        </is>
      </c>
      <c r="D10" s="2" t="inlineStr">
        <is>
          <t>OE1. Medición verificada</t>
        </is>
      </c>
      <c r="E10" s="2" t="inlineStr">
        <is>
          <t>P1. Servicio de apoyo para la generación de prototipos de materiales, productos o dispositivos</t>
        </is>
      </c>
      <c r="F10" s="2" t="inlineStr">
        <is>
          <t>Anexo 3</t>
        </is>
      </c>
      <c r="G10" s="2" t="inlineStr">
        <is>
          <t>1.1 Seleccionar los sitios y diseñar la colocalización</t>
        </is>
      </c>
      <c r="H10" s="2" t="inlineStr">
        <is>
          <t>1.1, 1.2, 1.3, 1.4, 1.5, 1.6</t>
        </is>
      </c>
      <c r="I10" s="2" t="n">
        <v>24</v>
      </c>
      <c r="J10" s="2" t="inlineStr">
        <is>
          <t>persona-mes</t>
        </is>
      </c>
      <c r="K10" s="3" t="n">
        <v>11671095.5</v>
      </c>
      <c r="L10" s="3" t="n">
        <v>280106292</v>
      </c>
      <c r="M10" s="2" t="inlineStr">
        <is>
          <t>SGR, Asignación para la CTeI</t>
        </is>
      </c>
      <c r="N10" s="2" t="inlineStr">
        <is>
          <t>Universidad Santo Tomás (ejecutora)</t>
        </is>
      </c>
      <c r="O10" s="2" t="inlineStr">
        <is>
          <t>Especialista en metrología y calibración</t>
        </is>
      </c>
      <c r="P10" s="2" t="inlineStr">
        <is>
          <t>Común a Manizales y Calarcá (sin localización en el Anexo 3)</t>
        </is>
      </c>
      <c r="Q10" s="2" t="inlineStr">
        <is>
          <t>M1–M24</t>
        </is>
      </c>
      <c r="R10" s="2" t="inlineStr">
        <is>
          <t>Tabla 30.3 (líneas del SGR); Tabla 15.2 (actividad 1.1); Tabla 28.3 (rubro)</t>
        </is>
      </c>
      <c r="S10" s="2" t="inlineStr">
        <is>
          <t>Cadena de valor › OE1 › P1. Servicio de apoyo para la generación de prototipos de materiales, productos o dispositivos › Actividad 1.1 › insumo: Mano de obra calificada (clasificación propuesta)</t>
        </is>
      </c>
      <c r="T10" s="2" t="inlineStr">
        <is>
          <t>Presupuesto › rubro «Talento Humano» › fuente «SGR»; Cronograma › actividad 1.1</t>
        </is>
      </c>
      <c r="U10" s="4" t="inlineStr">
        <is>
          <t>El Anexo 3 declara cotizaciones pendientes (TdR 12.2: al menos dos por rubro, no subsanable)</t>
        </is>
      </c>
    </row>
    <row r="11">
      <c r="A11" s="2" t="inlineStr">
        <is>
          <t>TH-10</t>
        </is>
      </c>
      <c r="B11" s="2" t="inlineStr">
        <is>
          <t>Talento Humano</t>
        </is>
      </c>
      <c r="C11" s="2" t="inlineStr">
        <is>
          <t>Ingenieros de software y nube</t>
        </is>
      </c>
      <c r="D11" s="2" t="inlineStr">
        <is>
          <t>OE2. Disponibilidad de la red</t>
        </is>
      </c>
      <c r="E11" s="2" t="inlineStr">
        <is>
          <t>P6. Servicio de apoyo financiero para programas y proyectos de infraestructura científica y tecnológica</t>
        </is>
      </c>
      <c r="F11" s="2" t="inlineStr">
        <is>
          <t>Anexo 3</t>
        </is>
      </c>
      <c r="G11" s="2" t="inlineStr">
        <is>
          <t>2.1 Diseñar la arquitectura de enlace y energía</t>
        </is>
      </c>
      <c r="H11" s="2" t="inlineStr">
        <is>
          <t>2.1, 2.2, 2.3, 2.4</t>
        </is>
      </c>
      <c r="I11" s="2" t="n">
        <v>48</v>
      </c>
      <c r="J11" s="2" t="inlineStr">
        <is>
          <t>persona-mes</t>
        </is>
      </c>
      <c r="K11" s="3" t="n">
        <v>10324430.45833333</v>
      </c>
      <c r="L11" s="3" t="n">
        <v>495572662</v>
      </c>
      <c r="M11" s="2" t="inlineStr">
        <is>
          <t>SGR, Asignación para la CTeI</t>
        </is>
      </c>
      <c r="N11" s="2" t="inlineStr">
        <is>
          <t>Universidad Santo Tomás (ejecutora)</t>
        </is>
      </c>
      <c r="O11" s="2" t="inlineStr">
        <is>
          <t>Ingenieros de software y nube</t>
        </is>
      </c>
      <c r="P11" s="2" t="inlineStr">
        <is>
          <t>Común a Manizales y Calarcá (sin localización en el Anexo 3)</t>
        </is>
      </c>
      <c r="Q11" s="2" t="inlineStr">
        <is>
          <t>M1–M24</t>
        </is>
      </c>
      <c r="R11" s="2" t="inlineStr">
        <is>
          <t>Tabla 30.3 (líneas del SGR); Tabla 15.2 (actividad 2.1); Tabla 28.3 (rubro)</t>
        </is>
      </c>
      <c r="S11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1" s="2" t="inlineStr">
        <is>
          <t>Presupuesto › rubro «Talento Humano» › fuente «SGR»; Cronograma › actividad 2.1</t>
        </is>
      </c>
      <c r="U11" s="2" t="inlineStr"/>
    </row>
    <row r="12">
      <c r="A12" s="2" t="inlineStr">
        <is>
          <t>TH-11</t>
        </is>
      </c>
      <c r="B12" s="2" t="inlineStr">
        <is>
          <t>Talento Humano</t>
        </is>
      </c>
      <c r="C12" s="2" t="inlineStr">
        <is>
          <t>Ingeniero de firmware y energía</t>
        </is>
      </c>
      <c r="D12" s="2" t="inlineStr">
        <is>
          <t>OE2. Disponibilidad de la red</t>
        </is>
      </c>
      <c r="E12" s="2" t="inlineStr">
        <is>
          <t>P6. Servicio de apoyo financiero para programas y proyectos de infraestructura científica y tecnológica</t>
        </is>
      </c>
      <c r="F12" s="2" t="inlineStr">
        <is>
          <t>Anexo 3</t>
        </is>
      </c>
      <c r="G12" s="2" t="inlineStr">
        <is>
          <t>2.1 Diseñar la arquitectura de enlace y energía</t>
        </is>
      </c>
      <c r="H12" s="2" t="inlineStr">
        <is>
          <t>2.1, 2.2, 2.3, 2.4</t>
        </is>
      </c>
      <c r="I12" s="2" t="n">
        <v>24</v>
      </c>
      <c r="J12" s="2" t="inlineStr">
        <is>
          <t>persona-mes</t>
        </is>
      </c>
      <c r="K12" s="3" t="n">
        <v>10324430.45833333</v>
      </c>
      <c r="L12" s="3" t="n">
        <v>247786331</v>
      </c>
      <c r="M12" s="2" t="inlineStr">
        <is>
          <t>SGR, Asignación para la CTeI</t>
        </is>
      </c>
      <c r="N12" s="2" t="inlineStr">
        <is>
          <t>Universidad Santo Tomás (ejecutora)</t>
        </is>
      </c>
      <c r="O12" s="2" t="inlineStr">
        <is>
          <t>Ingeniero de firmware y energía</t>
        </is>
      </c>
      <c r="P12" s="2" t="inlineStr">
        <is>
          <t>Común a Manizales y Calarcá (sin localización en el Anexo 3)</t>
        </is>
      </c>
      <c r="Q12" s="2" t="inlineStr">
        <is>
          <t>M1–M24</t>
        </is>
      </c>
      <c r="R12" s="2" t="inlineStr">
        <is>
          <t>Tabla 30.3 (líneas del SGR); Tabla 15.2 (actividad 2.1); Tabla 28.3 (rubro)</t>
        </is>
      </c>
      <c r="S12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2" s="2" t="inlineStr">
        <is>
          <t>Presupuesto › rubro «Talento Humano» › fuente «SGR»; Cronograma › actividad 2.1</t>
        </is>
      </c>
      <c r="U12" s="2" t="inlineStr"/>
    </row>
    <row r="13">
      <c r="A13" s="2" t="inlineStr">
        <is>
          <t>TH-12</t>
        </is>
      </c>
      <c r="B13" s="2" t="inlineStr">
        <is>
          <t>Talento Humano</t>
        </is>
      </c>
      <c r="C13" s="2" t="inlineStr">
        <is>
          <t>Técnicos de campo municipales</t>
        </is>
      </c>
      <c r="D13" s="2" t="inlineStr">
        <is>
          <t>OE2. Disponibilidad de la red</t>
        </is>
      </c>
      <c r="E13" s="2" t="inlineStr">
        <is>
          <t>P6. Servicio de apoyo financiero para programas y proyectos de infraestructura científica y tecnológica</t>
        </is>
      </c>
      <c r="F13" s="2" t="inlineStr">
        <is>
          <t>Anexo 3</t>
        </is>
      </c>
      <c r="G13" s="2" t="inlineStr">
        <is>
          <t>2.1 Diseñar la arquitectura de enlace y energía</t>
        </is>
      </c>
      <c r="H13" s="2" t="inlineStr">
        <is>
          <t>2.1, 2.2, 2.3, 2.4</t>
        </is>
      </c>
      <c r="I13" s="2" t="n">
        <v>144</v>
      </c>
      <c r="J13" s="2" t="inlineStr">
        <is>
          <t>persona-mes</t>
        </is>
      </c>
      <c r="K13" s="3" t="n">
        <v>4488883.208333333</v>
      </c>
      <c r="L13" s="3" t="n">
        <v>646399182</v>
      </c>
      <c r="M13" s="2" t="inlineStr">
        <is>
          <t>SGR, Asignación para la CTeI</t>
        </is>
      </c>
      <c r="N13" s="2" t="inlineStr">
        <is>
          <t>Universidad Santo Tomás (ejecutora)</t>
        </is>
      </c>
      <c r="O13" s="2" t="inlineStr">
        <is>
          <t>Técnicos de campo municipales</t>
        </is>
      </c>
      <c r="P13" s="2" t="inlineStr">
        <is>
          <t>Manizales $ 323.199.591; Calarcá $ 323.199.591 (tres técnicos por municipio)</t>
        </is>
      </c>
      <c r="Q13" s="2" t="inlineStr">
        <is>
          <t>M1–M24</t>
        </is>
      </c>
      <c r="R13" s="2" t="inlineStr">
        <is>
          <t>Tabla 30.3 (líneas del SGR); Tabla 15.2 (actividad 2.1); Tabla 28.3 (rubro); Tablas 15.3 y 28.5 (municipio)</t>
        </is>
      </c>
      <c r="S13" s="2" t="inlineStr">
        <is>
          <t>Cadena de valor › OE2 › P6. Servicio de apoyo financiero para programas y proyectos de infraestructura científica y tecnológica › Actividad 2.1 › insumo: Mano de obra calificada (clasificación propuesta)</t>
        </is>
      </c>
      <c r="T13" s="2" t="inlineStr">
        <is>
          <t>Presupuesto › rubro «Talento Humano» › fuente «SGR»; Cronograma › actividad 2.1</t>
        </is>
      </c>
      <c r="U13" s="4" t="inlineStr">
        <is>
          <t>El Anexo 3 los llama «departamentales»; son tres técnicos por municipio</t>
        </is>
      </c>
    </row>
    <row r="14">
      <c r="A14" s="2" t="inlineStr">
        <is>
          <t>TH-13</t>
        </is>
      </c>
      <c r="B14" s="2" t="inlineStr">
        <is>
          <t>Talento Humano</t>
        </is>
      </c>
      <c r="C14" s="2" t="inlineStr">
        <is>
          <t>Profesionales de apropiación social</t>
        </is>
      </c>
      <c r="D14" s="2" t="inlineStr">
        <is>
          <t>OE3. Uso institucional y custodia</t>
        </is>
      </c>
      <c r="E14" s="2" t="inlineStr">
        <is>
          <t>P8. Servicio de apropiación social del conocimiento</t>
        </is>
      </c>
      <c r="F14" s="2" t="inlineStr">
        <is>
          <t>Anexo 3</t>
        </is>
      </c>
      <c r="G14" s="2" t="inlineStr">
        <is>
          <t>3.1 Co-diseñar los umbrales y el protocolo de alerta con los consejos</t>
        </is>
      </c>
      <c r="H14" s="2" t="inlineStr">
        <is>
          <t>3.1, 3.2, 3.3, 3.4</t>
        </is>
      </c>
      <c r="I14" s="2" t="n">
        <v>48</v>
      </c>
      <c r="J14" s="2" t="inlineStr">
        <is>
          <t>persona-mes</t>
        </is>
      </c>
      <c r="K14" s="3" t="n">
        <v>7182212.3125</v>
      </c>
      <c r="L14" s="3" t="n">
        <v>344746191</v>
      </c>
      <c r="M14" s="2" t="inlineStr">
        <is>
          <t>SGR, Asignación para la CTeI</t>
        </is>
      </c>
      <c r="N14" s="2" t="inlineStr">
        <is>
          <t>Avanciencia (ejecuta por contrato con la universidad)</t>
        </is>
      </c>
      <c r="O14" s="2" t="inlineStr">
        <is>
          <t>Profesionales de apropiación social</t>
        </is>
      </c>
      <c r="P14" s="2" t="inlineStr">
        <is>
          <t>Común a Manizales y Calarcá (sin localización en el Anexo 3)</t>
        </is>
      </c>
      <c r="Q14" s="2" t="inlineStr">
        <is>
          <t>M1–M24</t>
        </is>
      </c>
      <c r="R14" s="2" t="inlineStr">
        <is>
          <t>Tabla 30.3 (líneas del SGR); Tabla 15.2 (actividad 3.1); Tabla 28.3 (rubro); Tabla 19.4 (apropiación social)</t>
        </is>
      </c>
      <c r="S14" s="2" t="inlineStr">
        <is>
          <t>Cadena de valor › OE3 › P8. Servicio de apropiación social del conocimiento › Actividad 3.1 › insumo: Mano de obra calificada (clasificación propuesta)</t>
        </is>
      </c>
      <c r="T14" s="2" t="inlineStr">
        <is>
          <t>Presupuesto › rubro «Talento Humano» › fuente «SGR»; Cronograma › actividad 3.1</t>
        </is>
      </c>
      <c r="U14" s="2" t="inlineStr"/>
    </row>
    <row r="15">
      <c r="A15" s="2" t="inlineStr">
        <is>
          <t>TH-14</t>
        </is>
      </c>
      <c r="B15" s="2" t="inlineStr">
        <is>
          <t>Talento Humano</t>
        </is>
      </c>
      <c r="C15" s="2" t="inlineStr">
        <is>
          <t>Analista de datos espaciales y gemelo digital</t>
        </is>
      </c>
      <c r="D15" s="2" t="inlineStr">
        <is>
          <t>OE2. Disponibilidad de la red</t>
        </is>
      </c>
      <c r="E15" s="2" t="inlineStr">
        <is>
          <t>P1. Servicio de apoyo para la generación de prototipos de materiales, productos o dispositivos</t>
        </is>
      </c>
      <c r="F15" s="2" t="inlineStr">
        <is>
          <t>Anexo 3</t>
        </is>
      </c>
      <c r="G15" s="2" t="inlineStr">
        <is>
          <t>2.1 Diseñar la arquitectura de enlace y energía</t>
        </is>
      </c>
      <c r="H15" s="2" t="inlineStr">
        <is>
          <t>2.1, 2.2, 2.3, 2.4</t>
        </is>
      </c>
      <c r="I15" s="2" t="n">
        <v>24</v>
      </c>
      <c r="J15" s="2" t="inlineStr">
        <is>
          <t>persona-mes</t>
        </is>
      </c>
      <c r="K15" s="3" t="n">
        <v>10324430.45833333</v>
      </c>
      <c r="L15" s="3" t="n">
        <v>247786331</v>
      </c>
      <c r="M15" s="2" t="inlineStr">
        <is>
          <t>SGR, Asignación para la CTeI</t>
        </is>
      </c>
      <c r="N15" s="2" t="inlineStr">
        <is>
          <t>Universidad Santo Tomás (ejecutora)</t>
        </is>
      </c>
      <c r="O15" s="2" t="inlineStr">
        <is>
          <t>Analista de datos espaciales y gemelo digital</t>
        </is>
      </c>
      <c r="P15" s="2" t="inlineStr">
        <is>
          <t>Común a Manizales y Calarcá (sin localización en el Anexo 3)</t>
        </is>
      </c>
      <c r="Q15" s="2" t="inlineStr">
        <is>
          <t>M1–M24</t>
        </is>
      </c>
      <c r="R15" s="2" t="inlineStr">
        <is>
          <t>Tabla 30.3 (líneas del SGR); Tabla 15.2 (actividad 2.1); Tabla 28.3 (rubro)</t>
        </is>
      </c>
      <c r="S15" s="2" t="inlineStr">
        <is>
          <t>Cadena de valor › OE2 › P1. Servicio de apoyo para la generación de prototipos de materiales, productos o dispositivos › Actividad 2.1 › insumo: Mano de obra calificada (clasificación propuesta)</t>
        </is>
      </c>
      <c r="T15" s="2" t="inlineStr">
        <is>
          <t>Presupuesto › rubro «Talento Humano» › fuente «SGR»; Cronograma › actividad 2.1</t>
        </is>
      </c>
      <c r="U15" s="2" t="inlineStr"/>
    </row>
    <row r="16">
      <c r="A16" s="2" t="inlineStr">
        <is>
          <t>TH-15</t>
        </is>
      </c>
      <c r="B16" s="2" t="inlineStr">
        <is>
          <t>Talento Humano</t>
        </is>
      </c>
      <c r="C16" s="2" t="inlineStr">
        <is>
          <t>Profesional en calidad del aire y salud ambiental</t>
        </is>
      </c>
      <c r="D16" s="2" t="inlineStr">
        <is>
          <t>OE3. Uso institucional y custodia</t>
        </is>
      </c>
      <c r="E16" s="2" t="inlineStr">
        <is>
          <t>P7. Documentos de política: Documentos de planeación</t>
        </is>
      </c>
      <c r="F16" s="2" t="inlineStr">
        <is>
          <t>Anexo 3</t>
        </is>
      </c>
      <c r="G16" s="2" t="inlineStr">
        <is>
          <t>3.1 Co-diseñar los umbrales y el protocolo de alerta con los consejos</t>
        </is>
      </c>
      <c r="H16" s="2" t="inlineStr">
        <is>
          <t>3.1, 3.2, 3.3, 3.4</t>
        </is>
      </c>
      <c r="I16" s="2" t="n">
        <v>24</v>
      </c>
      <c r="J16" s="2" t="inlineStr">
        <is>
          <t>persona-mes</t>
        </is>
      </c>
      <c r="K16" s="3" t="n">
        <v>10324430.45833333</v>
      </c>
      <c r="L16" s="3" t="n">
        <v>247786331</v>
      </c>
      <c r="M16" s="2" t="inlineStr">
        <is>
          <t>SGR, Asignación para la CTeI</t>
        </is>
      </c>
      <c r="N16" s="2" t="inlineStr">
        <is>
          <t>Universidad Santo Tomás (ejecutora)</t>
        </is>
      </c>
      <c r="O16" s="2" t="inlineStr">
        <is>
          <t>Profesional en calidad del aire y salud ambiental</t>
        </is>
      </c>
      <c r="P16" s="2" t="inlineStr">
        <is>
          <t>Común a Manizales y Calarcá (sin localización en el Anexo 3)</t>
        </is>
      </c>
      <c r="Q16" s="2" t="inlineStr">
        <is>
          <t>M1–M24</t>
        </is>
      </c>
      <c r="R16" s="2" t="inlineStr">
        <is>
          <t>Tabla 30.3 (líneas del SGR); Tabla 15.2 (actividad 3.1); Tabla 28.3 (rubro); Tabla 19.4 (apropiación social)</t>
        </is>
      </c>
      <c r="S16" s="2" t="inlineStr">
        <is>
          <t>Cadena de valor › OE3 › P7. Documentos de política: Documentos de planeación › Actividad 3.1 › insumo: Mano de obra calificada (clasificación propuesta)</t>
        </is>
      </c>
      <c r="T16" s="2" t="inlineStr">
        <is>
          <t>Presupuesto › rubro «Talento Humano» › fuente «SGR»; Cronograma › actividad 3.1</t>
        </is>
      </c>
      <c r="U16" s="2" t="inlineStr"/>
    </row>
    <row r="17">
      <c r="A17" s="2" t="inlineStr">
        <is>
          <t>TH-16</t>
        </is>
      </c>
      <c r="B17" s="2" t="inlineStr">
        <is>
          <t>Talento Humano</t>
        </is>
      </c>
      <c r="C17" s="2" t="inlineStr">
        <is>
          <t>Profesional de convenios y custodia</t>
        </is>
      </c>
      <c r="D17" s="2" t="inlineStr">
        <is>
          <t>OE3. Uso institucional y custodia</t>
        </is>
      </c>
      <c r="E17" s="2" t="inlineStr">
        <is>
          <t>P7. Documentos de política: Documentos de planeación</t>
        </is>
      </c>
      <c r="F17" s="2" t="inlineStr">
        <is>
          <t>Anexo 3</t>
        </is>
      </c>
      <c r="G17" s="2" t="inlineStr">
        <is>
          <t>3.1 Co-diseñar los umbrales y el protocolo de alerta con los consejos</t>
        </is>
      </c>
      <c r="H17" s="2" t="inlineStr">
        <is>
          <t>3.1, 3.2, 3.3, 3.4</t>
        </is>
      </c>
      <c r="I17" s="2" t="n">
        <v>24</v>
      </c>
      <c r="J17" s="2" t="inlineStr">
        <is>
          <t>persona-mes</t>
        </is>
      </c>
      <c r="K17" s="3" t="n">
        <v>7182212.291666667</v>
      </c>
      <c r="L17" s="3" t="n">
        <v>172373095</v>
      </c>
      <c r="M17" s="2" t="inlineStr">
        <is>
          <t>SGR, Asignación para la CTeI</t>
        </is>
      </c>
      <c r="N17" s="2" t="inlineStr">
        <is>
          <t>Avanciencia (ejecuta por contrato con la universidad)</t>
        </is>
      </c>
      <c r="O17" s="2" t="inlineStr">
        <is>
          <t>Profesional de convenios y custodia</t>
        </is>
      </c>
      <c r="P17" s="2" t="inlineStr">
        <is>
          <t>Común a Manizales y Calarcá (sin localización en el Anexo 3)</t>
        </is>
      </c>
      <c r="Q17" s="2" t="inlineStr">
        <is>
          <t>M1–M24</t>
        </is>
      </c>
      <c r="R17" s="2" t="inlineStr">
        <is>
          <t>Tabla 30.3 (líneas del SGR); Tabla 15.2 (actividad 3.1); Tabla 28.3 (rubro); Tabla 19.4 (apropiación social)</t>
        </is>
      </c>
      <c r="S17" s="2" t="inlineStr">
        <is>
          <t>Cadena de valor › OE3 › P7. Documentos de política: Documentos de planeación › Actividad 3.1 › insumo: Mano de obra calificada (clasificación propuesta)</t>
        </is>
      </c>
      <c r="T17" s="2" t="inlineStr">
        <is>
          <t>Presupuesto › rubro «Talento Humano» › fuente «SGR»; Cronograma › actividad 3.1</t>
        </is>
      </c>
      <c r="U17" s="2" t="inlineStr"/>
    </row>
    <row r="18">
      <c r="A18" s="2" t="inlineStr">
        <is>
          <t>TH-23</t>
        </is>
      </c>
      <c r="B18" s="2" t="inlineStr">
        <is>
          <t>Talento Humano</t>
        </is>
      </c>
      <c r="C18" s="2" t="inlineStr">
        <is>
          <t>Investigador líder en modelación atmosférica y dispersión de contaminantes</t>
        </is>
      </c>
      <c r="D18" s="2" t="inlineStr">
        <is>
          <t>OE2. Disponibilidad de la red</t>
        </is>
      </c>
      <c r="E18" s="2" t="inlineStr">
        <is>
          <t>P1. Servicio de apoyo para la generación de prototipos de materiales, productos o dispositivos</t>
        </is>
      </c>
      <c r="F18" s="2" t="inlineStr">
        <is>
          <t>Anexo 3</t>
        </is>
      </c>
      <c r="G18" s="2" t="inlineStr">
        <is>
          <t>2.5 Diseñar el laboratorio de modelación y el inventario de emisión de demolición</t>
        </is>
      </c>
      <c r="H18" s="2" t="inlineStr">
        <is>
          <t>1.7, 2.5, 2.6, 2.7, 3.5</t>
        </is>
      </c>
      <c r="I18" s="2" t="n">
        <v>22</v>
      </c>
      <c r="J18" s="2" t="inlineStr">
        <is>
          <t>persona-mes</t>
        </is>
      </c>
      <c r="K18" s="3" t="n">
        <v>13497090.45454546</v>
      </c>
      <c r="L18" s="3" t="n">
        <v>296935990</v>
      </c>
      <c r="M18" s="2" t="inlineStr">
        <is>
          <t>SGR, Asignación para la CTeI</t>
        </is>
      </c>
      <c r="N18" s="2" t="inlineStr">
        <is>
          <t>Universidad Santo Tomás (ejecutora)</t>
        </is>
      </c>
      <c r="O18" s="2" t="inlineStr">
        <is>
          <t>Investigador líder en modelación atmosférica y dispersión de contaminantes</t>
        </is>
      </c>
      <c r="P18" s="2" t="inlineStr">
        <is>
          <t>Común a Manizales y Calarcá (sin localización en el Anexo 3)</t>
        </is>
      </c>
      <c r="Q18" s="2" t="inlineStr">
        <is>
          <t>M3–M24</t>
        </is>
      </c>
      <c r="R18" s="2" t="inlineStr">
        <is>
          <t>Tabla 30.3 (líneas del SGR); Tabla 15.2 (actividad 2.5); Tabla 28.3 (rubro)</t>
        </is>
      </c>
      <c r="S18" s="2" t="inlineStr">
        <is>
          <t>Cadena de valor › OE2 › P1. Servicio de apoyo para la generación de prototipos de materiales, productos o dispositivos › Actividad 2.5 › insumo: Mano de obra calificada (clasificación propuesta)</t>
        </is>
      </c>
      <c r="T18" s="2" t="inlineStr">
        <is>
          <t>Presupuesto › rubro «Talento Humano» › fuente «SGR»; Cronograma › actividad 2.5</t>
        </is>
      </c>
      <c r="U18" s="2" t="inlineStr"/>
    </row>
    <row r="19">
      <c r="A19" s="2" t="inlineStr">
        <is>
          <t>TH-24</t>
        </is>
      </c>
      <c r="B19" s="2" t="inlineStr">
        <is>
          <t>Talento Humano</t>
        </is>
      </c>
      <c r="C19" s="2" t="inlineStr">
        <is>
          <t>Ingeniero en dinámica de fluidos computacional y cómputo de alto rendimiento</t>
        </is>
      </c>
      <c r="D19" s="2" t="inlineStr">
        <is>
          <t>OE2. Disponibilidad de la red</t>
        </is>
      </c>
      <c r="E19" s="2" t="inlineStr">
        <is>
          <t>P1. Servicio de apoyo para la generación de prototipos de materiales, productos o dispositivos</t>
        </is>
      </c>
      <c r="F19" s="2" t="inlineStr">
        <is>
          <t>Anexo 3</t>
        </is>
      </c>
      <c r="G19" s="2" t="inlineStr">
        <is>
          <t>2.6 Dotar el laboratorio y montar la cadena de modelación</t>
        </is>
      </c>
      <c r="H19" s="2" t="inlineStr">
        <is>
          <t>1.7, 2.6, 2.7</t>
        </is>
      </c>
      <c r="I19" s="2" t="n">
        <v>20</v>
      </c>
      <c r="J19" s="2" t="inlineStr">
        <is>
          <t>persona-mes</t>
        </is>
      </c>
      <c r="K19" s="3" t="n">
        <v>10375775.75</v>
      </c>
      <c r="L19" s="3" t="n">
        <v>207515515</v>
      </c>
      <c r="M19" s="2" t="inlineStr">
        <is>
          <t>SGR, Asignación para la CTeI</t>
        </is>
      </c>
      <c r="N19" s="2" t="inlineStr">
        <is>
          <t>Universidad Santo Tomás (ejecutora)</t>
        </is>
      </c>
      <c r="O19" s="2" t="inlineStr">
        <is>
          <t>Ingeniero en dinámica de fluidos computacional y cómputo de alto rendimiento</t>
        </is>
      </c>
      <c r="P19" s="2" t="inlineStr">
        <is>
          <t>Común a Manizales y Calarcá (sin localización en el Anexo 3)</t>
        </is>
      </c>
      <c r="Q19" s="2" t="inlineStr">
        <is>
          <t>M5–M24</t>
        </is>
      </c>
      <c r="R19" s="2" t="inlineStr">
        <is>
          <t>Tabla 30.3 (líneas del SGR); Tabla 15.2 (actividad 2.6); Tabla 28.3 (rubro)</t>
        </is>
      </c>
      <c r="S19" s="2" t="inlineStr">
        <is>
          <t>Cadena de valor › OE2 › P1. Servicio de apoyo para la generación de prototipos de materiales, productos o dispositivos › Actividad 2.6 › insumo: Mano de obra calificada (clasificación propuesta)</t>
        </is>
      </c>
      <c r="T19" s="2" t="inlineStr">
        <is>
          <t>Presupuesto › rubro «Talento Humano» › fuente «SGR»; Cronograma › actividad 2.6</t>
        </is>
      </c>
      <c r="U19" s="2" t="inlineStr"/>
    </row>
    <row r="20">
      <c r="A20" s="2" t="inlineStr">
        <is>
          <t>TH-25</t>
        </is>
      </c>
      <c r="B20" s="2" t="inlineStr">
        <is>
          <t>Talento Humano</t>
        </is>
      </c>
      <c r="C20" s="2" t="inlineStr">
        <is>
          <t>Ingeniero en demolición y control de polvo en obra</t>
        </is>
      </c>
      <c r="D20" s="2" t="inlineStr">
        <is>
          <t>OE2. Disponibilidad de la red</t>
        </is>
      </c>
      <c r="E20" s="2" t="inlineStr">
        <is>
          <t>P1. Servicio de apoyo para la generación de prototipos de materiales, productos o dispositivos</t>
        </is>
      </c>
      <c r="F20" s="2" t="inlineStr">
        <is>
          <t>Anexo 3</t>
        </is>
      </c>
      <c r="G20" s="2" t="inlineStr">
        <is>
          <t>2.5 Diseñar el laboratorio de modelación y el inventario de emisión de demolición</t>
        </is>
      </c>
      <c r="H20" s="2" t="inlineStr">
        <is>
          <t>1.7, 2.5, 3.5</t>
        </is>
      </c>
      <c r="I20" s="2" t="n">
        <v>14</v>
      </c>
      <c r="J20" s="2" t="inlineStr">
        <is>
          <t>persona-mes</t>
        </is>
      </c>
      <c r="K20" s="3" t="n">
        <v>10507806.5</v>
      </c>
      <c r="L20" s="3" t="n">
        <v>147109291</v>
      </c>
      <c r="M20" s="2" t="inlineStr">
        <is>
          <t>SGR, Asignación para la CTeI</t>
        </is>
      </c>
      <c r="N20" s="2" t="inlineStr">
        <is>
          <t>Universidad Santo Tomás (ejecutora)</t>
        </is>
      </c>
      <c r="O20" s="2" t="inlineStr">
        <is>
          <t>Ingeniero en demolición y control de polvo en obra</t>
        </is>
      </c>
      <c r="P20" s="2" t="inlineStr">
        <is>
          <t>Común a Manizales y Calarcá (sin localización en el Anexo 3)</t>
        </is>
      </c>
      <c r="Q20" s="2" t="inlineStr">
        <is>
          <t>M11–M24</t>
        </is>
      </c>
      <c r="R20" s="2" t="inlineStr">
        <is>
          <t>Tabla 30.3 (líneas del SGR); Tabla 15.2 (actividad 2.5); Tabla 28.3 (rubro)</t>
        </is>
      </c>
      <c r="S20" s="2" t="inlineStr">
        <is>
          <t>Cadena de valor › OE2 › P1. Servicio de apoyo para la generación de prototipos de materiales, productos o dispositivos › Actividad 2.5 › insumo: Mano de obra calificada (clasificación propuesta)</t>
        </is>
      </c>
      <c r="T20" s="2" t="inlineStr">
        <is>
          <t>Presupuesto › rubro «Talento Humano» › fuente «SGR»; Cronograma › actividad 2.5</t>
        </is>
      </c>
      <c r="U20" s="2" t="inlineStr"/>
    </row>
    <row r="21">
      <c r="A21" s="2" t="inlineStr">
        <is>
          <t>TH-17</t>
        </is>
      </c>
      <c r="B21" s="2" t="inlineStr">
        <is>
          <t>Talento Humano</t>
        </is>
      </c>
      <c r="C21" s="2" t="inlineStr">
        <is>
          <t>Investigador principal (50 % durante 24 meses) — aporte de la entidad proponente</t>
        </is>
      </c>
      <c r="D21" s="2" t="inlineStr">
        <is>
          <t>OE1. Medición verificada</t>
        </is>
      </c>
      <c r="E21" s="2" t="inlineStr"/>
      <c r="F21" s="2" t="inlineStr">
        <is>
          <t>Por actividad (Tabla 15.1)</t>
        </is>
      </c>
      <c r="G21" s="2" t="inlineStr">
        <is>
          <t>1.8 Administración y apoyo a la supervisión (objetivo específico 1)</t>
        </is>
      </c>
      <c r="H21" s="2" t="inlineStr">
        <is>
          <t>1.8, 2.8, 3.6</t>
        </is>
      </c>
      <c r="I21" s="2" t="n">
        <v>1</v>
      </c>
      <c r="J21" s="2" t="inlineStr">
        <is>
          <t>aporte</t>
        </is>
      </c>
      <c r="K21" s="3" t="n">
        <v>350000000</v>
      </c>
      <c r="L21" s="3" t="n">
        <v>350000000</v>
      </c>
      <c r="M21" s="2" t="inlineStr">
        <is>
          <t>Contrapartida en especie</t>
        </is>
      </c>
      <c r="N21" s="2" t="inlineStr">
        <is>
          <t>Universidad Santo Tomás, sede Villavicencio</t>
        </is>
      </c>
      <c r="O21" s="2" t="inlineStr">
        <is>
          <t>Investigador principal (50 % durante 24 meses)</t>
        </is>
      </c>
      <c r="P21" s="2" t="inlineStr">
        <is>
          <t>Común a Manizales y Calarcá (sin localización en el Anexo 3)</t>
        </is>
      </c>
      <c r="Q21" s="2" t="inlineStr">
        <is>
          <t>M1–M24</t>
        </is>
      </c>
      <c r="R21" s="2" t="inlineStr">
        <is>
          <t>Tablas 26.2 y 28.7 (contrapartida); Tabla 15.2 (actividad 1.8); Tabla 28.3 (rubro)</t>
        </is>
      </c>
      <c r="S21" s="2" t="inlineStr">
        <is>
          <t>Cadena de valor › OE1 ›  › Actividad 1.8 › insumo: Mano de obra calificada (clasificación propuesta)</t>
        </is>
      </c>
      <c r="T21" s="2" t="inlineStr">
        <is>
          <t>Presupuesto › rubro «Talento Humano» › fuente «Contrapartida Universidad Santo Tomás, sede Villavicencio»; Cronograma › actividad 1.8</t>
        </is>
      </c>
      <c r="U21" s="4" t="inlineStr">
        <is>
          <t>El Anexo 3 declara cotizaciones pendientes (TdR 12.2: al menos dos por rubro, no subsanable)</t>
        </is>
      </c>
    </row>
    <row r="22">
      <c r="A22" s="2" t="inlineStr">
        <is>
          <t>TH-18</t>
        </is>
      </c>
      <c r="B22" s="2" t="inlineStr">
        <is>
          <t>Talento Humano</t>
        </is>
      </c>
      <c r="C22" s="2" t="inlineStr">
        <is>
          <t>Coinvestigador técnico (30 % durante 24 meses) — aporte de la entidad proponente</t>
        </is>
      </c>
      <c r="D22" s="2" t="inlineStr">
        <is>
          <t>OE1. Medición verificada</t>
        </is>
      </c>
      <c r="E22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22" s="2" t="inlineStr">
        <is>
          <t>Por actividad (Tabla 15.1)</t>
        </is>
      </c>
      <c r="G22" s="2" t="inlineStr">
        <is>
          <t>1.1 Seleccionar los sitios y diseñar la colocalización</t>
        </is>
      </c>
      <c r="H22" s="2" t="inlineStr">
        <is>
          <t>1.1, 1.2, 1.3, 1.4, 1.5, 1.6</t>
        </is>
      </c>
      <c r="I22" s="2" t="n">
        <v>1</v>
      </c>
      <c r="J22" s="2" t="inlineStr">
        <is>
          <t>aporte</t>
        </is>
      </c>
      <c r="K22" s="3" t="n">
        <v>250000000</v>
      </c>
      <c r="L22" s="3" t="n">
        <v>250000000</v>
      </c>
      <c r="M22" s="2" t="inlineStr">
        <is>
          <t>Contrapartida en especie</t>
        </is>
      </c>
      <c r="N22" s="2" t="inlineStr">
        <is>
          <t>Universidad Santo Tomás, sede Villavicencio</t>
        </is>
      </c>
      <c r="O22" s="2" t="inlineStr">
        <is>
          <t>Coinvestigador técnico (30 % durante 24 meses)</t>
        </is>
      </c>
      <c r="P22" s="2" t="inlineStr">
        <is>
          <t>Común a Manizales y Calarcá (sin localización en el Anexo 3)</t>
        </is>
      </c>
      <c r="Q22" s="2" t="inlineStr">
        <is>
          <t>M1–M24</t>
        </is>
      </c>
      <c r="R22" s="2" t="inlineStr">
        <is>
          <t>Tablas 26.2 y 28.7 (contrapartida); Tabla 15.2 (actividad 1.1); Tabla 28.3 (rubro)</t>
        </is>
      </c>
      <c r="S22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22" s="2" t="inlineStr">
        <is>
          <t>Presupuesto › rubro «Talento Humano» › fuente «Contrapartida Universidad Santo Tomás, sede Villavicencio»; Cronograma › actividad 1.1</t>
        </is>
      </c>
      <c r="U22" s="4" t="inlineStr">
        <is>
          <t>El Anexo 3 declara cotizaciones pendientes (TdR 12.2: al menos dos por rubro, no subsanable)</t>
        </is>
      </c>
    </row>
    <row r="23">
      <c r="A23" s="2" t="inlineStr">
        <is>
          <t>TH-19</t>
        </is>
      </c>
      <c r="B23" s="2" t="inlineStr">
        <is>
          <t>Talento Humano</t>
        </is>
      </c>
      <c r="C23" s="2" t="inlineStr">
        <is>
          <t>Coinvestigadores de ambiente y ciencias sociales (20 %) — aporte de la entidad proponente</t>
        </is>
      </c>
      <c r="D23" s="2" t="inlineStr">
        <is>
          <t>OE3. Uso institucional y custodia</t>
        </is>
      </c>
      <c r="E23" s="2" t="inlineStr">
        <is>
          <t>P7. Documentos de política: Documentos de planeación; P8. Servicio de apropiación social del conocimiento</t>
        </is>
      </c>
      <c r="F23" s="2" t="inlineStr">
        <is>
          <t>Por actividad (Tabla 15.1)</t>
        </is>
      </c>
      <c r="G23" s="2" t="inlineStr">
        <is>
          <t>3.1 Co-diseñar los umbrales y el protocolo de alerta con los consejos</t>
        </is>
      </c>
      <c r="H23" s="2" t="inlineStr">
        <is>
          <t>3.1, 3.2, 3.3, 3.4</t>
        </is>
      </c>
      <c r="I23" s="2" t="n">
        <v>1</v>
      </c>
      <c r="J23" s="2" t="inlineStr">
        <is>
          <t>aporte</t>
        </is>
      </c>
      <c r="K23" s="3" t="n">
        <v>200000000</v>
      </c>
      <c r="L23" s="3" t="n">
        <v>200000000</v>
      </c>
      <c r="M23" s="2" t="inlineStr">
        <is>
          <t>Contrapartida en especie</t>
        </is>
      </c>
      <c r="N23" s="2" t="inlineStr">
        <is>
          <t>Universidad Santo Tomás, sede Villavicencio</t>
        </is>
      </c>
      <c r="O23" s="2" t="inlineStr">
        <is>
          <t>Coinvestigadores de ambiente y ciencias sociales (20 %)</t>
        </is>
      </c>
      <c r="P23" s="2" t="inlineStr">
        <is>
          <t>Común a Manizales y Calarcá (sin localización en el Anexo 3)</t>
        </is>
      </c>
      <c r="Q23" s="2" t="inlineStr">
        <is>
          <t>M3–M24</t>
        </is>
      </c>
      <c r="R23" s="2" t="inlineStr">
        <is>
          <t>Tablas 26.2 y 28.7 (contrapartida); Tabla 15.2 (actividad 3.1); Tabla 28.3 (rubro); Tabla 19.4 (apropiación social)</t>
        </is>
      </c>
      <c r="S23" s="2" t="inlineStr">
        <is>
          <t>Cadena de valor › OE3 › P7. Documentos de política: Documentos de planeación › Actividad 3.1 › insumo: Mano de obra calificada (clasificación propuesta)</t>
        </is>
      </c>
      <c r="T23" s="2" t="inlineStr">
        <is>
          <t>Presupuesto › rubro «Talento Humano» › fuente «Contrapartida Universidad Santo Tomás, sede Villavicencio»; Cronograma › actividad 3.1</t>
        </is>
      </c>
      <c r="U23" s="4" t="inlineStr">
        <is>
          <t>El Anexo 3 declara cotizaciones pendientes (TdR 12.2: al menos dos por rubro, no subsanable)</t>
        </is>
      </c>
    </row>
    <row r="24">
      <c r="A24" s="2" t="inlineStr">
        <is>
          <t>TH-20</t>
        </is>
      </c>
      <c r="B24" s="2" t="inlineStr">
        <is>
          <t>Talento Humano</t>
        </is>
      </c>
      <c r="C24" s="2" t="inlineStr">
        <is>
          <t>Profesionales de gestión del riesgo y logística de acceso a sitios — aporte del municipio 1</t>
        </is>
      </c>
      <c r="D24" s="2" t="inlineStr">
        <is>
          <t>OE3. Uso institucional y custodia</t>
        </is>
      </c>
      <c r="E24" s="2" t="inlineStr">
        <is>
          <t>P7. Documentos de política: Documentos de planeación; P8. Servicio de apropiación social del conocimiento</t>
        </is>
      </c>
      <c r="F24" s="2" t="inlineStr">
        <is>
          <t>Por actividad (Tabla 15.1)</t>
        </is>
      </c>
      <c r="G24" s="2" t="inlineStr">
        <is>
          <t>3.1 Co-diseñar los umbrales y el protocolo de alerta con los consejos</t>
        </is>
      </c>
      <c r="H24" s="2" t="inlineStr">
        <is>
          <t>3.1, 3.2, 3.3, 3.4</t>
        </is>
      </c>
      <c r="I24" s="2" t="n">
        <v>1</v>
      </c>
      <c r="J24" s="2" t="inlineStr">
        <is>
          <t>aporte</t>
        </is>
      </c>
      <c r="K24" s="3" t="n">
        <v>60000000</v>
      </c>
      <c r="L24" s="3" t="n">
        <v>60000000</v>
      </c>
      <c r="M24" s="2" t="inlineStr">
        <is>
          <t>Contrapartida en especie</t>
        </is>
      </c>
      <c r="N24" s="2" t="inlineStr">
        <is>
          <t>Municipio de Manizales</t>
        </is>
      </c>
      <c r="O24" s="2" t="inlineStr">
        <is>
          <t>Profesionales de gestión del riesgo y logística de acceso a sitios</t>
        </is>
      </c>
      <c r="P24" s="2" t="inlineStr">
        <is>
          <t>Común a Manizales y Calarcá (sin localización en el Anexo 3)</t>
        </is>
      </c>
      <c r="Q24" s="2" t="inlineStr">
        <is>
          <t>M3–M24</t>
        </is>
      </c>
      <c r="R24" s="2" t="inlineStr">
        <is>
          <t>Tablas 26.2 y 28.7 (contrapartida); Tabla 15.2 (actividad 3.1); Tabla 28.3 (rubro); Tabla 19.4 (apropiación social)</t>
        </is>
      </c>
      <c r="S24" s="2" t="inlineStr">
        <is>
          <t>Cadena de valor › OE3 › P7. Documentos de política: Documentos de planeación › Actividad 3.1 › insumo: Mano de obra calificada (clasificación propuesta)</t>
        </is>
      </c>
      <c r="T24" s="2" t="inlineStr">
        <is>
          <t>Presupuesto › rubro «Talento Humano» › fuente «Contrapartida Municipio de Manizales»; Cronograma › actividad 3.1</t>
        </is>
      </c>
      <c r="U24" s="4" t="inlineStr">
        <is>
          <t>El Anexo 3 declara cotizaciones pendientes (TdR 12.2: al menos dos por rubro, no subsanable)</t>
        </is>
      </c>
    </row>
    <row r="25">
      <c r="A25" s="2" t="inlineStr">
        <is>
          <t>TH-21</t>
        </is>
      </c>
      <c r="B25" s="2" t="inlineStr">
        <is>
          <t>Talento Humano</t>
        </is>
      </c>
      <c r="C25" s="2" t="inlineStr">
        <is>
          <t>Profesionales de gestión del riesgo y logística de acceso a sitios — aporte del municipio 2</t>
        </is>
      </c>
      <c r="D25" s="2" t="inlineStr">
        <is>
          <t>OE3. Uso institucional y custodia</t>
        </is>
      </c>
      <c r="E25" s="2" t="inlineStr">
        <is>
          <t>P7. Documentos de política: Documentos de planeación; P8. Servicio de apropiación social del conocimiento</t>
        </is>
      </c>
      <c r="F25" s="2" t="inlineStr">
        <is>
          <t>Por actividad (Tabla 15.1)</t>
        </is>
      </c>
      <c r="G25" s="2" t="inlineStr">
        <is>
          <t>3.1 Co-diseñar los umbrales y el protocolo de alerta con los consejos</t>
        </is>
      </c>
      <c r="H25" s="2" t="inlineStr">
        <is>
          <t>3.1, 3.2, 3.3, 3.4</t>
        </is>
      </c>
      <c r="I25" s="2" t="n">
        <v>1</v>
      </c>
      <c r="J25" s="2" t="inlineStr">
        <is>
          <t>aporte</t>
        </is>
      </c>
      <c r="K25" s="3" t="n">
        <v>60000000</v>
      </c>
      <c r="L25" s="3" t="n">
        <v>60000000</v>
      </c>
      <c r="M25" s="2" t="inlineStr">
        <is>
          <t>Contrapartida en especie</t>
        </is>
      </c>
      <c r="N25" s="2" t="inlineStr">
        <is>
          <t>Municipio de Calarcá</t>
        </is>
      </c>
      <c r="O25" s="2" t="inlineStr">
        <is>
          <t>Profesionales de gestión del riesgo y logística de acceso a sitios</t>
        </is>
      </c>
      <c r="P25" s="2" t="inlineStr">
        <is>
          <t>Común a Manizales y Calarcá (sin localización en el Anexo 3)</t>
        </is>
      </c>
      <c r="Q25" s="2" t="inlineStr">
        <is>
          <t>M3–M24</t>
        </is>
      </c>
      <c r="R25" s="2" t="inlineStr">
        <is>
          <t>Tablas 26.2 y 28.7 (contrapartida); Tabla 15.2 (actividad 3.1); Tabla 28.3 (rubro); Tabla 19.4 (apropiación social)</t>
        </is>
      </c>
      <c r="S25" s="2" t="inlineStr">
        <is>
          <t>Cadena de valor › OE3 › P7. Documentos de política: Documentos de planeación › Actividad 3.1 › insumo: Mano de obra calificada (clasificación propuesta)</t>
        </is>
      </c>
      <c r="T25" s="2" t="inlineStr">
        <is>
          <t>Presupuesto › rubro «Talento Humano» › fuente «Contrapartida Municipio de Calarcá»; Cronograma › actividad 3.1</t>
        </is>
      </c>
      <c r="U25" s="4" t="inlineStr">
        <is>
          <t>El Anexo 3 declara cotizaciones pendientes (TdR 12.2: al menos dos por rubro, no subsanable)</t>
        </is>
      </c>
    </row>
    <row r="26">
      <c r="A26" s="2" t="inlineStr">
        <is>
          <t>TH-22</t>
        </is>
      </c>
      <c r="B26" s="2" t="inlineStr">
        <is>
          <t>Talento Humano</t>
        </is>
      </c>
      <c r="C26" s="2" t="inlineStr">
        <is>
          <t>Horas de investigadores y del equipo de transferencia de Avanciencia (OTRI) — aporte en especie (PROPUESTA)</t>
        </is>
      </c>
      <c r="D26" s="2" t="inlineStr">
        <is>
          <t>OE1. Medición verificada</t>
        </is>
      </c>
      <c r="E26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26" s="2" t="inlineStr">
        <is>
          <t>Por actividad (Tabla 15.1)</t>
        </is>
      </c>
      <c r="G26" s="2" t="inlineStr">
        <is>
          <t>1.1 Seleccionar los sitios y diseñar la colocalización</t>
        </is>
      </c>
      <c r="H26" s="2" t="inlineStr">
        <is>
          <t>1.1, 1.2, 1.4, 1.6, 3.3, 3.4</t>
        </is>
      </c>
      <c r="I26" s="2" t="n">
        <v>1</v>
      </c>
      <c r="J26" s="2" t="inlineStr">
        <is>
          <t>aporte</t>
        </is>
      </c>
      <c r="K26" s="3" t="n">
        <v>150000000</v>
      </c>
      <c r="L26" s="3" t="n">
        <v>150000000</v>
      </c>
      <c r="M26" s="2" t="inlineStr">
        <is>
          <t>Contrapartida en especie</t>
        </is>
      </c>
      <c r="N26" s="2" t="inlineStr">
        <is>
          <t>Avanciencia</t>
        </is>
      </c>
      <c r="O26" s="2" t="inlineStr">
        <is>
          <t>Horas de investigadores y del equipo de transferencia de Avanciencia (OTRI)</t>
        </is>
      </c>
      <c r="P26" s="2" t="inlineStr">
        <is>
          <t>Común a Manizales y Calarcá (sin localización en el Anexo 3)</t>
        </is>
      </c>
      <c r="Q26" s="2" t="inlineStr">
        <is>
          <t>M2–M24</t>
        </is>
      </c>
      <c r="R26" s="2" t="inlineStr">
        <is>
          <t>Tablas 26.2 y 28.7 (contrapartida); Tabla 15.2 (actividad 1.1); Tabla 28.3 (rubro)</t>
        </is>
      </c>
      <c r="S26" s="2" t="inlineStr">
        <is>
          <t>Cadena de valor › OE1 › P3. Servicio de apoyo financiero para la formación de maestría ya sea nacional o en el exterior, en la modalidad de investigación › Actividad 1.1 › insumo: Mano de obra calificada (clasificación propuesta)</t>
        </is>
      </c>
      <c r="T26" s="2" t="inlineStr">
        <is>
          <t>Presupuesto › rubro «Talento Humano» › fuente «Contrapartida Avanciencia»; Cronograma › actividad 1.1</t>
        </is>
      </c>
      <c r="U26" s="4" t="inlineStr">
        <is>
          <t>El Anexo 3 declara cotizaciones pendientes (TdR 12.2: al menos dos por rubro, no subsanable)</t>
        </is>
      </c>
    </row>
    <row r="27">
      <c r="A27" s="2" t="inlineStr">
        <is>
          <t>EQ-01</t>
        </is>
      </c>
      <c r="B27" s="2" t="inlineStr">
        <is>
          <t>Equipos y software</t>
        </is>
      </c>
      <c r="C27" s="2" t="inlineStr">
        <is>
          <t>Nodo IoT de medición de PM2,5 y PM10 con comunicación de baja potencia</t>
        </is>
      </c>
      <c r="D27" s="2" t="inlineStr">
        <is>
          <t>OE1. Medición verificada</t>
        </is>
      </c>
      <c r="E27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27" s="2" t="inlineStr">
        <is>
          <t>Anexo 3</t>
        </is>
      </c>
      <c r="G27" s="2" t="inlineStr">
        <is>
          <t>1.2 Adquirir y caracterizar el lote 1 de nodos y las referencias</t>
        </is>
      </c>
      <c r="H27" s="2" t="inlineStr">
        <is>
          <t>1.2, 2.3, 2.4</t>
        </is>
      </c>
      <c r="I27" s="2" t="n">
        <v>120</v>
      </c>
      <c r="J27" s="2" t="inlineStr">
        <is>
          <t>unidad</t>
        </is>
      </c>
      <c r="K27" s="3" t="n">
        <v>16082850</v>
      </c>
      <c r="L27" s="3" t="n">
        <v>1929942000</v>
      </c>
      <c r="M27" s="2" t="inlineStr">
        <is>
          <t>SGR, Asignación para la CTeI</t>
        </is>
      </c>
      <c r="N27" s="2" t="inlineStr">
        <is>
          <t>Universidad Santo Tomás (ejecutora)</t>
        </is>
      </c>
      <c r="O27" s="2" t="inlineStr">
        <is>
          <t>Especialista en metrología y calibración</t>
        </is>
      </c>
      <c r="P27" s="2" t="inlineStr">
        <is>
          <t>Común; despliegue propuesto de 50 nodos y 5 gateways por municipio (sin localización en el Anexo 3)</t>
        </is>
      </c>
      <c r="Q27" s="2" t="inlineStr">
        <is>
          <t>M4–M19</t>
        </is>
      </c>
      <c r="R27" s="2" t="inlineStr">
        <is>
          <t>Tabla 30.3 (líneas del SGR); Tabla 7.4 (equipos); Tabla 15.2 (actividad 1.2); Tabla 28.3 (rubro)</t>
        </is>
      </c>
      <c r="S27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7" s="2" t="inlineStr">
        <is>
          <t>Presupuesto › rubro «Equipos y software» › fuente «SGR»; Cronograma › actividad 1.2</t>
        </is>
      </c>
      <c r="U27" s="2" t="inlineStr"/>
    </row>
    <row r="28">
      <c r="A28" s="2" t="inlineStr">
        <is>
          <t>EQ-02</t>
        </is>
      </c>
      <c r="B28" s="2" t="inlineStr">
        <is>
          <t>Equipos y software</t>
        </is>
      </c>
      <c r="C28" s="2" t="inlineStr">
        <is>
          <t>Cabezal óptico de partículas (repuesto y reposición)</t>
        </is>
      </c>
      <c r="D28" s="2" t="inlineStr">
        <is>
          <t>OE1. Medición verificada</t>
        </is>
      </c>
      <c r="E28" s="2" t="inlineStr">
        <is>
          <t>P1. Servicio de apoyo para la generación de prototipos de materiales, productos o dispositivos</t>
        </is>
      </c>
      <c r="F28" s="2" t="inlineStr">
        <is>
          <t>Anexo 3</t>
        </is>
      </c>
      <c r="G28" s="2" t="inlineStr">
        <is>
          <t>1.2 Adquirir y caracterizar el lote 1 de nodos y las referencias</t>
        </is>
      </c>
      <c r="H28" s="2" t="inlineStr"/>
      <c r="I28" s="2" t="n">
        <v>150</v>
      </c>
      <c r="J28" s="2" t="inlineStr">
        <is>
          <t>unidad</t>
        </is>
      </c>
      <c r="K28" s="3" t="n">
        <v>1200000</v>
      </c>
      <c r="L28" s="3" t="n">
        <v>180000000</v>
      </c>
      <c r="M28" s="2" t="inlineStr">
        <is>
          <t>SGR, Asignación para la CTeI</t>
        </is>
      </c>
      <c r="N28" s="2" t="inlineStr">
        <is>
          <t>Universidad Santo Tomás (ejecutora)</t>
        </is>
      </c>
      <c r="O28" s="2" t="inlineStr">
        <is>
          <t>Especialista en metrología y calibración</t>
        </is>
      </c>
      <c r="P28" s="2" t="inlineStr">
        <is>
          <t>Común; despliegue propuesto de 50 nodos y 5 gateways por municipio (sin localización en el Anexo 3)</t>
        </is>
      </c>
      <c r="Q28" s="2" t="inlineStr">
        <is>
          <t>M4–M19</t>
        </is>
      </c>
      <c r="R28" s="2" t="inlineStr">
        <is>
          <t>Tabla 30.3 (líneas del SGR); Tabla 7.4 (equipos); Tabla 15.2 (actividad 1.2); Tabla 28.3 (rubro)</t>
        </is>
      </c>
      <c r="S28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8" s="2" t="inlineStr">
        <is>
          <t>Presupuesto › rubro «Equipos y software» › fuente «SGR»; Cronograma › actividad 1.2</t>
        </is>
      </c>
      <c r="U28" s="4" t="inlineStr">
        <is>
          <t>El Anexo 3 declara cotizaciones pendientes (TdR 12.2: al menos dos por rubro, no subsanable)</t>
        </is>
      </c>
    </row>
    <row r="29">
      <c r="A29" s="2" t="inlineStr">
        <is>
          <t>EQ-03</t>
        </is>
      </c>
      <c r="B29" s="2" t="inlineStr">
        <is>
          <t>Equipos y software</t>
        </is>
      </c>
      <c r="C29" s="2" t="inlineStr">
        <is>
          <t>Conjunto de monitores de referencia de PM2,5 y PM10 (gravimétrico, beta y óptico)</t>
        </is>
      </c>
      <c r="D29" s="2" t="inlineStr">
        <is>
          <t>OE1. Medición verificada</t>
        </is>
      </c>
      <c r="E29" s="2" t="inlineStr">
        <is>
          <t>P1. Servicio de apoyo para la generación de prototipos de materiales, productos o dispositivos</t>
        </is>
      </c>
      <c r="F29" s="2" t="inlineStr">
        <is>
          <t>Anexo 3</t>
        </is>
      </c>
      <c r="G29" s="2" t="inlineStr">
        <is>
          <t>1.2 Adquirir y caracterizar el lote 1 de nodos y las referencias</t>
        </is>
      </c>
      <c r="H29" s="2" t="inlineStr">
        <is>
          <t>1.2</t>
        </is>
      </c>
      <c r="I29" s="2" t="n">
        <v>1</v>
      </c>
      <c r="J29" s="2" t="inlineStr">
        <is>
          <t>conjunto</t>
        </is>
      </c>
      <c r="K29" s="3" t="n">
        <v>772909266</v>
      </c>
      <c r="L29" s="3" t="n">
        <v>772909266</v>
      </c>
      <c r="M29" s="2" t="inlineStr">
        <is>
          <t>SGR, Asignación para la CTeI</t>
        </is>
      </c>
      <c r="N29" s="2" t="inlineStr">
        <is>
          <t>Universidad Santo Tomás (ejecutora)</t>
        </is>
      </c>
      <c r="O29" s="2" t="inlineStr">
        <is>
          <t>Especialista en metrología y calibración</t>
        </is>
      </c>
      <c r="P29" s="2" t="inlineStr">
        <is>
          <t>Común a Manizales y Calarcá (sin localización en el Anexo 3)</t>
        </is>
      </c>
      <c r="Q29" s="2" t="inlineStr">
        <is>
          <t>M4–M6</t>
        </is>
      </c>
      <c r="R29" s="2" t="inlineStr">
        <is>
          <t>Tabla 30.3 (líneas del SGR); Tabla 7.4 (equipos); Tabla 15.2 (actividad 1.2); Tabla 28.3 (rubro)</t>
        </is>
      </c>
      <c r="S29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29" s="2" t="inlineStr">
        <is>
          <t>Presupuesto › rubro «Equipos y software» › fuente «SGR»; Cronograma › actividad 1.2</t>
        </is>
      </c>
      <c r="U29" s="4" t="inlineStr">
        <is>
          <t>El texto del Anexo 3 asigna custodia al actor del SNCTI; en el Anexo 2 la custodia es de la universidad</t>
        </is>
      </c>
    </row>
    <row r="30">
      <c r="A30" s="2" t="inlineStr">
        <is>
          <t>EQ-04</t>
        </is>
      </c>
      <c r="B30" s="2" t="inlineStr">
        <is>
          <t>Equipos y software</t>
        </is>
      </c>
      <c r="C30" s="2" t="inlineStr">
        <is>
          <t>Gateway LoRaWAN con energía solar y respaldo</t>
        </is>
      </c>
      <c r="D30" s="2" t="inlineStr">
        <is>
          <t>OE1. Medición verificada</t>
        </is>
      </c>
      <c r="E30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30" s="2" t="inlineStr">
        <is>
          <t>Anexo 3</t>
        </is>
      </c>
      <c r="G30" s="2" t="inlineStr">
        <is>
          <t>1.2 Adquirir y caracterizar el lote 1 de nodos y las referencias</t>
        </is>
      </c>
      <c r="H30" s="2" t="inlineStr">
        <is>
          <t>1.2, 2.3, 2.4</t>
        </is>
      </c>
      <c r="I30" s="2" t="n">
        <v>11</v>
      </c>
      <c r="J30" s="2" t="inlineStr">
        <is>
          <t>unidad</t>
        </is>
      </c>
      <c r="K30" s="3" t="n">
        <v>4952304</v>
      </c>
      <c r="L30" s="3" t="n">
        <v>54475344</v>
      </c>
      <c r="M30" s="2" t="inlineStr">
        <is>
          <t>SGR, Asignación para la CTeI</t>
        </is>
      </c>
      <c r="N30" s="2" t="inlineStr">
        <is>
          <t>Universidad Santo Tomás (ejecutora)</t>
        </is>
      </c>
      <c r="O30" s="2" t="inlineStr">
        <is>
          <t>Especialista en metrología y calibración</t>
        </is>
      </c>
      <c r="P30" s="2" t="inlineStr">
        <is>
          <t>Común; despliegue propuesto de 50 nodos y 5 gateways por municipio (sin localización en el Anexo 3)</t>
        </is>
      </c>
      <c r="Q30" s="2" t="inlineStr">
        <is>
          <t>M4–M19</t>
        </is>
      </c>
      <c r="R30" s="2" t="inlineStr">
        <is>
          <t>Tabla 30.3 (líneas del SGR); Tabla 7.4 (equipos); Tabla 15.2 (actividad 1.2); Tabla 28.3 (rubro)</t>
        </is>
      </c>
      <c r="S30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30" s="2" t="inlineStr">
        <is>
          <t>Presupuesto › rubro «Equipos y software» › fuente «SGR»; Cronograma › actividad 1.2</t>
        </is>
      </c>
      <c r="U30" s="2" t="inlineStr"/>
    </row>
    <row r="31">
      <c r="A31" s="2" t="inlineStr">
        <is>
          <t>EQ-05</t>
        </is>
      </c>
      <c r="B31" s="2" t="inlineStr">
        <is>
          <t>Equipos y software</t>
        </is>
      </c>
      <c r="C31" s="2" t="inlineStr">
        <is>
          <t>Kit de energía solar y batería para nodos</t>
        </is>
      </c>
      <c r="D31" s="2" t="inlineStr">
        <is>
          <t>OE1. Medición verificada</t>
        </is>
      </c>
      <c r="E31" s="2" t="inlineStr">
        <is>
          <t>P1. Servicio de apoyo para la generación de prototipos de materiales, productos o dispositivos</t>
        </is>
      </c>
      <c r="F31" s="2" t="inlineStr">
        <is>
          <t>Anexo 3</t>
        </is>
      </c>
      <c r="G31" s="2" t="inlineStr">
        <is>
          <t>1.2 Adquirir y caracterizar el lote 1 de nodos y las referencias</t>
        </is>
      </c>
      <c r="H31" s="2" t="inlineStr"/>
      <c r="I31" s="2" t="n">
        <v>120</v>
      </c>
      <c r="J31" s="2" t="inlineStr">
        <is>
          <t>unidad</t>
        </is>
      </c>
      <c r="K31" s="3" t="n">
        <v>650000</v>
      </c>
      <c r="L31" s="3" t="n">
        <v>78000000</v>
      </c>
      <c r="M31" s="2" t="inlineStr">
        <is>
          <t>SGR, Asignación para la CTeI</t>
        </is>
      </c>
      <c r="N31" s="2" t="inlineStr">
        <is>
          <t>Universidad Santo Tomás (ejecutora)</t>
        </is>
      </c>
      <c r="O31" s="2" t="inlineStr">
        <is>
          <t>Especialista en metrología y calibración</t>
        </is>
      </c>
      <c r="P31" s="2" t="inlineStr">
        <is>
          <t>Común; despliegue propuesto de 50 nodos y 5 gateways por municipio (sin localización en el Anexo 3)</t>
        </is>
      </c>
      <c r="Q31" s="2" t="inlineStr">
        <is>
          <t>M4–M19</t>
        </is>
      </c>
      <c r="R31" s="2" t="inlineStr">
        <is>
          <t>Tabla 30.3 (líneas del SGR); Tabla 7.4 (equipos); Tabla 15.2 (actividad 1.2); Tabla 28.3 (rubro)</t>
        </is>
      </c>
      <c r="S31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31" s="2" t="inlineStr">
        <is>
          <t>Presupuesto › rubro «Equipos y software» › fuente «SGR»; Cronograma › actividad 1.2</t>
        </is>
      </c>
      <c r="U31" s="4" t="inlineStr">
        <is>
          <t>El Anexo 3 declara cotizaciones pendientes (TdR 12.2: al menos dos por rubro, no subsanable)</t>
        </is>
      </c>
    </row>
    <row r="32">
      <c r="A32" s="2" t="inlineStr">
        <is>
          <t>EQ-06</t>
        </is>
      </c>
      <c r="B32" s="2" t="inlineStr">
        <is>
          <t>Equipos y software</t>
        </is>
      </c>
      <c r="C32" s="2" t="inlineStr">
        <is>
          <t>Terminal de internet satelital de respaldo</t>
        </is>
      </c>
      <c r="D32" s="2" t="inlineStr">
        <is>
          <t>OE1. Medición verificada</t>
        </is>
      </c>
      <c r="E32" s="2" t="inlineStr">
        <is>
          <t>P1. Servicio de apoyo para la generación de prototipos de materiales, productos o dispositivos</t>
        </is>
      </c>
      <c r="F32" s="2" t="inlineStr">
        <is>
          <t>Anexo 3</t>
        </is>
      </c>
      <c r="G32" s="2" t="inlineStr">
        <is>
          <t>1.3 Instalar el tramo 1, colocalizar y calibrar en el piloto</t>
        </is>
      </c>
      <c r="H32" s="2" t="inlineStr"/>
      <c r="I32" s="2" t="n">
        <v>10</v>
      </c>
      <c r="J32" s="2" t="inlineStr">
        <is>
          <t>unidad</t>
        </is>
      </c>
      <c r="K32" s="3" t="n">
        <v>3500000</v>
      </c>
      <c r="L32" s="3" t="n">
        <v>35000000</v>
      </c>
      <c r="M32" s="2" t="inlineStr">
        <is>
          <t>SGR, Asignación para la CTeI</t>
        </is>
      </c>
      <c r="N32" s="2" t="inlineStr">
        <is>
          <t>Universidad Santo Tomás (ejecutora)</t>
        </is>
      </c>
      <c r="O32" s="2" t="inlineStr">
        <is>
          <t>Técnicos de campo y especialista en metrología</t>
        </is>
      </c>
      <c r="P32" s="2" t="inlineStr">
        <is>
          <t>Común a Manizales y Calarcá (sin localización en el Anexo 3)</t>
        </is>
      </c>
      <c r="Q32" s="2" t="inlineStr">
        <is>
          <t>M6–M19</t>
        </is>
      </c>
      <c r="R32" s="2" t="inlineStr">
        <is>
          <t>Tabla 30.3 (líneas del SGR); Tabla 7.4 (equipos); Tabla 15.2 (actividad 1.3); Tabla 28.3 (rubro)</t>
        </is>
      </c>
      <c r="S32" s="2" t="inlineStr">
        <is>
          <t>Cadena de valor › OE1 › P1. Servicio de apoyo para la generación de prototipos de materiales, productos o dispositivos › Actividad 1.3 › insumo: Maquinaria y equipo; software (clasificación propuesta)</t>
        </is>
      </c>
      <c r="T32" s="2" t="inlineStr">
        <is>
          <t>Presupuesto › rubro «Equipos y software» › fuente «SGR»; Cronograma › actividad 1.3</t>
        </is>
      </c>
      <c r="U32" s="4" t="inlineStr">
        <is>
          <t>El Anexo 3 declara cotizaciones pendientes (TdR 12.2: al menos dos por rubro, no subsanable)</t>
        </is>
      </c>
    </row>
    <row r="33">
      <c r="A33" s="2" t="inlineStr">
        <is>
          <t>EQ-07</t>
        </is>
      </c>
      <c r="B33" s="2" t="inlineStr">
        <is>
          <t>Equipos y software</t>
        </is>
      </c>
      <c r="C33" s="2" t="inlineStr">
        <is>
          <t>Banco de calibración de partículas: impactador eléctrico y generadores de aerosol</t>
        </is>
      </c>
      <c r="D33" s="2" t="inlineStr">
        <is>
          <t>OE1. Medición verificada</t>
        </is>
      </c>
      <c r="E33" s="2" t="inlineStr">
        <is>
          <t>P1. Servicio de apoyo para la generación de prototipos de materiales, productos o dispositivos</t>
        </is>
      </c>
      <c r="F33" s="2" t="inlineStr">
        <is>
          <t>Anexo 3</t>
        </is>
      </c>
      <c r="G33" s="2" t="inlineStr">
        <is>
          <t>1.2 Adquirir y caracterizar el lote 1 de nodos y las referencias</t>
        </is>
      </c>
      <c r="H33" s="2" t="inlineStr">
        <is>
          <t>1.2</t>
        </is>
      </c>
      <c r="I33" s="2" t="n">
        <v>1</v>
      </c>
      <c r="J33" s="2" t="inlineStr">
        <is>
          <t>unidad</t>
        </is>
      </c>
      <c r="K33" s="3" t="n">
        <v>1219650407</v>
      </c>
      <c r="L33" s="3" t="n">
        <v>1219650407</v>
      </c>
      <c r="M33" s="2" t="inlineStr">
        <is>
          <t>SGR, Asignación para la CTeI</t>
        </is>
      </c>
      <c r="N33" s="2" t="inlineStr">
        <is>
          <t>Universidad Santo Tomás (ejecutora)</t>
        </is>
      </c>
      <c r="O33" s="2" t="inlineStr">
        <is>
          <t>Especialista en metrología y calibración</t>
        </is>
      </c>
      <c r="P33" s="2" t="inlineStr">
        <is>
          <t>Común a Manizales y Calarcá (sin localización en el Anexo 3)</t>
        </is>
      </c>
      <c r="Q33" s="2" t="inlineStr">
        <is>
          <t>M4–M6</t>
        </is>
      </c>
      <c r="R33" s="2" t="inlineStr">
        <is>
          <t>Tabla 30.3 (líneas del SGR); Tabla 7.4 (equipos); Tabla 15.2 (actividad 1.2); Tabla 28.3 (rubro)</t>
        </is>
      </c>
      <c r="S33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33" s="2" t="inlineStr">
        <is>
          <t>Presupuesto › rubro «Equipos y software» › fuente «SGR»; Cronograma › actividad 1.2</t>
        </is>
      </c>
      <c r="U33" s="2" t="inlineStr"/>
    </row>
    <row r="34">
      <c r="A34" s="2" t="inlineStr">
        <is>
          <t>EQ-08</t>
        </is>
      </c>
      <c r="B34" s="2" t="inlineStr">
        <is>
          <t>Equipos y software</t>
        </is>
      </c>
      <c r="C34" s="2" t="inlineStr">
        <is>
          <t>Estación de trabajo para entrenamiento de modelos</t>
        </is>
      </c>
      <c r="D34" s="2" t="inlineStr">
        <is>
          <t>OE1. Medición verificada</t>
        </is>
      </c>
      <c r="E34" s="2" t="inlineStr">
        <is>
          <t>P1. Servicio de apoyo para la generación de prototipos de materiales, productos o dispositivos</t>
        </is>
      </c>
      <c r="F34" s="2" t="inlineStr">
        <is>
          <t>Anexo 3</t>
        </is>
      </c>
      <c r="G34" s="2" t="inlineStr">
        <is>
          <t>1.4 Entrenar y validar el modelo de corrección y decidir en la compuerta C1</t>
        </is>
      </c>
      <c r="H34" s="2" t="inlineStr"/>
      <c r="I34" s="2" t="n">
        <v>2</v>
      </c>
      <c r="J34" s="2" t="inlineStr">
        <is>
          <t>unidad</t>
        </is>
      </c>
      <c r="K34" s="3" t="n">
        <v>25000000</v>
      </c>
      <c r="L34" s="3" t="n">
        <v>50000000</v>
      </c>
      <c r="M34" s="2" t="inlineStr">
        <is>
          <t>SGR, Asignación para la CTeI</t>
        </is>
      </c>
      <c r="N34" s="2" t="inlineStr">
        <is>
          <t>Universidad Santo Tomás (ejecutora)</t>
        </is>
      </c>
      <c r="O34" s="2" t="inlineStr">
        <is>
          <t>Analista de datos espaciales e ingenieros de software</t>
        </is>
      </c>
      <c r="P34" s="2" t="inlineStr">
        <is>
          <t>Común a Manizales y Calarcá (sin localización en el Anexo 3)</t>
        </is>
      </c>
      <c r="Q34" s="2" t="inlineStr">
        <is>
          <t>M10–M12</t>
        </is>
      </c>
      <c r="R34" s="2" t="inlineStr">
        <is>
          <t>Tabla 30.3 (líneas del SGR); Tabla 7.4 (equipos); Tabla 15.2 (actividad 1.4); Tabla 28.3 (rubro)</t>
        </is>
      </c>
      <c r="S34" s="2" t="inlineStr">
        <is>
          <t>Cadena de valor › OE1 › P1. Servicio de apoyo para la generación de prototipos de materiales, productos o dispositivos › Actividad 1.4 › insumo: Maquinaria y equipo; software (clasificación propuesta)</t>
        </is>
      </c>
      <c r="T34" s="2" t="inlineStr">
        <is>
          <t>Presupuesto › rubro «Equipos y software» › fuente «SGR»; Cronograma › actividad 1.4</t>
        </is>
      </c>
      <c r="U34" s="4" t="inlineStr">
        <is>
          <t>El Anexo 3 declara cotizaciones pendientes (TdR 12.2: al menos dos por rubro, no subsanable)</t>
        </is>
      </c>
    </row>
    <row r="35">
      <c r="A35" s="2" t="inlineStr">
        <is>
          <t>EQ-09</t>
        </is>
      </c>
      <c r="B35" s="2" t="inlineStr">
        <is>
          <t>Equipos y software</t>
        </is>
      </c>
      <c r="C35" s="2" t="inlineStr">
        <is>
          <t>Equipos de campo e instrumentación (lote)</t>
        </is>
      </c>
      <c r="D35" s="2" t="inlineStr">
        <is>
          <t>OE1. Medición verificada</t>
        </is>
      </c>
      <c r="E35" s="2" t="inlineStr">
        <is>
          <t>P1. Servicio de apoyo para la generación de prototipos de materiales, productos o dispositivos</t>
        </is>
      </c>
      <c r="F35" s="2" t="inlineStr">
        <is>
          <t>Anexo 3</t>
        </is>
      </c>
      <c r="G35" s="2" t="inlineStr">
        <is>
          <t>1.3 Instalar el tramo 1, colocalizar y calibrar en el piloto</t>
        </is>
      </c>
      <c r="H35" s="2" t="inlineStr"/>
      <c r="I35" s="2" t="n">
        <v>1</v>
      </c>
      <c r="J35" s="2" t="inlineStr">
        <is>
          <t>lote</t>
        </is>
      </c>
      <c r="K35" s="3" t="n">
        <v>30000000</v>
      </c>
      <c r="L35" s="3" t="n">
        <v>30000000</v>
      </c>
      <c r="M35" s="2" t="inlineStr">
        <is>
          <t>SGR, Asignación para la CTeI</t>
        </is>
      </c>
      <c r="N35" s="2" t="inlineStr">
        <is>
          <t>Universidad Santo Tomás (ejecutora)</t>
        </is>
      </c>
      <c r="O35" s="2" t="inlineStr">
        <is>
          <t>Técnicos de campo y especialista en metrología</t>
        </is>
      </c>
      <c r="P35" s="2" t="inlineStr">
        <is>
          <t>Común a Manizales y Calarcá (sin localización en el Anexo 3)</t>
        </is>
      </c>
      <c r="Q35" s="2" t="inlineStr">
        <is>
          <t>M6–M10</t>
        </is>
      </c>
      <c r="R35" s="2" t="inlineStr">
        <is>
          <t>Tabla 30.3 (líneas del SGR); Tabla 7.4 (equipos); Tabla 15.2 (actividad 1.3); Tabla 28.3 (rubro)</t>
        </is>
      </c>
      <c r="S35" s="2" t="inlineStr">
        <is>
          <t>Cadena de valor › OE1 › P1. Servicio de apoyo para la generación de prototipos de materiales, productos o dispositivos › Actividad 1.3 › insumo: Maquinaria y equipo; software (clasificación propuesta)</t>
        </is>
      </c>
      <c r="T35" s="2" t="inlineStr">
        <is>
          <t>Presupuesto › rubro «Equipos y software» › fuente «SGR»; Cronograma › actividad 1.3</t>
        </is>
      </c>
      <c r="U35" s="4" t="inlineStr">
        <is>
          <t>El Anexo 3 declara cotizaciones pendientes (TdR 12.2: al menos dos por rubro, no subsanable)</t>
        </is>
      </c>
    </row>
    <row r="36">
      <c r="A36" s="2" t="inlineStr">
        <is>
          <t>EQ-10</t>
        </is>
      </c>
      <c r="B36" s="2" t="inlineStr">
        <is>
          <t>Equipos y software</t>
        </is>
      </c>
      <c r="C36" s="2" t="inlineStr">
        <is>
          <t>Instancias en la nube reservadas (24 meses)</t>
        </is>
      </c>
      <c r="D36" s="2" t="inlineStr">
        <is>
          <t>OE2. Disponibilidad de la red</t>
        </is>
      </c>
      <c r="E36" s="2" t="inlineStr">
        <is>
          <t>P6. Servicio de apoyo financiero para programas y proyectos de infraestructura científica y tecnológica</t>
        </is>
      </c>
      <c r="F36" s="2" t="inlineStr">
        <is>
          <t>Anexo 3</t>
        </is>
      </c>
      <c r="G36" s="2" t="inlineStr">
        <is>
          <t>2.2 Desarrollar el firmware y la plataforma base (gemelo digital y tablero)</t>
        </is>
      </c>
      <c r="H36" s="2" t="inlineStr"/>
      <c r="I36" s="2" t="n">
        <v>1</v>
      </c>
      <c r="J36" s="2" t="inlineStr">
        <is>
          <t>clúster</t>
        </is>
      </c>
      <c r="K36" s="3" t="n">
        <v>180000000</v>
      </c>
      <c r="L36" s="3" t="n">
        <v>180000000</v>
      </c>
      <c r="M36" s="2" t="inlineStr">
        <is>
          <t>SGR, Asignación para la CTeI</t>
        </is>
      </c>
      <c r="N36" s="2" t="inlineStr">
        <is>
          <t>Universidad Santo Tomás (ejecutora)</t>
        </is>
      </c>
      <c r="O36" s="2" t="inlineStr">
        <is>
          <t>Ingenieros de software y nube</t>
        </is>
      </c>
      <c r="P36" s="2" t="inlineStr">
        <is>
          <t>Común a Manizales y Calarcá (sin localización en el Anexo 3)</t>
        </is>
      </c>
      <c r="Q36" s="2" t="inlineStr">
        <is>
          <t>M4–M6</t>
        </is>
      </c>
      <c r="R36" s="2" t="inlineStr">
        <is>
          <t>Tabla 30.3 (líneas del SGR); Tabla 7.4 (equipos); Tabla 15.2 (actividad 2.2); Tabla 28.3 (rubro)</t>
        </is>
      </c>
      <c r="S36" s="2" t="inlineStr">
        <is>
          <t>Cadena de valor › OE2 › P6. Servicio de apoyo financiero para programas y proyectos de infraestructura científica y tecnológica › Actividad 2.2 › insumo: Maquinaria y equipo; software (clasificación propuesta)</t>
        </is>
      </c>
      <c r="T36" s="2" t="inlineStr">
        <is>
          <t>Presupuesto › rubro «Equipos y software» › fuente «SGR»; Cronograma › actividad 2.2</t>
        </is>
      </c>
      <c r="U36" s="4" t="inlineStr">
        <is>
          <t>El Anexo 3 declara cotizaciones pendientes (TdR 12.2: al menos dos por rubro, no subsanable)</t>
        </is>
      </c>
    </row>
    <row r="37">
      <c r="A37" s="2" t="inlineStr">
        <is>
          <t>EQ-11</t>
        </is>
      </c>
      <c r="B37" s="2" t="inlineStr">
        <is>
          <t>Equipos y software</t>
        </is>
      </c>
      <c r="C37" s="2" t="inlineStr">
        <is>
          <t>Software de analítica y repositorios</t>
        </is>
      </c>
      <c r="D37" s="2" t="inlineStr">
        <is>
          <t>OE2. Disponibilidad de la red</t>
        </is>
      </c>
      <c r="E37" s="2" t="inlineStr">
        <is>
          <t>P6. Servicio de apoyo financiero para programas y proyectos de infraestructura científica y tecnológica</t>
        </is>
      </c>
      <c r="F37" s="2" t="inlineStr">
        <is>
          <t>Anexo 3</t>
        </is>
      </c>
      <c r="G37" s="2" t="inlineStr">
        <is>
          <t>2.2 Desarrollar el firmware y la plataforma base (gemelo digital y tablero)</t>
        </is>
      </c>
      <c r="H37" s="2" t="inlineStr"/>
      <c r="I37" s="2" t="n">
        <v>1</v>
      </c>
      <c r="J37" s="2" t="inlineStr">
        <is>
          <t>paquete</t>
        </is>
      </c>
      <c r="K37" s="3" t="n">
        <v>45000000</v>
      </c>
      <c r="L37" s="3" t="n">
        <v>45000000</v>
      </c>
      <c r="M37" s="2" t="inlineStr">
        <is>
          <t>SGR, Asignación para la CTeI</t>
        </is>
      </c>
      <c r="N37" s="2" t="inlineStr">
        <is>
          <t>Universidad Santo Tomás (ejecutora)</t>
        </is>
      </c>
      <c r="O37" s="2" t="inlineStr">
        <is>
          <t>Ingenieros de software y nube</t>
        </is>
      </c>
      <c r="P37" s="2" t="inlineStr">
        <is>
          <t>Común a Manizales y Calarcá (sin localización en el Anexo 3)</t>
        </is>
      </c>
      <c r="Q37" s="2" t="inlineStr">
        <is>
          <t>M4–M6</t>
        </is>
      </c>
      <c r="R37" s="2" t="inlineStr">
        <is>
          <t>Tabla 30.3 (líneas del SGR); Tabla 7.4 (equipos); Tabla 15.2 (actividad 2.2); Tabla 28.3 (rubro)</t>
        </is>
      </c>
      <c r="S37" s="2" t="inlineStr">
        <is>
          <t>Cadena de valor › OE2 › P6. Servicio de apoyo financiero para programas y proyectos de infraestructura científica y tecnológica › Actividad 2.2 › insumo: Maquinaria y equipo; software (clasificación propuesta)</t>
        </is>
      </c>
      <c r="T37" s="2" t="inlineStr">
        <is>
          <t>Presupuesto › rubro «Equipos y software» › fuente «SGR»; Cronograma › actividad 2.2</t>
        </is>
      </c>
      <c r="U37" s="4" t="inlineStr">
        <is>
          <t>El Anexo 3 declara cotizaciones pendientes (TdR 12.2: al menos dos por rubro, no subsanable)</t>
        </is>
      </c>
    </row>
    <row r="38">
      <c r="A38" s="2" t="inlineStr">
        <is>
          <t>EQ-17</t>
        </is>
      </c>
      <c r="B38" s="2" t="inlineStr">
        <is>
          <t>Equipos y software</t>
        </is>
      </c>
      <c r="C38" s="2" t="inlineStr">
        <is>
          <t>Servidor de cálculo de alto rendimiento y almacenamiento del laboratorio de modelación</t>
        </is>
      </c>
      <c r="D38" s="2" t="inlineStr">
        <is>
          <t>OE2. Disponibilidad de la red</t>
        </is>
      </c>
      <c r="E38" s="2" t="inlineStr">
        <is>
          <t>P6. Servicio de apoyo financiero para programas y proyectos de infraestructura científica y tecnológica</t>
        </is>
      </c>
      <c r="F38" s="2" t="inlineStr">
        <is>
          <t>Anexo 3</t>
        </is>
      </c>
      <c r="G38" s="2" t="inlineStr">
        <is>
          <t>2.6 Dotar el laboratorio y montar la cadena de modelación</t>
        </is>
      </c>
      <c r="H38" s="2" t="inlineStr"/>
      <c r="I38" s="2" t="n">
        <v>1</v>
      </c>
      <c r="J38" s="2" t="inlineStr">
        <is>
          <t>unidad</t>
        </is>
      </c>
      <c r="K38" s="3" t="n">
        <v>160000000</v>
      </c>
      <c r="L38" s="3" t="n">
        <v>160000000</v>
      </c>
      <c r="M38" s="2" t="inlineStr">
        <is>
          <t>SGR, Asignación para la CTeI</t>
        </is>
      </c>
      <c r="N38" s="2" t="inlineStr">
        <is>
          <t>Universidad Santo Tomás (ejecutora)</t>
        </is>
      </c>
      <c r="O38" s="2" t="inlineStr">
        <is>
          <t>Investigador líder en modelación</t>
        </is>
      </c>
      <c r="P38" s="2" t="inlineStr">
        <is>
          <t>Común a Manizales y Calarcá (sin localización en el Anexo 3)</t>
        </is>
      </c>
      <c r="Q38" s="2" t="inlineStr">
        <is>
          <t>M7–M11</t>
        </is>
      </c>
      <c r="R38" s="2" t="inlineStr">
        <is>
          <t>Tabla 30.3 (líneas del SGR); Tabla 7.4 (equipos); Tabla 15.2 (actividad 2.6); Tabla 28.3 (rubro)</t>
        </is>
      </c>
      <c r="S38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8" s="2" t="inlineStr">
        <is>
          <t>Presupuesto › rubro «Equipos y software» › fuente «SGR»; Cronograma › actividad 2.6</t>
        </is>
      </c>
      <c r="U38" s="4" t="inlineStr">
        <is>
          <t>El Anexo 3 declara cotizaciones pendientes (TdR 12.2: al menos dos por rubro, no subsanable)</t>
        </is>
      </c>
    </row>
    <row r="39">
      <c r="A39" s="2" t="inlineStr">
        <is>
          <t>EQ-18</t>
        </is>
      </c>
      <c r="B39" s="2" t="inlineStr">
        <is>
          <t>Equipos y software</t>
        </is>
      </c>
      <c r="C39" s="2" t="inlineStr">
        <is>
          <t>Estaciones meteorológicas automáticas con anemómetro sónico, pluviómetro y radiómetro</t>
        </is>
      </c>
      <c r="D39" s="2" t="inlineStr">
        <is>
          <t>OE2. Disponibilidad de la red</t>
        </is>
      </c>
      <c r="E39" s="2" t="inlineStr">
        <is>
          <t>P6. Servicio de apoyo financiero para programas y proyectos de infraestructura científica y tecnológica</t>
        </is>
      </c>
      <c r="F39" s="2" t="inlineStr">
        <is>
          <t>Anexo 3</t>
        </is>
      </c>
      <c r="G39" s="2" t="inlineStr">
        <is>
          <t>2.6 Dotar el laboratorio y montar la cadena de modelación</t>
        </is>
      </c>
      <c r="H39" s="2" t="inlineStr"/>
      <c r="I39" s="2" t="n">
        <v>4</v>
      </c>
      <c r="J39" s="2" t="inlineStr">
        <is>
          <t>unidad</t>
        </is>
      </c>
      <c r="K39" s="3" t="n">
        <v>32000000</v>
      </c>
      <c r="L39" s="3" t="n">
        <v>128000000</v>
      </c>
      <c r="M39" s="2" t="inlineStr">
        <is>
          <t>SGR, Asignación para la CTeI</t>
        </is>
      </c>
      <c r="N39" s="2" t="inlineStr">
        <is>
          <t>Universidad Santo Tomás (ejecutora)</t>
        </is>
      </c>
      <c r="O39" s="2" t="inlineStr">
        <is>
          <t>Investigador líder en modelación</t>
        </is>
      </c>
      <c r="P39" s="2" t="inlineStr">
        <is>
          <t>Manizales $ 32.000.000; Calarcá $ 32.000.000; común $ 64.000.000 (una estación por municipio; la de laboratorio y la móvil son comunes)</t>
        </is>
      </c>
      <c r="Q39" s="2" t="inlineStr">
        <is>
          <t>M7–M11</t>
        </is>
      </c>
      <c r="R39" s="2" t="inlineStr">
        <is>
          <t>Tabla 30.3 (líneas del SGR); Tabla 7.4 (equipos); Tabla 15.2 (actividad 2.6); Tabla 28.3 (rubro); Tablas 15.3 y 28.5 (municipio)</t>
        </is>
      </c>
      <c r="S39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39" s="2" t="inlineStr">
        <is>
          <t>Presupuesto › rubro «Equipos y software» › fuente «SGR»; Cronograma › actividad 2.6</t>
        </is>
      </c>
      <c r="U39" s="4" t="inlineStr">
        <is>
          <t>El Anexo 3 declara cotizaciones pendientes (TdR 12.2: al menos dos por rubro, no subsanable)</t>
        </is>
      </c>
    </row>
    <row r="40">
      <c r="A40" s="2" t="inlineStr">
        <is>
          <t>EQ-19</t>
        </is>
      </c>
      <c r="B40" s="2" t="inlineStr">
        <is>
          <t>Equipos y software</t>
        </is>
      </c>
      <c r="C40" s="2" t="inlineStr">
        <is>
          <t>Dron con sensor LiDAR, cámara fotogramétrica y receptor GNSS RTK</t>
        </is>
      </c>
      <c r="D40" s="2" t="inlineStr">
        <is>
          <t>OE2. Disponibilidad de la red</t>
        </is>
      </c>
      <c r="E40" s="2" t="inlineStr">
        <is>
          <t>P6. Servicio de apoyo financiero para programas y proyectos de infraestructura científica y tecnológica</t>
        </is>
      </c>
      <c r="F40" s="2" t="inlineStr">
        <is>
          <t>Anexo 3</t>
        </is>
      </c>
      <c r="G40" s="2" t="inlineStr">
        <is>
          <t>2.6 Dotar el laboratorio y montar la cadena de modelación</t>
        </is>
      </c>
      <c r="H40" s="2" t="inlineStr"/>
      <c r="I40" s="2" t="n">
        <v>1</v>
      </c>
      <c r="J40" s="2" t="inlineStr">
        <is>
          <t>unidad</t>
        </is>
      </c>
      <c r="K40" s="3" t="n">
        <v>105000000</v>
      </c>
      <c r="L40" s="3" t="n">
        <v>105000000</v>
      </c>
      <c r="M40" s="2" t="inlineStr">
        <is>
          <t>SGR, Asignación para la CTeI</t>
        </is>
      </c>
      <c r="N40" s="2" t="inlineStr">
        <is>
          <t>Universidad Santo Tomás (ejecutora)</t>
        </is>
      </c>
      <c r="O40" s="2" t="inlineStr">
        <is>
          <t>Investigador líder en modelación</t>
        </is>
      </c>
      <c r="P40" s="2" t="inlineStr">
        <is>
          <t>Común a Manizales y Calarcá (sin localización en el Anexo 3)</t>
        </is>
      </c>
      <c r="Q40" s="2" t="inlineStr">
        <is>
          <t>M7–M11</t>
        </is>
      </c>
      <c r="R40" s="2" t="inlineStr">
        <is>
          <t>Tabla 30.3 (líneas del SGR); Tabla 7.4 (equipos); Tabla 15.2 (actividad 2.6); Tabla 28.3 (rubro)</t>
        </is>
      </c>
      <c r="S40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40" s="2" t="inlineStr">
        <is>
          <t>Presupuesto › rubro «Equipos y software» › fuente «SGR»; Cronograma › actividad 2.6</t>
        </is>
      </c>
      <c r="U40" s="4" t="inlineStr">
        <is>
          <t>El Anexo 3 declara cotizaciones pendientes (TdR 12.2: al menos dos por rubro, no subsanable)</t>
        </is>
      </c>
    </row>
    <row r="41">
      <c r="A41" s="2" t="inlineStr">
        <is>
          <t>EQ-20</t>
        </is>
      </c>
      <c r="B41" s="2" t="inlineStr">
        <is>
          <t>Equipos y software</t>
        </is>
      </c>
      <c r="C41" s="2" t="inlineStr">
        <is>
          <t>Monitores portátiles de material particulado de referencia equivalente para campañas de demolición</t>
        </is>
      </c>
      <c r="D41" s="2" t="inlineStr">
        <is>
          <t>OE2. Disponibilidad de la red</t>
        </is>
      </c>
      <c r="E41" s="2" t="inlineStr">
        <is>
          <t>P6. Servicio de apoyo financiero para programas y proyectos de infraestructura científica y tecnológica</t>
        </is>
      </c>
      <c r="F41" s="2" t="inlineStr">
        <is>
          <t>Anexo 3</t>
        </is>
      </c>
      <c r="G41" s="2" t="inlineStr">
        <is>
          <t>2.6 Dotar el laboratorio y montar la cadena de modelación</t>
        </is>
      </c>
      <c r="H41" s="2" t="inlineStr"/>
      <c r="I41" s="2" t="n">
        <v>2</v>
      </c>
      <c r="J41" s="2" t="inlineStr">
        <is>
          <t>unidad</t>
        </is>
      </c>
      <c r="K41" s="3" t="n">
        <v>72000000</v>
      </c>
      <c r="L41" s="3" t="n">
        <v>144000000</v>
      </c>
      <c r="M41" s="2" t="inlineStr">
        <is>
          <t>SGR, Asignación para la CTeI</t>
        </is>
      </c>
      <c r="N41" s="2" t="inlineStr">
        <is>
          <t>Universidad Santo Tomás (ejecutora)</t>
        </is>
      </c>
      <c r="O41" s="2" t="inlineStr">
        <is>
          <t>Investigador líder en modelación</t>
        </is>
      </c>
      <c r="P41" s="2" t="inlineStr">
        <is>
          <t>Común a Manizales y Calarcá (sin localización en el Anexo 3)</t>
        </is>
      </c>
      <c r="Q41" s="2" t="inlineStr">
        <is>
          <t>M7–M11</t>
        </is>
      </c>
      <c r="R41" s="2" t="inlineStr">
        <is>
          <t>Tabla 30.3 (líneas del SGR); Tabla 7.4 (equipos); Tabla 15.2 (actividad 2.6); Tabla 28.3 (rubro)</t>
        </is>
      </c>
      <c r="S41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41" s="2" t="inlineStr">
        <is>
          <t>Presupuesto › rubro «Equipos y software» › fuente «SGR»; Cronograma › actividad 2.6</t>
        </is>
      </c>
      <c r="U41" s="4" t="inlineStr">
        <is>
          <t>El Anexo 3 declara cotizaciones pendientes (TdR 12.2: al menos dos por rubro, no subsanable) | El texto del Anexo 3 asigna custodia al actor del SNCTI; en el Anexo 2 la custodia es de la universidad</t>
        </is>
      </c>
    </row>
    <row r="42">
      <c r="A42" s="2" t="inlineStr">
        <is>
          <t>EQ-21</t>
        </is>
      </c>
      <c r="B42" s="2" t="inlineStr">
        <is>
          <t>Equipos y software</t>
        </is>
      </c>
      <c r="C42" s="2" t="inlineStr">
        <is>
          <t>Licencias de software de modelación urbana, de dispersión y SIG</t>
        </is>
      </c>
      <c r="D42" s="2" t="inlineStr">
        <is>
          <t>OE2. Disponibilidad de la red</t>
        </is>
      </c>
      <c r="E42" s="2" t="inlineStr">
        <is>
          <t>P6. Servicio de apoyo financiero para programas y proyectos de infraestructura científica y tecnológica</t>
        </is>
      </c>
      <c r="F42" s="2" t="inlineStr">
        <is>
          <t>Anexo 3</t>
        </is>
      </c>
      <c r="G42" s="2" t="inlineStr">
        <is>
          <t>2.6 Dotar el laboratorio y montar la cadena de modelación</t>
        </is>
      </c>
      <c r="H42" s="2" t="inlineStr"/>
      <c r="I42" s="2" t="n">
        <v>1</v>
      </c>
      <c r="J42" s="2" t="inlineStr">
        <is>
          <t>paquete</t>
        </is>
      </c>
      <c r="K42" s="3" t="n">
        <v>55000000</v>
      </c>
      <c r="L42" s="3" t="n">
        <v>55000000</v>
      </c>
      <c r="M42" s="2" t="inlineStr">
        <is>
          <t>SGR, Asignación para la CTeI</t>
        </is>
      </c>
      <c r="N42" s="2" t="inlineStr">
        <is>
          <t>Universidad Santo Tomás (ejecutora)</t>
        </is>
      </c>
      <c r="O42" s="2" t="inlineStr">
        <is>
          <t>Investigador líder en modelación</t>
        </is>
      </c>
      <c r="P42" s="2" t="inlineStr">
        <is>
          <t>Común a Manizales y Calarcá (sin localización en el Anexo 3)</t>
        </is>
      </c>
      <c r="Q42" s="2" t="inlineStr">
        <is>
          <t>M7–M17</t>
        </is>
      </c>
      <c r="R42" s="2" t="inlineStr">
        <is>
          <t>Tabla 30.3 (líneas del SGR); Tabla 7.4 (equipos); Tabla 15.2 (actividad 2.6); Tabla 28.3 (rubro)</t>
        </is>
      </c>
      <c r="S42" s="2" t="inlineStr">
        <is>
          <t>Cadena de valor › OE2 › P6. Servicio de apoyo financiero para programas y proyectos de infraestructura científica y tecnológica › Actividad 2.6 › insumo: Maquinaria y equipo; software (clasificación propuesta)</t>
        </is>
      </c>
      <c r="T42" s="2" t="inlineStr">
        <is>
          <t>Presupuesto › rubro «Equipos y software» › fuente «SGR»; Cronograma › actividad 2.6</t>
        </is>
      </c>
      <c r="U42" s="4" t="inlineStr">
        <is>
          <t>El Anexo 3 declara cotizaciones pendientes (TdR 12.2: al menos dos por rubro, no subsanable)</t>
        </is>
      </c>
    </row>
    <row r="43">
      <c r="A43" s="2" t="inlineStr">
        <is>
          <t>EQ-12</t>
        </is>
      </c>
      <c r="B43" s="2" t="inlineStr">
        <is>
          <t>Equipos y software</t>
        </is>
      </c>
      <c r="C43" s="2" t="inlineStr">
        <is>
          <t>Uso de laboratorios y equipos de la IES (aporte en especie)</t>
        </is>
      </c>
      <c r="D43" s="2" t="inlineStr">
        <is>
          <t>OE1. Medición verificada</t>
        </is>
      </c>
      <c r="E43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43" s="2" t="inlineStr">
        <is>
          <t>Por actividad (Tabla 15.1)</t>
        </is>
      </c>
      <c r="G43" s="2" t="inlineStr">
        <is>
          <t>1.1 Seleccionar los sitios y diseñar la colocalización</t>
        </is>
      </c>
      <c r="H43" s="2" t="inlineStr"/>
      <c r="I43" s="2" t="n">
        <v>1</v>
      </c>
      <c r="J43" s="2" t="inlineStr">
        <is>
          <t>aporte</t>
        </is>
      </c>
      <c r="K43" s="3" t="n">
        <v>300000000</v>
      </c>
      <c r="L43" s="3" t="n">
        <v>300000000</v>
      </c>
      <c r="M43" s="2" t="inlineStr">
        <is>
          <t>Contrapartida en especie</t>
        </is>
      </c>
      <c r="N43" s="2" t="inlineStr">
        <is>
          <t>Universidad Santo Tomás, sede Villavicencio</t>
        </is>
      </c>
      <c r="O43" s="2" t="inlineStr">
        <is>
          <t>Investigador principal</t>
        </is>
      </c>
      <c r="P43" s="2" t="inlineStr">
        <is>
          <t>Común a Manizales y Calarcá (sin localización en el Anexo 3)</t>
        </is>
      </c>
      <c r="Q43" s="2" t="inlineStr">
        <is>
          <t>M2–M23</t>
        </is>
      </c>
      <c r="R43" s="2" t="inlineStr">
        <is>
          <t>Tablas 26.2 y 28.7 (contrapartida); Tabla 15.2 (actividad 1.1); Tabla 28.3 (rubro)</t>
        </is>
      </c>
      <c r="S43" s="2" t="inlineStr">
        <is>
          <t>Cadena de valor › OE1 › P3. Servicio de apoyo financiero para la formación de maestría ya sea nacional o en el exterior, en la modalidad de investigación › Actividad 1.1 › insumo: Maquinaria y equipo; software (clasificación propuesta)</t>
        </is>
      </c>
      <c r="T43" s="2" t="inlineStr">
        <is>
          <t>Presupuesto › rubro «Equipos y software» › fuente «Contrapartida Universidad Santo Tomás, sede Villavicencio»; Cronograma › actividad 1.1</t>
        </is>
      </c>
      <c r="U43" s="4" t="inlineStr">
        <is>
          <t>Aporte en especie de la universidad: debe ubicarse en Manizales o Calarcá (municipios afectados)</t>
        </is>
      </c>
    </row>
    <row r="44">
      <c r="A44" s="2" t="inlineStr">
        <is>
          <t>EQ-13</t>
        </is>
      </c>
      <c r="B44" s="2" t="inlineStr">
        <is>
          <t>Equipos y software</t>
        </is>
      </c>
      <c r="C44" s="2" t="inlineStr">
        <is>
          <t>Equipos de monitoreo de calidad del aire y apoyo técnico de Gestión y Medio Ambiente para el diagnóstico y la colocalización (aporte en especie)</t>
        </is>
      </c>
      <c r="D44" s="2" t="inlineStr">
        <is>
          <t>OE1. Medición verificada</t>
        </is>
      </c>
      <c r="E44" s="2" t="inlineStr">
        <is>
          <t>P3. Servicio de apoyo financiero para la formación de maestría ya sea nacional o en el exterior, en la modalidad de investigación; P5. Servicio de apoyo financiero para el fortalecimiento de las vocaciones científicas en CTI</t>
        </is>
      </c>
      <c r="F44" s="2" t="inlineStr">
        <is>
          <t>Por actividad (Tabla 15.1)</t>
        </is>
      </c>
      <c r="G44" s="2" t="inlineStr">
        <is>
          <t>1.1 Seleccionar los sitios y diseñar la colocalización</t>
        </is>
      </c>
      <c r="H44" s="2" t="inlineStr">
        <is>
          <t>1.1, 1.3, 1.6</t>
        </is>
      </c>
      <c r="I44" s="2" t="n">
        <v>1</v>
      </c>
      <c r="J44" s="2" t="inlineStr">
        <is>
          <t>aporte</t>
        </is>
      </c>
      <c r="K44" s="3" t="n">
        <v>110000000</v>
      </c>
      <c r="L44" s="3" t="n">
        <v>110000000</v>
      </c>
      <c r="M44" s="2" t="inlineStr">
        <is>
          <t>Contrapartida en especie</t>
        </is>
      </c>
      <c r="N44" s="2" t="inlineStr">
        <is>
          <t>Gestión y Medio Ambiente</t>
        </is>
      </c>
      <c r="O44" s="2" t="inlineStr">
        <is>
          <t>Investigador principal</t>
        </is>
      </c>
      <c r="P44" s="2" t="inlineStr">
        <is>
          <t>Común a Manizales y Calarcá (sin localización en el Anexo 3)</t>
        </is>
      </c>
      <c r="Q44" s="2" t="inlineStr">
        <is>
          <t>M2–M23</t>
        </is>
      </c>
      <c r="R44" s="2" t="inlineStr">
        <is>
          <t>Tablas 26.2 y 28.7 (contrapartida); Tabla 15.2 (actividad 1.1); Tabla 28.3 (rubro)</t>
        </is>
      </c>
      <c r="S44" s="2" t="inlineStr">
        <is>
          <t>Cadena de valor › OE1 › P3. Servicio de apoyo financiero para la formación de maestría ya sea nacional o en el exterior, en la modalidad de investigación › Actividad 1.1 › insumo: Maquinaria y equipo; software (clasificación propuesta)</t>
        </is>
      </c>
      <c r="T44" s="2" t="inlineStr">
        <is>
          <t>Presupuesto › rubro «Equipos y software» › fuente «Contrapartida Gestión y Medio Ambiente»; Cronograma › actividad 1.1</t>
        </is>
      </c>
      <c r="U44" s="2" t="inlineStr"/>
    </row>
    <row r="45">
      <c r="A45" s="2" t="inlineStr">
        <is>
          <t>EQ-22</t>
        </is>
      </c>
      <c r="B45" s="2" t="inlineStr">
        <is>
          <t>Equipos y software</t>
        </is>
      </c>
      <c r="C45" s="2" t="inlineStr">
        <is>
          <t>Espacio, energía, red y soporte técnico del laboratorio de modelación (aporte en especie)</t>
        </is>
      </c>
      <c r="D45" s="2" t="inlineStr">
        <is>
          <t>OE2. Disponibilidad de la red</t>
        </is>
      </c>
      <c r="E45" s="2" t="inlineStr">
        <is>
          <t>P6. Servicio de apoyo financiero para programas y proyectos de infraestructura científica y tecnológica</t>
        </is>
      </c>
      <c r="F45" s="2" t="inlineStr">
        <is>
          <t>Por actividad (Tabla 15.1)</t>
        </is>
      </c>
      <c r="G45" s="2" t="inlineStr">
        <is>
          <t>2.5 Diseñar el laboratorio de modelación y el inventario de emisión de demolición</t>
        </is>
      </c>
      <c r="H45" s="2" t="inlineStr"/>
      <c r="I45" s="2" t="n">
        <v>1</v>
      </c>
      <c r="J45" s="2" t="inlineStr">
        <is>
          <t>aporte</t>
        </is>
      </c>
      <c r="K45" s="3" t="n">
        <v>144000000</v>
      </c>
      <c r="L45" s="3" t="n">
        <v>144000000</v>
      </c>
      <c r="M45" s="2" t="inlineStr">
        <is>
          <t>Contrapartida en especie</t>
        </is>
      </c>
      <c r="N45" s="2" t="inlineStr">
        <is>
          <t>Universidad Santo Tomás, sede Villavicencio</t>
        </is>
      </c>
      <c r="O45" s="2" t="inlineStr">
        <is>
          <t>Investigador líder en modelación</t>
        </is>
      </c>
      <c r="P45" s="2" t="inlineStr">
        <is>
          <t>Común a Manizales y Calarcá (sin localización en el Anexo 3)</t>
        </is>
      </c>
      <c r="Q45" s="2" t="inlineStr">
        <is>
          <t>M2–M24</t>
        </is>
      </c>
      <c r="R45" s="2" t="inlineStr">
        <is>
          <t>Tablas 26.2 y 28.7 (contrapartida); Tabla 15.2 (actividad 2.5); Tabla 28.3 (rubro)</t>
        </is>
      </c>
      <c r="S45" s="2" t="inlineStr">
        <is>
          <t>Cadena de valor › OE2 › P6. Servicio de apoyo financiero para programas y proyectos de infraestructura científica y tecnológica › Actividad 2.5 › insumo: Maquinaria y equipo; software (clasificación propuesta)</t>
        </is>
      </c>
      <c r="T45" s="2" t="inlineStr">
        <is>
          <t>Presupuesto › rubro «Equipos y software» › fuente «Contrapartida Universidad Santo Tomás, sede Villavicencio»; Cronograma › actividad 2.5</t>
        </is>
      </c>
      <c r="U45" s="4" t="inlineStr">
        <is>
          <t>Aporte en especie de la universidad: debe ubicarse en Manizales o Calarcá (municipios afectados)</t>
        </is>
      </c>
    </row>
    <row r="46">
      <c r="A46" s="2" t="inlineStr">
        <is>
          <t>EQ-14</t>
        </is>
      </c>
      <c r="B46" s="2" t="inlineStr">
        <is>
          <t>Equipos y software</t>
        </is>
      </c>
      <c r="C46" s="2" t="inlineStr">
        <is>
          <t>Sistema de geociencias para el mapeo diagnóstico: suscripciones plataforma SIG de nivel profesional</t>
        </is>
      </c>
      <c r="D46" s="2" t="inlineStr">
        <is>
          <t>OE1. Medición verificada</t>
        </is>
      </c>
      <c r="E46" s="2" t="inlineStr">
        <is>
          <t>P1. Servicio de apoyo para la generación de prototipos de materiales, productos o dispositivos</t>
        </is>
      </c>
      <c r="F46" s="2" t="inlineStr">
        <is>
          <t>Anexo 3</t>
        </is>
      </c>
      <c r="G46" s="2" t="inlineStr">
        <is>
          <t>1.1 Seleccionar los sitios y diseñar la colocalización</t>
        </is>
      </c>
      <c r="H46" s="2" t="inlineStr"/>
      <c r="I46" s="2" t="n">
        <v>92</v>
      </c>
      <c r="J46" s="2" t="inlineStr">
        <is>
          <t>usuario-mes</t>
        </is>
      </c>
      <c r="K46" s="3" t="n">
        <v>995103</v>
      </c>
      <c r="L46" s="3" t="n">
        <v>91549476</v>
      </c>
      <c r="M46" s="2" t="inlineStr">
        <is>
          <t>SGR, Asignación para la CTeI</t>
        </is>
      </c>
      <c r="N46" s="2" t="inlineStr">
        <is>
          <t>Universidad Santo Tomás (ejecutora)</t>
        </is>
      </c>
      <c r="O46" s="2" t="inlineStr">
        <is>
          <t>Investigador principal</t>
        </is>
      </c>
      <c r="P46" s="2" t="inlineStr">
        <is>
          <t>Común a Manizales y Calarcá (sin localización en el Anexo 3)</t>
        </is>
      </c>
      <c r="Q46" s="2" t="inlineStr">
        <is>
          <t>M2–M24</t>
        </is>
      </c>
      <c r="R46" s="2" t="inlineStr">
        <is>
          <t>Tabla 30.3 (líneas del SGR); Tabla 7.4 (equipos); Tabla 15.2 (actividad 1.1); Tabla 28.3 (rubro)</t>
        </is>
      </c>
      <c r="S46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6" s="2" t="inlineStr">
        <is>
          <t>Presupuesto › rubro «Equipos y software» › fuente «SGR»; Cronograma › actividad 1.1</t>
        </is>
      </c>
      <c r="U46" s="4" t="inlineStr">
        <is>
          <t>El Anexo 3 declara cotizaciones pendientes (TdR 12.2: al menos dos por rubro, no subsanable)</t>
        </is>
      </c>
    </row>
    <row r="47">
      <c r="A47" s="2" t="inlineStr">
        <is>
          <t>EQ-15</t>
        </is>
      </c>
      <c r="B47" s="2" t="inlineStr">
        <is>
          <t>Equipos y software</t>
        </is>
      </c>
      <c r="C47" s="2" t="inlineStr">
        <is>
          <t>Sistema de geociencias para el mapeo diagnóstico: suscripción plataforma SIG de nivel profesional avanzado</t>
        </is>
      </c>
      <c r="D47" s="2" t="inlineStr">
        <is>
          <t>OE1. Medición verificada</t>
        </is>
      </c>
      <c r="E47" s="2" t="inlineStr">
        <is>
          <t>P1. Servicio de apoyo para la generación de prototipos de materiales, productos o dispositivos</t>
        </is>
      </c>
      <c r="F47" s="2" t="inlineStr">
        <is>
          <t>Anexo 3</t>
        </is>
      </c>
      <c r="G47" s="2" t="inlineStr">
        <is>
          <t>1.1 Seleccionar los sitios y diseñar la colocalización</t>
        </is>
      </c>
      <c r="H47" s="2" t="inlineStr"/>
      <c r="I47" s="2" t="n">
        <v>23</v>
      </c>
      <c r="J47" s="2" t="inlineStr">
        <is>
          <t>usuario-mes</t>
        </is>
      </c>
      <c r="K47" s="3" t="n">
        <v>1983712</v>
      </c>
      <c r="L47" s="3" t="n">
        <v>45625376</v>
      </c>
      <c r="M47" s="2" t="inlineStr">
        <is>
          <t>SGR, Asignación para la CTeI</t>
        </is>
      </c>
      <c r="N47" s="2" t="inlineStr">
        <is>
          <t>Universidad Santo Tomás (ejecutora)</t>
        </is>
      </c>
      <c r="O47" s="2" t="inlineStr">
        <is>
          <t>Investigador principal</t>
        </is>
      </c>
      <c r="P47" s="2" t="inlineStr">
        <is>
          <t>Común a Manizales y Calarcá (sin localización en el Anexo 3)</t>
        </is>
      </c>
      <c r="Q47" s="2" t="inlineStr">
        <is>
          <t>M2–M24</t>
        </is>
      </c>
      <c r="R47" s="2" t="inlineStr">
        <is>
          <t>Tabla 30.3 (líneas del SGR); Tabla 7.4 (equipos); Tabla 15.2 (actividad 1.1); Tabla 28.3 (rubro)</t>
        </is>
      </c>
      <c r="S47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7" s="2" t="inlineStr">
        <is>
          <t>Presupuesto › rubro «Equipos y software» › fuente «SGR»; Cronograma › actividad 1.1</t>
        </is>
      </c>
      <c r="U47" s="4" t="inlineStr">
        <is>
          <t>El Anexo 3 declara cotizaciones pendientes (TdR 12.2: al menos dos por rubro, no subsanable)</t>
        </is>
      </c>
    </row>
    <row r="48">
      <c r="A48" s="2" t="inlineStr">
        <is>
          <t>EQ-16</t>
        </is>
      </c>
      <c r="B48" s="2" t="inlineStr">
        <is>
          <t>Equipos y software</t>
        </is>
      </c>
      <c r="C48" s="2" t="inlineStr">
        <is>
          <t>Sistema de geociencias para el mapeo diagnóstico: complemento de geoestadística</t>
        </is>
      </c>
      <c r="D48" s="2" t="inlineStr">
        <is>
          <t>OE1. Medición verificada</t>
        </is>
      </c>
      <c r="E48" s="2" t="inlineStr">
        <is>
          <t>P1. Servicio de apoyo para la generación de prototipos de materiales, productos o dispositivos</t>
        </is>
      </c>
      <c r="F48" s="2" t="inlineStr">
        <is>
          <t>Anexo 3</t>
        </is>
      </c>
      <c r="G48" s="2" t="inlineStr">
        <is>
          <t>1.1 Seleccionar los sitios y diseñar la colocalización</t>
        </is>
      </c>
      <c r="H48" s="2" t="inlineStr"/>
      <c r="I48" s="2" t="n">
        <v>2</v>
      </c>
      <c r="J48" s="2" t="inlineStr">
        <is>
          <t>usuario-año</t>
        </is>
      </c>
      <c r="K48" s="3" t="n">
        <v>5366920</v>
      </c>
      <c r="L48" s="3" t="n">
        <v>10733840</v>
      </c>
      <c r="M48" s="2" t="inlineStr">
        <is>
          <t>SGR, Asignación para la CTeI</t>
        </is>
      </c>
      <c r="N48" s="2" t="inlineStr">
        <is>
          <t>Universidad Santo Tomás (ejecutora)</t>
        </is>
      </c>
      <c r="O48" s="2" t="inlineStr">
        <is>
          <t>Investigador principal</t>
        </is>
      </c>
      <c r="P48" s="2" t="inlineStr">
        <is>
          <t>Común a Manizales y Calarcá (sin localización en el Anexo 3)</t>
        </is>
      </c>
      <c r="Q48" s="2" t="inlineStr">
        <is>
          <t>M2–M24</t>
        </is>
      </c>
      <c r="R48" s="2" t="inlineStr">
        <is>
          <t>Tabla 30.3 (líneas del SGR); Tabla 7.4 (equipos); Tabla 15.2 (actividad 1.1); Tabla 28.3 (rubro)</t>
        </is>
      </c>
      <c r="S48" s="2" t="inlineStr">
        <is>
          <t>Cadena de valor › OE1 › P1. Servicio de apoyo para la generación de prototipos de materiales, productos o dispositivos › Actividad 1.1 › insumo: Maquinaria y equipo; software (clasificación propuesta)</t>
        </is>
      </c>
      <c r="T48" s="2" t="inlineStr">
        <is>
          <t>Presupuesto › rubro «Equipos y software» › fuente «SGR»; Cronograma › actividad 1.1</t>
        </is>
      </c>
      <c r="U48" s="4" t="inlineStr">
        <is>
          <t>El Anexo 3 declara cotizaciones pendientes (TdR 12.2: al menos dos por rubro, no subsanable)</t>
        </is>
      </c>
    </row>
    <row r="49">
      <c r="A49" s="2" t="inlineStr">
        <is>
          <t>EQ-23</t>
        </is>
      </c>
      <c r="B49" s="2" t="inlineStr">
        <is>
          <t>Equipos y software</t>
        </is>
      </c>
      <c r="C49" s="2" t="inlineStr">
        <is>
          <t>Cámara climática de humedad y temperatura e integración metrológica del banco</t>
        </is>
      </c>
      <c r="D49" s="2" t="inlineStr">
        <is>
          <t>OE1. Medición verificada</t>
        </is>
      </c>
      <c r="E49" s="2" t="inlineStr">
        <is>
          <t>P1. Servicio de apoyo para la generación de prototipos de materiales, productos o dispositivos</t>
        </is>
      </c>
      <c r="F49" s="2" t="inlineStr">
        <is>
          <t>Anexo 3</t>
        </is>
      </c>
      <c r="G49" s="2" t="inlineStr">
        <is>
          <t>1.2 Adquirir y caracterizar el lote 1 de nodos y las referencias</t>
        </is>
      </c>
      <c r="H49" s="2" t="inlineStr">
        <is>
          <t>1.2</t>
        </is>
      </c>
      <c r="I49" s="2" t="n">
        <v>1</v>
      </c>
      <c r="J49" s="2" t="inlineStr">
        <is>
          <t>unidad</t>
        </is>
      </c>
      <c r="K49" s="3" t="n">
        <v>150000000</v>
      </c>
      <c r="L49" s="3" t="n">
        <v>150000000</v>
      </c>
      <c r="M49" s="2" t="inlineStr">
        <is>
          <t>SGR, Asignación para la CTeI</t>
        </is>
      </c>
      <c r="N49" s="2" t="inlineStr">
        <is>
          <t>Universidad Santo Tomás (ejecutora)</t>
        </is>
      </c>
      <c r="O49" s="2" t="inlineStr">
        <is>
          <t>Especialista en metrología y calibración</t>
        </is>
      </c>
      <c r="P49" s="2" t="inlineStr">
        <is>
          <t>Común a Manizales y Calarcá (sin localización en el Anexo 3)</t>
        </is>
      </c>
      <c r="Q49" s="2" t="inlineStr">
        <is>
          <t>M4–M6</t>
        </is>
      </c>
      <c r="R49" s="2" t="inlineStr">
        <is>
          <t>Tabla 30.3 (líneas del SGR); Tabla 7.4 (equipos); Tabla 15.2 (actividad 1.2); Tabla 28.3 (rubro)</t>
        </is>
      </c>
      <c r="S49" s="2" t="inlineStr">
        <is>
          <t>Cadena de valor › OE1 › P1. Servicio de apoyo para la generación de prototipos de materiales, productos o dispositivos › Actividad 1.2 › insumo: Maquinaria y equipo; software (clasificación propuesta)</t>
        </is>
      </c>
      <c r="T49" s="2" t="inlineStr">
        <is>
          <t>Presupuesto › rubro «Equipos y software» › fuente «SGR»; Cronograma › actividad 1.2</t>
        </is>
      </c>
      <c r="U49" s="4" t="inlineStr">
        <is>
          <t>El Anexo 3 declara cotizaciones pendientes (TdR 12.2: al menos dos por rubro, no subsanable)</t>
        </is>
      </c>
    </row>
    <row r="50">
      <c r="A50" s="2" t="inlineStr">
        <is>
          <t>CA-01</t>
        </is>
      </c>
      <c r="B50" s="2" t="inlineStr">
        <is>
          <t>Capacitación y eventos</t>
        </is>
      </c>
      <c r="C50" s="2" t="inlineStr">
        <is>
          <t>Formación y soporte a custodios por tramo</t>
        </is>
      </c>
      <c r="D50" s="2" t="inlineStr">
        <is>
          <t>OE3. Uso institucional y custodia</t>
        </is>
      </c>
      <c r="E50" s="2" t="inlineStr">
        <is>
          <t>P9. Servicio de Asistencia Técnica</t>
        </is>
      </c>
      <c r="F50" s="2" t="inlineStr">
        <is>
          <t>Anexo 3</t>
        </is>
      </c>
      <c r="G50" s="2" t="inlineStr">
        <is>
          <t>3.3 Formar custodios y firmar los convenios por tramo</t>
        </is>
      </c>
      <c r="H50" s="2" t="inlineStr"/>
      <c r="I50" s="2" t="n">
        <v>3</v>
      </c>
      <c r="J50" s="2" t="inlineStr">
        <is>
          <t>tramo</t>
        </is>
      </c>
      <c r="K50" s="3" t="n">
        <v>50000000</v>
      </c>
      <c r="L50" s="3" t="n">
        <v>150000000</v>
      </c>
      <c r="M50" s="2" t="inlineStr">
        <is>
          <t>SGR, Asignación para la CTeI</t>
        </is>
      </c>
      <c r="N50" s="2" t="inlineStr">
        <is>
          <t>Avanciencia (ejecuta por contrato con la universidad)</t>
        </is>
      </c>
      <c r="O50" s="2" t="inlineStr">
        <is>
          <t>Profesional de convenios y custodia (Avanciencia)</t>
        </is>
      </c>
      <c r="P50" s="2" t="inlineStr">
        <is>
          <t>Común a Manizales y Calarcá (sin localización en el Anexo 3)</t>
        </is>
      </c>
      <c r="Q50" s="2" t="inlineStr">
        <is>
          <t>M17–M20</t>
        </is>
      </c>
      <c r="R50" s="2" t="inlineStr">
        <is>
          <t>Tabla 30.3 (líneas del SGR); Tabla 15.2 (actividad 3.3); Tabla 28.3 (rubro); Tabla 18.5 (Plan de transferencia); Tabla 19.4 (apropiación social)</t>
        </is>
      </c>
      <c r="S50" s="2" t="inlineStr">
        <is>
          <t>Cadena de valor › OE3 › P9. Servicio de Asistencia Técnica › Actividad 3.3 › insumo: Servicios de capacitación y eventos (clasificación propuesta)</t>
        </is>
      </c>
      <c r="T50" s="2" t="inlineStr">
        <is>
          <t>Presupuesto › rubro «Capacitación y eventos» › fuente «SGR»; Cronograma › actividad 3.3</t>
        </is>
      </c>
      <c r="U50" s="4" t="inlineStr">
        <is>
          <t>El Anexo 3 declara cotizaciones pendientes (TdR 12.2: al menos dos por rubro, no subsanable)</t>
        </is>
      </c>
    </row>
    <row r="51">
      <c r="A51" s="2" t="inlineStr">
        <is>
          <t>CA-02</t>
        </is>
      </c>
      <c r="B51" s="2" t="inlineStr">
        <is>
          <t>Capacitación y eventos</t>
        </is>
      </c>
      <c r="C51" s="2" t="inlineStr">
        <is>
          <t>Alimentación de laboratorios ciudadanos</t>
        </is>
      </c>
      <c r="D51" s="2" t="inlineStr">
        <is>
          <t>OE3. Uso institucional y custodia</t>
        </is>
      </c>
      <c r="E51" s="2" t="inlineStr">
        <is>
          <t>P8. Servicio de apropiación social del conocimiento</t>
        </is>
      </c>
      <c r="F51" s="2" t="inlineStr">
        <is>
          <t>Anexo 3</t>
        </is>
      </c>
      <c r="G51" s="2" t="inlineStr">
        <is>
          <t>3.1 Co-diseñar los umbrales y el protocolo de alerta con los consejos</t>
        </is>
      </c>
      <c r="H51" s="2" t="inlineStr"/>
      <c r="I51" s="2" t="n">
        <v>20</v>
      </c>
      <c r="J51" s="2" t="inlineStr">
        <is>
          <t>evento</t>
        </is>
      </c>
      <c r="K51" s="3" t="n">
        <v>1500000</v>
      </c>
      <c r="L51" s="3" t="n">
        <v>30000000</v>
      </c>
      <c r="M51" s="2" t="inlineStr">
        <is>
          <t>SGR, Asignación para la CTeI</t>
        </is>
      </c>
      <c r="N51" s="2" t="inlineStr">
        <is>
          <t>Avanciencia (ejecuta por contrato con la universidad)</t>
        </is>
      </c>
      <c r="O51" s="2" t="inlineStr">
        <is>
          <t>Coordinación de apropiación social (Avanciencia)</t>
        </is>
      </c>
      <c r="P51" s="2" t="inlineStr">
        <is>
          <t>Común a Manizales y Calarcá (sin localización en el Anexo 3)</t>
        </is>
      </c>
      <c r="Q51" s="2" t="inlineStr">
        <is>
          <t>M3–M9</t>
        </is>
      </c>
      <c r="R51" s="2" t="inlineStr">
        <is>
          <t>Tabla 30.3 (líneas del SGR); Tabla 15.2 (actividad 3.1); Tabla 28.3 (rubro); Tabla 19.4 (apropiación social)</t>
        </is>
      </c>
      <c r="S51" s="2" t="inlineStr">
        <is>
          <t>Cadena de valor › OE3 › P8. Servicio de apropiación social del conocimiento › Actividad 3.1 › insumo: Servicios de capacitación y eventos (clasificación propuesta)</t>
        </is>
      </c>
      <c r="T51" s="2" t="inlineStr">
        <is>
          <t>Presupuesto › rubro «Capacitación y eventos» › fuente «SGR»; Cronograma › actividad 3.1</t>
        </is>
      </c>
      <c r="U51" s="4" t="inlineStr">
        <is>
          <t>El Anexo 3 declara cotizaciones pendientes (TdR 12.2: al menos dos por rubro, no subsanable)</t>
        </is>
      </c>
    </row>
    <row r="52">
      <c r="A52" s="2" t="inlineStr">
        <is>
          <t>CA-03</t>
        </is>
      </c>
      <c r="B52" s="2" t="inlineStr">
        <is>
          <t>Capacitación y eventos</t>
        </is>
      </c>
      <c r="C52" s="2" t="inlineStr">
        <is>
          <t>Logística de ferias y laboratorios de apropiación</t>
        </is>
      </c>
      <c r="D52" s="2" t="inlineStr">
        <is>
          <t>OE3. Uso institucional y custodia</t>
        </is>
      </c>
      <c r="E52" s="2" t="inlineStr">
        <is>
          <t>P8. Servicio de apropiación social del conocimiento</t>
        </is>
      </c>
      <c r="F52" s="2" t="inlineStr">
        <is>
          <t>Anexo 3</t>
        </is>
      </c>
      <c r="G52" s="2" t="inlineStr">
        <is>
          <t>3.2 Poner en uso el tablero con los consejos</t>
        </is>
      </c>
      <c r="H52" s="2" t="inlineStr"/>
      <c r="I52" s="2" t="n">
        <v>9</v>
      </c>
      <c r="J52" s="2" t="inlineStr">
        <is>
          <t>evento</t>
        </is>
      </c>
      <c r="K52" s="3" t="n">
        <v>8000000</v>
      </c>
      <c r="L52" s="3" t="n">
        <v>72000000</v>
      </c>
      <c r="M52" s="2" t="inlineStr">
        <is>
          <t>SGR, Asignación para la CTeI</t>
        </is>
      </c>
      <c r="N52" s="2" t="inlineStr">
        <is>
          <t>Avanciencia (ejecuta por contrato con la universidad)</t>
        </is>
      </c>
      <c r="O52" s="2" t="inlineStr">
        <is>
          <t>Coordinación de apropiación social (Avanciencia)</t>
        </is>
      </c>
      <c r="P52" s="2" t="inlineStr">
        <is>
          <t>Común a Manizales y Calarcá (sin localización en el Anexo 3)</t>
        </is>
      </c>
      <c r="Q52" s="2" t="inlineStr">
        <is>
          <t>M12–M24</t>
        </is>
      </c>
      <c r="R52" s="2" t="inlineStr">
        <is>
          <t>Tabla 30.3 (líneas del SGR); Tabla 15.2 (actividad 3.2); Tabla 28.3 (rubro); Tabla 19.4 (apropiación social)</t>
        </is>
      </c>
      <c r="S52" s="2" t="inlineStr">
        <is>
          <t>Cadena de valor › OE3 › P8. Servicio de apropiación social del conocimiento › Actividad 3.2 › insumo: Servicios de capacitación y eventos (clasificación propuesta)</t>
        </is>
      </c>
      <c r="T52" s="2" t="inlineStr">
        <is>
          <t>Presupuesto › rubro «Capacitación y eventos» › fuente «SGR»; Cronograma › actividad 3.2</t>
        </is>
      </c>
      <c r="U52" s="4" t="inlineStr">
        <is>
          <t>El Anexo 3 declara cotizaciones pendientes (TdR 12.2: al menos dos por rubro, no subsanable)</t>
        </is>
      </c>
    </row>
    <row r="53">
      <c r="A53" s="2" t="inlineStr">
        <is>
          <t>CA-04</t>
        </is>
      </c>
      <c r="B53" s="2" t="inlineStr">
        <is>
          <t>Capacitación y eventos</t>
        </is>
      </c>
      <c r="C53" s="2" t="inlineStr">
        <is>
          <t>Talleres de evaluación previa de demolición con los consejos de gestión del riesgo y responsables de obra</t>
        </is>
      </c>
      <c r="D53" s="2" t="inlineStr">
        <is>
          <t>OE3. Uso institucional y custodia</t>
        </is>
      </c>
      <c r="E53" s="2" t="inlineStr">
        <is>
          <t>P7. Documentos de política: Documentos de planeación</t>
        </is>
      </c>
      <c r="F53" s="2" t="inlineStr">
        <is>
          <t>Anexo 3</t>
        </is>
      </c>
      <c r="G53" s="2" t="inlineStr">
        <is>
          <t>3.5 Adoptar el protocolo de evaluación previa de demolición y transferir el laboratorio</t>
        </is>
      </c>
      <c r="H53" s="2" t="inlineStr"/>
      <c r="I53" s="2" t="n">
        <v>6</v>
      </c>
      <c r="J53" s="2" t="inlineStr">
        <is>
          <t>taller</t>
        </is>
      </c>
      <c r="K53" s="3" t="n">
        <v>8000000</v>
      </c>
      <c r="L53" s="3" t="n">
        <v>48000000</v>
      </c>
      <c r="M53" s="2" t="inlineStr">
        <is>
          <t>SGR, Asignación para la CTeI</t>
        </is>
      </c>
      <c r="N53" s="2" t="inlineStr">
        <is>
          <t>Universidad Santo Tomás (ejecutora)</t>
        </is>
      </c>
      <c r="O53" s="2" t="inlineStr">
        <is>
          <t>Investigador líder en modelación</t>
        </is>
      </c>
      <c r="P53" s="2" t="inlineStr">
        <is>
          <t>Manizales $ 24.000.000; Calarcá $ 24.000.000 (tres talleres por municipio)</t>
        </is>
      </c>
      <c r="Q53" s="2" t="inlineStr">
        <is>
          <t>M21–M24</t>
        </is>
      </c>
      <c r="R53" s="2" t="inlineStr">
        <is>
          <t>Tabla 30.3 (líneas del SGR); Tabla 15.2 (actividad 3.5); Tabla 28.3 (rubro); Tablas 15.3 y 28.5 (municipio); Tabla 18.5 (Plan de transferencia)</t>
        </is>
      </c>
      <c r="S53" s="2" t="inlineStr">
        <is>
          <t>Cadena de valor › OE3 › P7. Documentos de política: Documentos de planeación › Actividad 3.5 › insumo: Servicios de capacitación y eventos (clasificación propuesta)</t>
        </is>
      </c>
      <c r="T53" s="2" t="inlineStr">
        <is>
          <t>Presupuesto › rubro «Capacitación y eventos» › fuente «SGR»; Cronograma › actividad 3.5</t>
        </is>
      </c>
      <c r="U53" s="4" t="inlineStr">
        <is>
          <t>El Anexo 3 declara cotizaciones pendientes (TdR 12.2: al menos dos por rubro, no subsanable)</t>
        </is>
      </c>
    </row>
    <row r="54">
      <c r="A54" s="2" t="inlineStr">
        <is>
          <t>CA-05</t>
        </is>
      </c>
      <c r="B54" s="2" t="inlineStr">
        <is>
          <t>Capacitación y eventos</t>
        </is>
      </c>
      <c r="C54" s="2" t="inlineStr">
        <is>
          <t>Desplazamientos del equipo de apropiación social de Avanciencia a los talleres y jornadas</t>
        </is>
      </c>
      <c r="D54" s="2" t="inlineStr">
        <is>
          <t>OE3. Uso institucional y custodia</t>
        </is>
      </c>
      <c r="E54" s="2" t="inlineStr">
        <is>
          <t>P7. Documentos de política: Documentos de planeación; P8. Servicio de apropiación social del conocimiento</t>
        </is>
      </c>
      <c r="F54" s="2" t="inlineStr">
        <is>
          <t>Por actividad (Tabla 15.1)</t>
        </is>
      </c>
      <c r="G54" s="2" t="inlineStr">
        <is>
          <t>3.1 Co-diseñar los umbrales y el protocolo de alerta con los consejos</t>
        </is>
      </c>
      <c r="H54" s="2" t="inlineStr">
        <is>
          <t>3.1, 3.2, 3.3, 3.4</t>
        </is>
      </c>
      <c r="I54" s="2" t="n">
        <v>15</v>
      </c>
      <c r="J54" s="2" t="inlineStr">
        <is>
          <t>misión</t>
        </is>
      </c>
      <c r="K54" s="3" t="n">
        <v>7797894</v>
      </c>
      <c r="L54" s="3" t="n">
        <v>116968410</v>
      </c>
      <c r="M54" s="2" t="inlineStr">
        <is>
          <t>SGR, Asignación para la CTeI</t>
        </is>
      </c>
      <c r="N54" s="2" t="inlineStr">
        <is>
          <t>Avanciencia (ejecuta por contrato con la universidad)</t>
        </is>
      </c>
      <c r="O54" s="2" t="inlineStr">
        <is>
          <t>Coordinación de apropiación social (Avanciencia)</t>
        </is>
      </c>
      <c r="P54" s="2" t="inlineStr">
        <is>
          <t>Común a Manizales y Calarcá (sin localización en el Anexo 3)</t>
        </is>
      </c>
      <c r="Q54" s="2" t="inlineStr">
        <is>
          <t>M3–M24</t>
        </is>
      </c>
      <c r="R54" s="2" t="inlineStr">
        <is>
          <t>Tabla 30.3 (líneas del SGR); Tabla 15.2 (actividad 3.1); Tabla 28.3 (rubro); Tabla 19.4 (apropiación social)</t>
        </is>
      </c>
      <c r="S54" s="2" t="inlineStr">
        <is>
          <t>Cadena de valor › OE3 › P7. Documentos de política: Documentos de planeación › Actividad 3.1 › insumo: Servicios de capacitación y eventos (clasificación propuesta)</t>
        </is>
      </c>
      <c r="T54" s="2" t="inlineStr">
        <is>
          <t>Presupuesto › rubro «Capacitación y eventos» › fuente «SGR»; Cronograma › actividad 3.1</t>
        </is>
      </c>
      <c r="U54" s="4" t="inlineStr">
        <is>
          <t>El Anexo 3 declara cotizaciones pendientes (TdR 12.2: al menos dos por rubro, no subsanable) | Partida nueva del Anexo 3 v6: 15 misiones de 3 personas por 3 días, trasladadas de VI-01 a VI-03</t>
        </is>
      </c>
    </row>
    <row r="55">
      <c r="A55" s="2" t="inlineStr">
        <is>
          <t>ST-01</t>
        </is>
      </c>
      <c r="B55" s="2" t="inlineStr">
        <is>
          <t>Servicios tecnológicos y pruebas</t>
        </is>
      </c>
      <c r="C55" s="2" t="inlineStr">
        <is>
          <t>Planes de datos celulares M2M para gateways</t>
        </is>
      </c>
      <c r="D55" s="2" t="inlineStr">
        <is>
          <t>OE1. Medición verificada</t>
        </is>
      </c>
      <c r="E55" s="2" t="inlineStr">
        <is>
          <t>P1. Servicio de apoyo para la generación de prototipos de materiales, productos o dispositivos</t>
        </is>
      </c>
      <c r="F55" s="2" t="inlineStr">
        <is>
          <t>Anexo 3</t>
        </is>
      </c>
      <c r="G55" s="2" t="inlineStr">
        <is>
          <t>1.3 Instalar el tramo 1, colocalizar y calibrar en el piloto</t>
        </is>
      </c>
      <c r="H55" s="2" t="inlineStr"/>
      <c r="I55" s="2" t="n">
        <v>288</v>
      </c>
      <c r="J55" s="2" t="inlineStr">
        <is>
          <t>SIM-mes</t>
        </is>
      </c>
      <c r="K55" s="3" t="n">
        <v>120000</v>
      </c>
      <c r="L55" s="3" t="n">
        <v>34560000</v>
      </c>
      <c r="M55" s="2" t="inlineStr">
        <is>
          <t>SGR, Asignación para la CTeI</t>
        </is>
      </c>
      <c r="N55" s="2" t="inlineStr">
        <is>
          <t>Universidad Santo Tomás (ejecutora)</t>
        </is>
      </c>
      <c r="O55" s="2" t="inlineStr">
        <is>
          <t>Técnicos de campo y especialista en metrología</t>
        </is>
      </c>
      <c r="P55" s="2" t="inlineStr">
        <is>
          <t>Común a Manizales y Calarcá (sin localización en el Anexo 3)</t>
        </is>
      </c>
      <c r="Q55" s="2" t="inlineStr">
        <is>
          <t>M1–M24</t>
        </is>
      </c>
      <c r="R55" s="2" t="inlineStr">
        <is>
          <t>Tabla 30.3 (líneas del SGR); Tabla 15.2 (actividad 1.3); Tabla 28.3 (rubro)</t>
        </is>
      </c>
      <c r="S55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55" s="2" t="inlineStr">
        <is>
          <t>Presupuesto › rubro «Servicios tecnológicos y pruebas» › fuente «SGR»; Cronograma › actividad 1.3</t>
        </is>
      </c>
      <c r="U55" s="4" t="inlineStr">
        <is>
          <t>El Anexo 3 declara cotizaciones pendientes (TdR 12.2: al menos dos por rubro, no subsanable)</t>
        </is>
      </c>
    </row>
    <row r="56">
      <c r="A56" s="2" t="inlineStr">
        <is>
          <t>ST-02</t>
        </is>
      </c>
      <c r="B56" s="2" t="inlineStr">
        <is>
          <t>Servicios tecnológicos y pruebas</t>
        </is>
      </c>
      <c r="C56" s="2" t="inlineStr">
        <is>
          <t>Análisis gravimétrico en laboratorio acreditado</t>
        </is>
      </c>
      <c r="D56" s="2" t="inlineStr">
        <is>
          <t>OE1. Medición verificada</t>
        </is>
      </c>
      <c r="E56" s="2" t="inlineStr">
        <is>
          <t>P1. Servicio de apoyo para la generación de prototipos de materiales, productos o dispositivos</t>
        </is>
      </c>
      <c r="F56" s="2" t="inlineStr">
        <is>
          <t>Anexo 3</t>
        </is>
      </c>
      <c r="G56" s="2" t="inlineStr">
        <is>
          <t>1.3 Instalar el tramo 1, colocalizar y calibrar en el piloto</t>
        </is>
      </c>
      <c r="H56" s="2" t="inlineStr"/>
      <c r="I56" s="2" t="n">
        <v>240</v>
      </c>
      <c r="J56" s="2" t="inlineStr">
        <is>
          <t>muestra</t>
        </is>
      </c>
      <c r="K56" s="3" t="n">
        <v>350000</v>
      </c>
      <c r="L56" s="3" t="n">
        <v>84000000</v>
      </c>
      <c r="M56" s="2" t="inlineStr">
        <is>
          <t>SGR, Asignación para la CTeI</t>
        </is>
      </c>
      <c r="N56" s="2" t="inlineStr">
        <is>
          <t>Universidad Santo Tomás (ejecutora)</t>
        </is>
      </c>
      <c r="O56" s="2" t="inlineStr">
        <is>
          <t>Técnicos de campo y especialista en metrología</t>
        </is>
      </c>
      <c r="P56" s="2" t="inlineStr">
        <is>
          <t>Común a Manizales y Calarcá (sin localización en el Anexo 3)</t>
        </is>
      </c>
      <c r="Q56" s="2" t="inlineStr">
        <is>
          <t>M6–M23</t>
        </is>
      </c>
      <c r="R56" s="2" t="inlineStr">
        <is>
          <t>Tabla 30.3 (líneas del SGR); Tabla 15.2 (actividad 1.3); Tabla 28.3 (rubro)</t>
        </is>
      </c>
      <c r="S56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56" s="2" t="inlineStr">
        <is>
          <t>Presupuesto › rubro «Servicios tecnológicos y pruebas» › fuente «SGR»; Cronograma › actividad 1.3</t>
        </is>
      </c>
      <c r="U56" s="4" t="inlineStr">
        <is>
          <t>El Anexo 3 declara cotizaciones pendientes (TdR 12.2: al menos dos por rubro, no subsanable)</t>
        </is>
      </c>
    </row>
    <row r="57">
      <c r="A57" s="2" t="inlineStr">
        <is>
          <t>ST-03</t>
        </is>
      </c>
      <c r="B57" s="2" t="inlineStr">
        <is>
          <t>Servicios tecnológicos y pruebas</t>
        </is>
      </c>
      <c r="C57" s="2" t="inlineStr">
        <is>
          <t>Auditoría externa de ciberseguridad</t>
        </is>
      </c>
      <c r="D57" s="2" t="inlineStr">
        <is>
          <t>OE2. Disponibilidad de la red</t>
        </is>
      </c>
      <c r="E57" s="2" t="inlineStr">
        <is>
          <t>P6. Servicio de apoyo financiero para programas y proyectos de infraestructura científica y tecnológica</t>
        </is>
      </c>
      <c r="F57" s="2" t="inlineStr">
        <is>
          <t>Anexo 3</t>
        </is>
      </c>
      <c r="G57" s="2" t="inlineStr">
        <is>
          <t>2.2 Desarrollar el firmware y la plataforma base (gemelo digital y tablero)</t>
        </is>
      </c>
      <c r="H57" s="2" t="inlineStr"/>
      <c r="I57" s="2" t="n">
        <v>2</v>
      </c>
      <c r="J57" s="2" t="inlineStr">
        <is>
          <t>servicio</t>
        </is>
      </c>
      <c r="K57" s="3" t="n">
        <v>15000000</v>
      </c>
      <c r="L57" s="3" t="n">
        <v>30000000</v>
      </c>
      <c r="M57" s="2" t="inlineStr">
        <is>
          <t>SGR, Asignación para la CTeI</t>
        </is>
      </c>
      <c r="N57" s="2" t="inlineStr">
        <is>
          <t>Universidad Santo Tomás (ejecutora)</t>
        </is>
      </c>
      <c r="O57" s="2" t="inlineStr">
        <is>
          <t>Ingenieros de software y nube</t>
        </is>
      </c>
      <c r="P57" s="2" t="inlineStr">
        <is>
          <t>Común a Manizales y Calarcá (sin localización en el Anexo 3)</t>
        </is>
      </c>
      <c r="Q57" s="2" t="inlineStr">
        <is>
          <t>M6–M19</t>
        </is>
      </c>
      <c r="R57" s="2" t="inlineStr">
        <is>
          <t>Tabla 30.3 (líneas del SGR); Tabla 15.2 (actividad 2.2); Tabla 28.3 (rubro)</t>
        </is>
      </c>
      <c r="S57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57" s="2" t="inlineStr">
        <is>
          <t>Presupuesto › rubro «Servicios tecnológicos y pruebas» › fuente «SGR»; Cronograma › actividad 2.2</t>
        </is>
      </c>
      <c r="U57" s="4" t="inlineStr">
        <is>
          <t>El Anexo 3 declara cotizaciones pendientes (TdR 12.2: al menos dos por rubro, no subsanable)</t>
        </is>
      </c>
    </row>
    <row r="58">
      <c r="A58" s="2" t="inlineStr">
        <is>
          <t>ST-04</t>
        </is>
      </c>
      <c r="B58" s="2" t="inlineStr">
        <is>
          <t>Servicios tecnológicos y pruebas</t>
        </is>
      </c>
      <c r="C58" s="2" t="inlineStr">
        <is>
          <t>Estudio de cobertura y de enlace en los dos municipios</t>
        </is>
      </c>
      <c r="D58" s="2" t="inlineStr">
        <is>
          <t>OE2. Disponibilidad de la red</t>
        </is>
      </c>
      <c r="E58" s="2" t="inlineStr">
        <is>
          <t>P6. Servicio de apoyo financiero para programas y proyectos de infraestructura científica y tecnológica</t>
        </is>
      </c>
      <c r="F58" s="2" t="inlineStr">
        <is>
          <t>Anexo 3</t>
        </is>
      </c>
      <c r="G58" s="2" t="inlineStr">
        <is>
          <t>2.1 Diseñar la arquitectura de enlace y energía</t>
        </is>
      </c>
      <c r="H58" s="2" t="inlineStr">
        <is>
          <t>2.1</t>
        </is>
      </c>
      <c r="I58" s="2" t="n">
        <v>2</v>
      </c>
      <c r="J58" s="2" t="inlineStr">
        <is>
          <t>estudio</t>
        </is>
      </c>
      <c r="K58" s="3" t="n">
        <v>20000000</v>
      </c>
      <c r="L58" s="3" t="n">
        <v>40000000</v>
      </c>
      <c r="M58" s="2" t="inlineStr">
        <is>
          <t>SGR, Asignación para la CTeI</t>
        </is>
      </c>
      <c r="N58" s="2" t="inlineStr">
        <is>
          <t>Universidad Santo Tomás (ejecutora)</t>
        </is>
      </c>
      <c r="O58" s="2" t="inlineStr">
        <is>
          <t>Ingeniero de firmware y energía</t>
        </is>
      </c>
      <c r="P58" s="2" t="inlineStr">
        <is>
          <t>Manizales $ 20.000.000; Calarcá $ 20.000.000 (un estudio por municipio)</t>
        </is>
      </c>
      <c r="Q58" s="2" t="inlineStr">
        <is>
          <t>M2–M4</t>
        </is>
      </c>
      <c r="R58" s="2" t="inlineStr">
        <is>
          <t>Tabla 30.3 (líneas del SGR); Tabla 15.2 (actividad 2.1); Tabla 28.3 (rubro); Tablas 15.3 y 28.5 (municipio)</t>
        </is>
      </c>
      <c r="S58" s="2" t="inlineStr">
        <is>
          <t>Cadena de valor › OE2 › P6. Servicio de apoyo financiero para programas y proyectos de infraestructura científica y tecnológica › Actividad 2.1 › insumo: Servicios técnicos (clasificación propuesta)</t>
        </is>
      </c>
      <c r="T58" s="2" t="inlineStr">
        <is>
          <t>Presupuesto › rubro «Servicios tecnológicos y pruebas» › fuente «SGR»; Cronograma › actividad 2.1</t>
        </is>
      </c>
      <c r="U58" s="4" t="inlineStr">
        <is>
          <t>El Anexo 3 declara cotizaciones pendientes (TdR 12.2: al menos dos por rubro, no subsanable)</t>
        </is>
      </c>
    </row>
    <row r="59">
      <c r="A59" s="2" t="inlineStr">
        <is>
          <t>ST-05</t>
        </is>
      </c>
      <c r="B59" s="2" t="inlineStr">
        <is>
          <t>Servicios tecnológicos y pruebas</t>
        </is>
      </c>
      <c r="C59" s="2" t="inlineStr">
        <is>
          <t>Evaluación externa independiente (meses 12 y 24)</t>
        </is>
      </c>
      <c r="D59" s="2" t="inlineStr">
        <is>
          <t>OE1. Medición verificada</t>
        </is>
      </c>
      <c r="E59" s="2" t="inlineStr">
        <is>
          <t>P1. Servicio de apoyo para la generación de prototipos de materiales, productos o dispositivos</t>
        </is>
      </c>
      <c r="F59" s="2" t="inlineStr">
        <is>
          <t>Anexo 3</t>
        </is>
      </c>
      <c r="G59" s="2" t="inlineStr">
        <is>
          <t>1.4 Entrenar y validar el modelo de corrección y decidir en la compuerta C1</t>
        </is>
      </c>
      <c r="H59" s="2" t="inlineStr"/>
      <c r="I59" s="2" t="n">
        <v>2</v>
      </c>
      <c r="J59" s="2" t="inlineStr">
        <is>
          <t>evaluación</t>
        </is>
      </c>
      <c r="K59" s="3" t="n">
        <v>60000000</v>
      </c>
      <c r="L59" s="3" t="n">
        <v>120000000</v>
      </c>
      <c r="M59" s="2" t="inlineStr">
        <is>
          <t>SGR, Asignación para la CTeI</t>
        </is>
      </c>
      <c r="N59" s="2" t="inlineStr">
        <is>
          <t>Universidad Santo Tomás (ejecutora)</t>
        </is>
      </c>
      <c r="O59" s="2" t="inlineStr">
        <is>
          <t>Analista de datos espaciales e ingenieros de software</t>
        </is>
      </c>
      <c r="P59" s="2" t="inlineStr">
        <is>
          <t>Común a Manizales y Calarcá (sin localización en el Anexo 3)</t>
        </is>
      </c>
      <c r="Q59" s="2" t="inlineStr">
        <is>
          <t>M10–M24</t>
        </is>
      </c>
      <c r="R59" s="2" t="inlineStr">
        <is>
          <t>Tabla 30.3 (líneas del SGR); Tabla 15.2 (actividad 1.4); Tabla 28.3 (rubro)</t>
        </is>
      </c>
      <c r="S59" s="2" t="inlineStr">
        <is>
          <t>Cadena de valor › OE1 › P1. Servicio de apoyo para la generación de prototipos de materiales, productos o dispositivos › Actividad 1.4 › insumo: Servicios técnicos (clasificación propuesta)</t>
        </is>
      </c>
      <c r="T59" s="2" t="inlineStr">
        <is>
          <t>Presupuesto › rubro «Servicios tecnológicos y pruebas» › fuente «SGR»; Cronograma › actividad 1.4</t>
        </is>
      </c>
      <c r="U59" s="4" t="inlineStr">
        <is>
          <t>El Anexo 3 declara cotizaciones pendientes (TdR 12.2: al menos dos por rubro, no subsanable)</t>
        </is>
      </c>
    </row>
    <row r="60">
      <c r="A60" s="2" t="inlineStr">
        <is>
          <t>ST-06</t>
        </is>
      </c>
      <c r="B60" s="2" t="inlineStr">
        <is>
          <t>Servicios tecnológicos y pruebas</t>
        </is>
      </c>
      <c r="C60" s="2" t="inlineStr">
        <is>
          <t>Ensayo de desempeño con laboratorio externo</t>
        </is>
      </c>
      <c r="D60" s="2" t="inlineStr">
        <is>
          <t>OE1. Medición verificada</t>
        </is>
      </c>
      <c r="E60" s="2" t="inlineStr">
        <is>
          <t>P1. Servicio de apoyo para la generación de prototipos de materiales, productos o dispositivos</t>
        </is>
      </c>
      <c r="F60" s="2" t="inlineStr">
        <is>
          <t>Anexo 3</t>
        </is>
      </c>
      <c r="G60" s="2" t="inlineStr">
        <is>
          <t>1.6 Verificar el desempeño final y ejecutar el ensayo independiente</t>
        </is>
      </c>
      <c r="H60" s="2" t="inlineStr"/>
      <c r="I60" s="2" t="n">
        <v>1</v>
      </c>
      <c r="J60" s="2" t="inlineStr">
        <is>
          <t>campaña</t>
        </is>
      </c>
      <c r="K60" s="3" t="n">
        <v>90000000</v>
      </c>
      <c r="L60" s="3" t="n">
        <v>90000000</v>
      </c>
      <c r="M60" s="2" t="inlineStr">
        <is>
          <t>SGR, Asignación para la CTeI</t>
        </is>
      </c>
      <c r="N60" s="2" t="inlineStr">
        <is>
          <t>Universidad Santo Tomás (ejecutora)</t>
        </is>
      </c>
      <c r="O60" s="2" t="inlineStr">
        <is>
          <t>Especialista en metrología y evaluador externo</t>
        </is>
      </c>
      <c r="P60" s="2" t="inlineStr">
        <is>
          <t>Común a Manizales y Calarcá (sin localización en el Anexo 3)</t>
        </is>
      </c>
      <c r="Q60" s="2" t="inlineStr">
        <is>
          <t>M19–M23</t>
        </is>
      </c>
      <c r="R60" s="2" t="inlineStr">
        <is>
          <t>Tabla 30.3 (líneas del SGR); Tabla 15.2 (actividad 1.6); Tabla 28.3 (rubro)</t>
        </is>
      </c>
      <c r="S60" s="2" t="inlineStr">
        <is>
          <t>Cadena de valor › OE1 › P1. Servicio de apoyo para la generación de prototipos de materiales, productos o dispositivos › Actividad 1.6 › insumo: Servicios técnicos (clasificación propuesta)</t>
        </is>
      </c>
      <c r="T60" s="2" t="inlineStr">
        <is>
          <t>Presupuesto › rubro «Servicios tecnológicos y pruebas» › fuente «SGR»; Cronograma › actividad 1.6</t>
        </is>
      </c>
      <c r="U60" s="4" t="inlineStr">
        <is>
          <t>El Anexo 3 declara cotizaciones pendientes (TdR 12.2: al menos dos por rubro, no subsanable)</t>
        </is>
      </c>
    </row>
    <row r="61">
      <c r="A61" s="2" t="inlineStr">
        <is>
          <t>ST-07</t>
        </is>
      </c>
      <c r="B61" s="2" t="inlineStr">
        <is>
          <t>Servicios tecnológicos y pruebas</t>
        </is>
      </c>
      <c r="C61" s="2" t="inlineStr">
        <is>
          <t>Planes de enlace satelital de respaldo</t>
        </is>
      </c>
      <c r="D61" s="2" t="inlineStr">
        <is>
          <t>OE1. Medición verificada</t>
        </is>
      </c>
      <c r="E61" s="2" t="inlineStr">
        <is>
          <t>P1. Servicio de apoyo para la generación de prototipos de materiales, productos o dispositivos</t>
        </is>
      </c>
      <c r="F61" s="2" t="inlineStr">
        <is>
          <t>Anexo 3</t>
        </is>
      </c>
      <c r="G61" s="2" t="inlineStr">
        <is>
          <t>1.3 Instalar el tramo 1, colocalizar y calibrar en el piloto</t>
        </is>
      </c>
      <c r="H61" s="2" t="inlineStr"/>
      <c r="I61" s="2" t="n">
        <v>220</v>
      </c>
      <c r="J61" s="2" t="inlineStr">
        <is>
          <t>módulo-mes</t>
        </is>
      </c>
      <c r="K61" s="3" t="n">
        <v>200000</v>
      </c>
      <c r="L61" s="3" t="n">
        <v>44000000</v>
      </c>
      <c r="M61" s="2" t="inlineStr">
        <is>
          <t>SGR, Asignación para la CTeI</t>
        </is>
      </c>
      <c r="N61" s="2" t="inlineStr">
        <is>
          <t>Universidad Santo Tomás (ejecutora)</t>
        </is>
      </c>
      <c r="O61" s="2" t="inlineStr">
        <is>
          <t>Técnicos de campo y especialista en metrología</t>
        </is>
      </c>
      <c r="P61" s="2" t="inlineStr">
        <is>
          <t>Común a Manizales y Calarcá (sin localización en el Anexo 3)</t>
        </is>
      </c>
      <c r="Q61" s="2" t="inlineStr">
        <is>
          <t>M3–M24</t>
        </is>
      </c>
      <c r="R61" s="2" t="inlineStr">
        <is>
          <t>Tabla 30.3 (líneas del SGR); Tabla 15.2 (actividad 1.3); Tabla 28.3 (rubro)</t>
        </is>
      </c>
      <c r="S61" s="2" t="inlineStr">
        <is>
          <t>Cadena de valor › OE1 › P1. Servicio de apoyo para la generación de prototipos de materiales, productos o dispositivos › Actividad 1.3 › insumo: Servicios técnicos (clasificación propuesta)</t>
        </is>
      </c>
      <c r="T61" s="2" t="inlineStr">
        <is>
          <t>Presupuesto › rubro «Servicios tecnológicos y pruebas» › fuente «SGR»; Cronograma › actividad 1.3</t>
        </is>
      </c>
      <c r="U61" s="4" t="inlineStr">
        <is>
          <t>El Anexo 3 declara cotizaciones pendientes (TdR 12.2: al menos dos por rubro, no subsanable)</t>
        </is>
      </c>
    </row>
    <row r="62">
      <c r="A62" s="2" t="inlineStr">
        <is>
          <t>ST-08</t>
        </is>
      </c>
      <c r="B62" s="2" t="inlineStr">
        <is>
          <t>Servicios tecnológicos y pruebas</t>
        </is>
      </c>
      <c r="C62" s="2" t="inlineStr">
        <is>
          <t>Campañas de medición en demoliciones y remociones reales (logística, seguridad industrial y acceso)</t>
        </is>
      </c>
      <c r="D62" s="2" t="inlineStr">
        <is>
          <t>OE1. Medición verificada</t>
        </is>
      </c>
      <c r="E62" s="2" t="inlineStr">
        <is>
          <t>P1. Servicio de apoyo para la generación de prototipos de materiales, productos o dispositivos</t>
        </is>
      </c>
      <c r="F62" s="2" t="inlineStr">
        <is>
          <t>Anexo 3</t>
        </is>
      </c>
      <c r="G62" s="2" t="inlineStr">
        <is>
          <t>1.7 Validar el gemelo predictivo con demoliciones y remociones reales en los dos municipios</t>
        </is>
      </c>
      <c r="H62" s="2" t="inlineStr"/>
      <c r="I62" s="2" t="n">
        <v>9</v>
      </c>
      <c r="J62" s="2" t="inlineStr">
        <is>
          <t>campaña</t>
        </is>
      </c>
      <c r="K62" s="3" t="n">
        <v>16000000</v>
      </c>
      <c r="L62" s="3" t="n">
        <v>144000000</v>
      </c>
      <c r="M62" s="2" t="inlineStr">
        <is>
          <t>SGR, Asignación para la CTeI</t>
        </is>
      </c>
      <c r="N62" s="2" t="inlineStr">
        <is>
          <t>Universidad Santo Tomás (ejecutora)</t>
        </is>
      </c>
      <c r="O62" s="2" t="inlineStr">
        <is>
          <t>Investigador líder en modelación</t>
        </is>
      </c>
      <c r="P62" s="2" t="inlineStr">
        <is>
          <t>Común a Manizales y Calarcá (sin localización en el Anexo 3)</t>
        </is>
      </c>
      <c r="Q62" s="2" t="inlineStr">
        <is>
          <t>M14–M23</t>
        </is>
      </c>
      <c r="R62" s="2" t="inlineStr">
        <is>
          <t>Tabla 30.3 (líneas del SGR); Tabla 15.2 (actividad 1.7); Tabla 28.3 (rubro)</t>
        </is>
      </c>
      <c r="S62" s="2" t="inlineStr">
        <is>
          <t>Cadena de valor › OE1 › P1. Servicio de apoyo para la generación de prototipos de materiales, productos o dispositivos › Actividad 1.7 › insumo: Servicios técnicos (clasificación propuesta)</t>
        </is>
      </c>
      <c r="T62" s="2" t="inlineStr">
        <is>
          <t>Presupuesto › rubro «Servicios tecnológicos y pruebas» › fuente «SGR»; Cronograma › actividad 1.7</t>
        </is>
      </c>
      <c r="U62" s="4" t="inlineStr">
        <is>
          <t>El Anexo 3 declara cotizaciones pendientes (TdR 12.2: al menos dos por rubro, no subsanable)</t>
        </is>
      </c>
    </row>
    <row r="63">
      <c r="A63" s="2" t="inlineStr">
        <is>
          <t>ST-09</t>
        </is>
      </c>
      <c r="B63" s="2" t="inlineStr">
        <is>
          <t>Servicios tecnológicos y pruebas</t>
        </is>
      </c>
      <c r="C63" s="2" t="inlineStr">
        <is>
          <t>Caracterización granulométrica y química del polvo de escombros en laboratorio acreditado</t>
        </is>
      </c>
      <c r="D63" s="2" t="inlineStr">
        <is>
          <t>OE2. Disponibilidad de la red</t>
        </is>
      </c>
      <c r="E63" s="2" t="inlineStr">
        <is>
          <t>P1. Servicio de apoyo para la generación de prototipos de materiales, productos o dispositivos</t>
        </is>
      </c>
      <c r="F63" s="2" t="inlineStr">
        <is>
          <t>Anexo 3</t>
        </is>
      </c>
      <c r="G63" s="2" t="inlineStr">
        <is>
          <t>2.5 Diseñar el laboratorio de modelación y el inventario de emisión de demolición</t>
        </is>
      </c>
      <c r="H63" s="2" t="inlineStr"/>
      <c r="I63" s="2" t="n">
        <v>30</v>
      </c>
      <c r="J63" s="2" t="inlineStr">
        <is>
          <t>muestra</t>
        </is>
      </c>
      <c r="K63" s="3" t="n">
        <v>1100000</v>
      </c>
      <c r="L63" s="3" t="n">
        <v>33000000</v>
      </c>
      <c r="M63" s="2" t="inlineStr">
        <is>
          <t>SGR, Asignación para la CTeI</t>
        </is>
      </c>
      <c r="N63" s="2" t="inlineStr">
        <is>
          <t>Universidad Santo Tomás (ejecutora)</t>
        </is>
      </c>
      <c r="O63" s="2" t="inlineStr">
        <is>
          <t>Investigador líder en modelación</t>
        </is>
      </c>
      <c r="P63" s="2" t="inlineStr">
        <is>
          <t>Común a Manizales y Calarcá (sin localización en el Anexo 3)</t>
        </is>
      </c>
      <c r="Q63" s="2" t="inlineStr">
        <is>
          <t>M2–M17</t>
        </is>
      </c>
      <c r="R63" s="2" t="inlineStr">
        <is>
          <t>Tabla 30.3 (líneas del SGR); Tabla 15.2 (actividad 2.5); Tabla 28.3 (rubro)</t>
        </is>
      </c>
      <c r="S63" s="2" t="inlineStr">
        <is>
          <t>Cadena de valor › OE2 › P1. Servicio de apoyo para la generación de prototipos de materiales, productos o dispositivos › Actividad 2.5 › insumo: Servicios técnicos (clasificación propuesta)</t>
        </is>
      </c>
      <c r="T63" s="2" t="inlineStr">
        <is>
          <t>Presupuesto › rubro «Servicios tecnológicos y pruebas» › fuente «SGR»; Cronograma › actividad 2.5</t>
        </is>
      </c>
      <c r="U63" s="4" t="inlineStr">
        <is>
          <t>El Anexo 3 declara cotizaciones pendientes (TdR 12.2: al menos dos por rubro, no subsanable)</t>
        </is>
      </c>
    </row>
    <row r="64">
      <c r="A64" s="2" t="inlineStr">
        <is>
          <t>ST-10</t>
        </is>
      </c>
      <c r="B64" s="2" t="inlineStr">
        <is>
          <t>Servicios tecnológicos y pruebas</t>
        </is>
      </c>
      <c r="C64" s="2" t="inlineStr">
        <is>
          <t>Verificación y validación independiente del modelo predictivo</t>
        </is>
      </c>
      <c r="D64" s="2" t="inlineStr">
        <is>
          <t>OE1. Medición verificada</t>
        </is>
      </c>
      <c r="E64" s="2" t="inlineStr">
        <is>
          <t>P1. Servicio de apoyo para la generación de prototipos de materiales, productos o dispositivos</t>
        </is>
      </c>
      <c r="F64" s="2" t="inlineStr">
        <is>
          <t>Anexo 3</t>
        </is>
      </c>
      <c r="G64" s="2" t="inlineStr">
        <is>
          <t>1.7 Validar el gemelo predictivo con demoliciones y remociones reales en los dos municipios</t>
        </is>
      </c>
      <c r="H64" s="2" t="inlineStr"/>
      <c r="I64" s="2" t="n">
        <v>1</v>
      </c>
      <c r="J64" s="2" t="inlineStr">
        <is>
          <t>servicio</t>
        </is>
      </c>
      <c r="K64" s="3" t="n">
        <v>48000000</v>
      </c>
      <c r="L64" s="3" t="n">
        <v>48000000</v>
      </c>
      <c r="M64" s="2" t="inlineStr">
        <is>
          <t>SGR, Asignación para la CTeI</t>
        </is>
      </c>
      <c r="N64" s="2" t="inlineStr">
        <is>
          <t>Universidad Santo Tomás (ejecutora)</t>
        </is>
      </c>
      <c r="O64" s="2" t="inlineStr">
        <is>
          <t>Investigador líder en modelación</t>
        </is>
      </c>
      <c r="P64" s="2" t="inlineStr">
        <is>
          <t>Común a Manizales y Calarcá (sin localización en el Anexo 3)</t>
        </is>
      </c>
      <c r="Q64" s="2" t="inlineStr">
        <is>
          <t>M14–M24</t>
        </is>
      </c>
      <c r="R64" s="2" t="inlineStr">
        <is>
          <t>Tabla 30.3 (líneas del SGR); Tabla 15.2 (actividad 1.7); Tabla 28.3 (rubro)</t>
        </is>
      </c>
      <c r="S64" s="2" t="inlineStr">
        <is>
          <t>Cadena de valor › OE1 › P1. Servicio de apoyo para la generación de prototipos de materiales, productos o dispositivos › Actividad 1.7 › insumo: Servicios técnicos (clasificación propuesta)</t>
        </is>
      </c>
      <c r="T64" s="2" t="inlineStr">
        <is>
          <t>Presupuesto › rubro «Servicios tecnológicos y pruebas» › fuente «SGR»; Cronograma › actividad 1.7</t>
        </is>
      </c>
      <c r="U64" s="4" t="inlineStr">
        <is>
          <t>El Anexo 3 declara cotizaciones pendientes (TdR 12.2: al menos dos por rubro, no subsanable)</t>
        </is>
      </c>
    </row>
    <row r="65">
      <c r="A65" s="2" t="inlineStr">
        <is>
          <t>ST-11</t>
        </is>
      </c>
      <c r="B65" s="2" t="inlineStr">
        <is>
          <t>Servicios tecnológicos y pruebas</t>
        </is>
      </c>
      <c r="C65" s="2" t="inlineStr">
        <is>
          <t>Cartografía de alta resolución y modelos digitales de terreno de los sitios</t>
        </is>
      </c>
      <c r="D65" s="2" t="inlineStr">
        <is>
          <t>OE2. Disponibilidad de la red</t>
        </is>
      </c>
      <c r="E65" s="2" t="inlineStr">
        <is>
          <t>P6. Servicio de apoyo financiero para programas y proyectos de infraestructura científica y tecnológica</t>
        </is>
      </c>
      <c r="F65" s="2" t="inlineStr">
        <is>
          <t>Anexo 3</t>
        </is>
      </c>
      <c r="G65" s="2" t="inlineStr">
        <is>
          <t>2.5 Diseñar el laboratorio de modelación y el inventario de emisión de demolición</t>
        </is>
      </c>
      <c r="H65" s="2" t="inlineStr"/>
      <c r="I65" s="2" t="n">
        <v>1</v>
      </c>
      <c r="J65" s="2" t="inlineStr">
        <is>
          <t>paquete</t>
        </is>
      </c>
      <c r="K65" s="3" t="n">
        <v>20000000</v>
      </c>
      <c r="L65" s="3" t="n">
        <v>20000000</v>
      </c>
      <c r="M65" s="2" t="inlineStr">
        <is>
          <t>SGR, Asignación para la CTeI</t>
        </is>
      </c>
      <c r="N65" s="2" t="inlineStr">
        <is>
          <t>Universidad Santo Tomás (ejecutora)</t>
        </is>
      </c>
      <c r="O65" s="2" t="inlineStr">
        <is>
          <t>Investigador líder en modelación</t>
        </is>
      </c>
      <c r="P65" s="2" t="inlineStr">
        <is>
          <t>Común a Manizales y Calarcá (sin localización en el Anexo 3)</t>
        </is>
      </c>
      <c r="Q65" s="2" t="inlineStr">
        <is>
          <t>M2–M6</t>
        </is>
      </c>
      <c r="R65" s="2" t="inlineStr">
        <is>
          <t>Tabla 30.3 (líneas del SGR); Tabla 15.2 (actividad 2.5); Tabla 28.3 (rubro)</t>
        </is>
      </c>
      <c r="S65" s="2" t="inlineStr">
        <is>
          <t>Cadena de valor › OE2 › P6. Servicio de apoyo financiero para programas y proyectos de infraestructura científica y tecnológica › Actividad 2.5 › insumo: Servicios técnicos (clasificación propuesta)</t>
        </is>
      </c>
      <c r="T65" s="2" t="inlineStr">
        <is>
          <t>Presupuesto › rubro «Servicios tecnológicos y pruebas» › fuente «SGR»; Cronograma › actividad 2.5</t>
        </is>
      </c>
      <c r="U65" s="4" t="inlineStr">
        <is>
          <t>El Anexo 3 declara cotizaciones pendientes (TdR 12.2: al menos dos por rubro, no subsanable)</t>
        </is>
      </c>
    </row>
    <row r="66">
      <c r="A66" s="2" t="inlineStr">
        <is>
          <t>ST-12</t>
        </is>
      </c>
      <c r="B66" s="2" t="inlineStr">
        <is>
          <t>Servicios tecnológicos y pruebas</t>
        </is>
      </c>
      <c r="C66" s="2" t="inlineStr">
        <is>
          <t>Plataforma geoespacial del índice de polvo (servicio contratado) · Director técnico del proyecto GIS</t>
        </is>
      </c>
      <c r="D66" s="2" t="inlineStr">
        <is>
          <t>OE2. Disponibilidad de la red</t>
        </is>
      </c>
      <c r="E66" s="2" t="inlineStr">
        <is>
          <t>P6. Servicio de apoyo financiero para programas y proyectos de infraestructura científica y tecnológica; P8. Servicio de apropiación social del conocimiento</t>
        </is>
      </c>
      <c r="F66" s="2" t="inlineStr">
        <is>
          <t>Anexo 3</t>
        </is>
      </c>
      <c r="G66" s="2" t="inlineStr">
        <is>
          <t>2.2 Desarrollar el firmware y la plataforma base (gemelo digital y tablero)</t>
        </is>
      </c>
      <c r="H66" s="2" t="inlineStr">
        <is>
          <t>2.2, 2.7, 3.2</t>
        </is>
      </c>
      <c r="I66" s="2" t="n">
        <v>5.1</v>
      </c>
      <c r="J66" s="2" t="inlineStr">
        <is>
          <t>persona-mes</t>
        </is>
      </c>
      <c r="K66" s="3" t="n">
        <v>20825000</v>
      </c>
      <c r="L66" s="3" t="n">
        <v>106207500</v>
      </c>
      <c r="M66" s="2" t="inlineStr">
        <is>
          <t>SGR, Asignación para la CTeI</t>
        </is>
      </c>
      <c r="N66" s="2" t="inlineStr">
        <is>
          <t>Universidad Santo Tomás (ejecutora)</t>
        </is>
      </c>
      <c r="O66" s="2" t="inlineStr">
        <is>
          <t>Ingenieros de software y nube</t>
        </is>
      </c>
      <c r="P66" s="2" t="inlineStr">
        <is>
          <t>Común a Manizales y Calarcá (sin localización en el Anexo 3)</t>
        </is>
      </c>
      <c r="Q66" s="2" t="inlineStr">
        <is>
          <t>M4–M22</t>
        </is>
      </c>
      <c r="R66" s="2" t="inlineStr">
        <is>
          <t>Tabla 30.3 (líneas del SGR); Tabla 15.2 (actividad 2.2); Tabla 28.3 (rubro)</t>
        </is>
      </c>
      <c r="S66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6" s="2" t="inlineStr">
        <is>
          <t>Presupuesto › rubro «Servicios tecnológicos y pruebas» › fuente «SGR»; Cronograma › actividad 2.2</t>
        </is>
      </c>
      <c r="U66" s="4" t="inlineStr">
        <is>
          <t>Cotización original del proveedor retirado; reunir dos cotizaciones nuevas</t>
        </is>
      </c>
    </row>
    <row r="67">
      <c r="A67" s="2" t="inlineStr">
        <is>
          <t>ST-13</t>
        </is>
      </c>
      <c r="B67" s="2" t="inlineStr">
        <is>
          <t>Servicios tecnológicos y pruebas</t>
        </is>
      </c>
      <c r="C67" s="2" t="inlineStr">
        <is>
          <t>Plataforma geoespacial del índice de polvo (servicio contratado) · Arquitecto de soluciones GIS</t>
        </is>
      </c>
      <c r="D67" s="2" t="inlineStr">
        <is>
          <t>OE2. Disponibilidad de la red</t>
        </is>
      </c>
      <c r="E67" s="2" t="inlineStr">
        <is>
          <t>P6. Servicio de apoyo financiero para programas y proyectos de infraestructura científica y tecnológica; P8. Servicio de apropiación social del conocimiento</t>
        </is>
      </c>
      <c r="F67" s="2" t="inlineStr">
        <is>
          <t>Anexo 3</t>
        </is>
      </c>
      <c r="G67" s="2" t="inlineStr">
        <is>
          <t>2.1 Diseñar la arquitectura de enlace y energía</t>
        </is>
      </c>
      <c r="H67" s="2" t="inlineStr">
        <is>
          <t>2.1, 2.2</t>
        </is>
      </c>
      <c r="I67" s="2" t="n">
        <v>3.4</v>
      </c>
      <c r="J67" s="2" t="inlineStr">
        <is>
          <t>persona-mes</t>
        </is>
      </c>
      <c r="K67" s="3" t="n">
        <v>16660000</v>
      </c>
      <c r="L67" s="3" t="n">
        <v>56644000</v>
      </c>
      <c r="M67" s="2" t="inlineStr">
        <is>
          <t>SGR, Asignación para la CTeI</t>
        </is>
      </c>
      <c r="N67" s="2" t="inlineStr">
        <is>
          <t>Universidad Santo Tomás (ejecutora)</t>
        </is>
      </c>
      <c r="O67" s="2" t="inlineStr">
        <is>
          <t>Ingeniero de firmware y energía</t>
        </is>
      </c>
      <c r="P67" s="2" t="inlineStr">
        <is>
          <t>Común a Manizales y Calarcá (sin localización en el Anexo 3)</t>
        </is>
      </c>
      <c r="Q67" s="2" t="inlineStr">
        <is>
          <t>M4–M22</t>
        </is>
      </c>
      <c r="R67" s="2" t="inlineStr">
        <is>
          <t>Tabla 30.3 (líneas del SGR); Tabla 15.2 (actividad 2.1); Tabla 28.3 (rubro)</t>
        </is>
      </c>
      <c r="S67" s="2" t="inlineStr">
        <is>
          <t>Cadena de valor › OE2 › P6. Servicio de apoyo financiero para programas y proyectos de infraestructura científica y tecnológica › Actividad 2.1 › insumo: Servicios técnicos (clasificación propuesta)</t>
        </is>
      </c>
      <c r="T67" s="2" t="inlineStr">
        <is>
          <t>Presupuesto › rubro «Servicios tecnológicos y pruebas» › fuente «SGR»; Cronograma › actividad 2.1</t>
        </is>
      </c>
      <c r="U67" s="4" t="inlineStr">
        <is>
          <t>Cotización original del proveedor retirado; reunir dos cotizaciones nuevas</t>
        </is>
      </c>
    </row>
    <row r="68">
      <c r="A68" s="2" t="inlineStr">
        <is>
          <t>ST-14</t>
        </is>
      </c>
      <c r="B68" s="2" t="inlineStr">
        <is>
          <t>Servicios tecnológicos y pruebas</t>
        </is>
      </c>
      <c r="C68" s="2" t="inlineStr">
        <is>
          <t>Plataforma geoespacial del índice de polvo (servicio contratado) · Ingeniero de datos geoespaciales e interoperabilidad con la red IoT</t>
        </is>
      </c>
      <c r="D68" s="2" t="inlineStr">
        <is>
          <t>OE2. Disponibilidad de la red</t>
        </is>
      </c>
      <c r="E68" s="2" t="inlineStr">
        <is>
          <t>P6. Servicio de apoyo financiero para programas y proyectos de infraestructura científica y tecnológica; P8. Servicio de apropiación social del conocimiento</t>
        </is>
      </c>
      <c r="F68" s="2" t="inlineStr">
        <is>
          <t>Anexo 3</t>
        </is>
      </c>
      <c r="G68" s="2" t="inlineStr">
        <is>
          <t>2.2 Desarrollar el firmware y la plataforma base (gemelo digital y tablero)</t>
        </is>
      </c>
      <c r="H68" s="2" t="inlineStr">
        <is>
          <t>2.2, 2.7</t>
        </is>
      </c>
      <c r="I68" s="2" t="n">
        <v>6</v>
      </c>
      <c r="J68" s="2" t="inlineStr">
        <is>
          <t>persona-mes</t>
        </is>
      </c>
      <c r="K68" s="3" t="n">
        <v>16660000</v>
      </c>
      <c r="L68" s="3" t="n">
        <v>99960000</v>
      </c>
      <c r="M68" s="2" t="inlineStr">
        <is>
          <t>SGR, Asignación para la CTeI</t>
        </is>
      </c>
      <c r="N68" s="2" t="inlineStr">
        <is>
          <t>Universidad Santo Tomás (ejecutora)</t>
        </is>
      </c>
      <c r="O68" s="2" t="inlineStr">
        <is>
          <t>Ingenieros de software y nube</t>
        </is>
      </c>
      <c r="P68" s="2" t="inlineStr">
        <is>
          <t>Común a Manizales y Calarcá (sin localización en el Anexo 3)</t>
        </is>
      </c>
      <c r="Q68" s="2" t="inlineStr">
        <is>
          <t>M4–M22</t>
        </is>
      </c>
      <c r="R68" s="2" t="inlineStr">
        <is>
          <t>Tabla 30.3 (líneas del SGR); Tabla 15.2 (actividad 2.2); Tabla 28.3 (rubro)</t>
        </is>
      </c>
      <c r="S68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8" s="2" t="inlineStr">
        <is>
          <t>Presupuesto › rubro «Servicios tecnológicos y pruebas» › fuente «SGR»; Cronograma › actividad 2.2</t>
        </is>
      </c>
      <c r="U68" s="4" t="inlineStr">
        <is>
          <t>Cotización original del proveedor retirado; reunir dos cotizaciones nuevas</t>
        </is>
      </c>
    </row>
    <row r="69">
      <c r="A69" s="2" t="inlineStr">
        <is>
          <t>ST-15</t>
        </is>
      </c>
      <c r="B69" s="2" t="inlineStr">
        <is>
          <t>Servicios tecnológicos y pruebas</t>
        </is>
      </c>
      <c r="C69" s="2" t="inlineStr">
        <is>
          <t>Plataforma geoespacial del índice de polvo (servicio contratado) · Desarrollador GIS backend</t>
        </is>
      </c>
      <c r="D69" s="2" t="inlineStr">
        <is>
          <t>OE2. Disponibilidad de la red</t>
        </is>
      </c>
      <c r="E69" s="2" t="inlineStr">
        <is>
          <t>P6. Servicio de apoyo financiero para programas y proyectos de infraestructura científica y tecnológica; P8. Servicio de apropiación social del conocimiento</t>
        </is>
      </c>
      <c r="F69" s="2" t="inlineStr">
        <is>
          <t>Anexo 3</t>
        </is>
      </c>
      <c r="G69" s="2" t="inlineStr">
        <is>
          <t>2.2 Desarrollar el firmware y la plataforma base (gemelo digital y tablero)</t>
        </is>
      </c>
      <c r="H69" s="2" t="inlineStr">
        <is>
          <t>2.2, 2.7</t>
        </is>
      </c>
      <c r="I69" s="2" t="n">
        <v>6</v>
      </c>
      <c r="J69" s="2" t="inlineStr">
        <is>
          <t>persona-mes</t>
        </is>
      </c>
      <c r="K69" s="3" t="n">
        <v>20825000</v>
      </c>
      <c r="L69" s="3" t="n">
        <v>124950000</v>
      </c>
      <c r="M69" s="2" t="inlineStr">
        <is>
          <t>SGR, Asignación para la CTeI</t>
        </is>
      </c>
      <c r="N69" s="2" t="inlineStr">
        <is>
          <t>Universidad Santo Tomás (ejecutora)</t>
        </is>
      </c>
      <c r="O69" s="2" t="inlineStr">
        <is>
          <t>Ingenieros de software y nube</t>
        </is>
      </c>
      <c r="P69" s="2" t="inlineStr">
        <is>
          <t>Común a Manizales y Calarcá (sin localización en el Anexo 3)</t>
        </is>
      </c>
      <c r="Q69" s="2" t="inlineStr">
        <is>
          <t>M4–M22</t>
        </is>
      </c>
      <c r="R69" s="2" t="inlineStr">
        <is>
          <t>Tabla 30.3 (líneas del SGR); Tabla 15.2 (actividad 2.2); Tabla 28.3 (rubro)</t>
        </is>
      </c>
      <c r="S69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69" s="2" t="inlineStr">
        <is>
          <t>Presupuesto › rubro «Servicios tecnológicos y pruebas» › fuente «SGR»; Cronograma › actividad 2.2</t>
        </is>
      </c>
      <c r="U69" s="4" t="inlineStr">
        <is>
          <t>Cotización original del proveedor retirado; reunir dos cotizaciones nuevas</t>
        </is>
      </c>
    </row>
    <row r="70">
      <c r="A70" s="2" t="inlineStr">
        <is>
          <t>ST-16</t>
        </is>
      </c>
      <c r="B70" s="2" t="inlineStr">
        <is>
          <t>Servicios tecnológicos y pruebas</t>
        </is>
      </c>
      <c r="C70" s="2" t="inlineStr">
        <is>
          <t>Plataforma geoespacial del índice de polvo (servicio contratado) · Desarrollador GIS frontend del visor y del tablero de los consejos de gestión del riesgo</t>
        </is>
      </c>
      <c r="D70" s="2" t="inlineStr">
        <is>
          <t>OE2. Disponibilidad de la red</t>
        </is>
      </c>
      <c r="E70" s="2" t="inlineStr">
        <is>
          <t>P6. Servicio de apoyo financiero para programas y proyectos de infraestructura científica y tecnológica; P8. Servicio de apropiación social del conocimiento</t>
        </is>
      </c>
      <c r="F70" s="2" t="inlineStr">
        <is>
          <t>Anexo 3</t>
        </is>
      </c>
      <c r="G70" s="2" t="inlineStr">
        <is>
          <t>2.2 Desarrollar el firmware y la plataforma base (gemelo digital y tablero)</t>
        </is>
      </c>
      <c r="H70" s="2" t="inlineStr">
        <is>
          <t>2.2, 3.2</t>
        </is>
      </c>
      <c r="I70" s="2" t="n">
        <v>5.1</v>
      </c>
      <c r="J70" s="2" t="inlineStr">
        <is>
          <t>persona-mes</t>
        </is>
      </c>
      <c r="K70" s="3" t="n">
        <v>20825000</v>
      </c>
      <c r="L70" s="3" t="n">
        <v>106207500</v>
      </c>
      <c r="M70" s="2" t="inlineStr">
        <is>
          <t>SGR, Asignación para la CTeI</t>
        </is>
      </c>
      <c r="N70" s="2" t="inlineStr">
        <is>
          <t>Universidad Santo Tomás (ejecutora)</t>
        </is>
      </c>
      <c r="O70" s="2" t="inlineStr">
        <is>
          <t>Ingenieros de software y nube</t>
        </is>
      </c>
      <c r="P70" s="2" t="inlineStr">
        <is>
          <t>Común a Manizales y Calarcá (sin localización en el Anexo 3)</t>
        </is>
      </c>
      <c r="Q70" s="2" t="inlineStr">
        <is>
          <t>M4–M22</t>
        </is>
      </c>
      <c r="R70" s="2" t="inlineStr">
        <is>
          <t>Tabla 30.3 (líneas del SGR); Tabla 15.2 (actividad 2.2); Tabla 28.3 (rubro)</t>
        </is>
      </c>
      <c r="S70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0" s="2" t="inlineStr">
        <is>
          <t>Presupuesto › rubro «Servicios tecnológicos y pruebas» › fuente «SGR»; Cronograma › actividad 2.2</t>
        </is>
      </c>
      <c r="U70" s="4" t="inlineStr">
        <is>
          <t>Cotización original del proveedor retirado; reunir dos cotizaciones nuevas</t>
        </is>
      </c>
    </row>
    <row r="71">
      <c r="A71" s="2" t="inlineStr">
        <is>
          <t>ST-17</t>
        </is>
      </c>
      <c r="B71" s="2" t="inlineStr">
        <is>
          <t>Servicios tecnológicos y pruebas</t>
        </is>
      </c>
      <c r="C71" s="2" t="inlineStr">
        <is>
          <t>Plataforma geoespacial del índice de polvo (servicio contratado) · Especialista GIS y análisis territorial de exposición al polvo</t>
        </is>
      </c>
      <c r="D71" s="2" t="inlineStr">
        <is>
          <t>OE1. Medición verificada</t>
        </is>
      </c>
      <c r="E71" s="2" t="inlineStr">
        <is>
          <t>P6. Servicio de apoyo financiero para programas y proyectos de infraestructura científica y tecnológica; P8. Servicio de apropiación social del conocimiento</t>
        </is>
      </c>
      <c r="F71" s="2" t="inlineStr">
        <is>
          <t>Anexo 3</t>
        </is>
      </c>
      <c r="G71" s="2" t="inlineStr">
        <is>
          <t>1.7 Validar el gemelo predictivo con demoliciones y remociones reales en los dos municipios</t>
        </is>
      </c>
      <c r="H71" s="2" t="inlineStr">
        <is>
          <t>1.7, 2.7</t>
        </is>
      </c>
      <c r="I71" s="2" t="n">
        <v>5.1</v>
      </c>
      <c r="J71" s="2" t="inlineStr">
        <is>
          <t>persona-mes</t>
        </is>
      </c>
      <c r="K71" s="3" t="n">
        <v>16660000</v>
      </c>
      <c r="L71" s="3" t="n">
        <v>84966000</v>
      </c>
      <c r="M71" s="2" t="inlineStr">
        <is>
          <t>SGR, Asignación para la CTeI</t>
        </is>
      </c>
      <c r="N71" s="2" t="inlineStr">
        <is>
          <t>Universidad Santo Tomás (ejecutora)</t>
        </is>
      </c>
      <c r="O71" s="2" t="inlineStr">
        <is>
          <t>Investigador líder en modelación</t>
        </is>
      </c>
      <c r="P71" s="2" t="inlineStr">
        <is>
          <t>Común a Manizales y Calarcá (sin localización en el Anexo 3)</t>
        </is>
      </c>
      <c r="Q71" s="2" t="inlineStr">
        <is>
          <t>M4–M22</t>
        </is>
      </c>
      <c r="R71" s="2" t="inlineStr">
        <is>
          <t>Tabla 30.3 (líneas del SGR); Tabla 15.2 (actividad 1.7); Tabla 28.3 (rubro)</t>
        </is>
      </c>
      <c r="S71" s="2" t="inlineStr">
        <is>
          <t>Cadena de valor › OE1 › P6. Servicio de apoyo financiero para programas y proyectos de infraestructura científica y tecnológica › Actividad 1.7 › insumo: Servicios técnicos (clasificación propuesta)</t>
        </is>
      </c>
      <c r="T71" s="2" t="inlineStr">
        <is>
          <t>Presupuesto › rubro «Servicios tecnológicos y pruebas» › fuente «SGR»; Cronograma › actividad 1.7</t>
        </is>
      </c>
      <c r="U71" s="4" t="inlineStr">
        <is>
          <t>Cotización original del proveedor retirado; reunir dos cotizaciones nuevas</t>
        </is>
      </c>
    </row>
    <row r="72">
      <c r="A72" s="2" t="inlineStr">
        <is>
          <t>ST-18</t>
        </is>
      </c>
      <c r="B72" s="2" t="inlineStr">
        <is>
          <t>Servicios tecnológicos y pruebas</t>
        </is>
      </c>
      <c r="C72" s="2" t="inlineStr">
        <is>
          <t>Plataforma geoespacial del índice de polvo (servicio contratado) · Diseñador UX/UI del tablero para consejos de gestión del riesgo y ciudadanía</t>
        </is>
      </c>
      <c r="D72" s="2" t="inlineStr">
        <is>
          <t>OE3. Uso institucional y custodia</t>
        </is>
      </c>
      <c r="E72" s="2" t="inlineStr">
        <is>
          <t>P6. Servicio de apoyo financiero para programas y proyectos de infraestructura científica y tecnológica; P8. Servicio de apropiación social del conocimiento</t>
        </is>
      </c>
      <c r="F72" s="2" t="inlineStr">
        <is>
          <t>Anexo 3</t>
        </is>
      </c>
      <c r="G72" s="2" t="inlineStr">
        <is>
          <t>3.1 Co-diseñar los umbrales y el protocolo de alerta con los consejos</t>
        </is>
      </c>
      <c r="H72" s="2" t="inlineStr">
        <is>
          <t>3.1, 3.2</t>
        </is>
      </c>
      <c r="I72" s="2" t="n">
        <v>2.5</v>
      </c>
      <c r="J72" s="2" t="inlineStr">
        <is>
          <t>persona-mes</t>
        </is>
      </c>
      <c r="K72" s="3" t="n">
        <v>14577500</v>
      </c>
      <c r="L72" s="3" t="n">
        <v>36443750</v>
      </c>
      <c r="M72" s="2" t="inlineStr">
        <is>
          <t>SGR, Asignación para la CTeI</t>
        </is>
      </c>
      <c r="N72" s="2" t="inlineStr">
        <is>
          <t>Universidad Santo Tomás (ejecutora)</t>
        </is>
      </c>
      <c r="O72" s="2" t="inlineStr">
        <is>
          <t>Coordinación de apropiación social (Avanciencia)</t>
        </is>
      </c>
      <c r="P72" s="2" t="inlineStr">
        <is>
          <t>Común a Manizales y Calarcá (sin localización en el Anexo 3)</t>
        </is>
      </c>
      <c r="Q72" s="2" t="inlineStr">
        <is>
          <t>M4–M22</t>
        </is>
      </c>
      <c r="R72" s="2" t="inlineStr">
        <is>
          <t>Tabla 30.3 (líneas del SGR); Tabla 15.2 (actividad 3.1); Tabla 28.3 (rubro); Tabla 19.4 (apropiación social)</t>
        </is>
      </c>
      <c r="S72" s="2" t="inlineStr">
        <is>
          <t>Cadena de valor › OE3 › P6. Servicio de apoyo financiero para programas y proyectos de infraestructura científica y tecnológica › Actividad 3.1 › insumo: Servicios técnicos (clasificación propuesta)</t>
        </is>
      </c>
      <c r="T72" s="2" t="inlineStr">
        <is>
          <t>Presupuesto › rubro «Servicios tecnológicos y pruebas» › fuente «SGR»; Cronograma › actividad 3.1</t>
        </is>
      </c>
      <c r="U72" s="4" t="inlineStr">
        <is>
          <t>Cotización original del proveedor retirado; reunir dos cotizaciones nuevas</t>
        </is>
      </c>
    </row>
    <row r="73">
      <c r="A73" s="2" t="inlineStr">
        <is>
          <t>ST-19</t>
        </is>
      </c>
      <c r="B73" s="2" t="inlineStr">
        <is>
          <t>Servicios tecnológicos y pruebas</t>
        </is>
      </c>
      <c r="C73" s="2" t="inlineStr">
        <is>
          <t>Plataforma geoespacial del índice de polvo (servicio contratado) · Especialista en infraestructura, despliegue y seguridad</t>
        </is>
      </c>
      <c r="D73" s="2" t="inlineStr">
        <is>
          <t>OE2. Disponibilidad de la red</t>
        </is>
      </c>
      <c r="E73" s="2" t="inlineStr">
        <is>
          <t>P6. Servicio de apoyo financiero para programas y proyectos de infraestructura científica y tecnológica; P8. Servicio de apropiación social del conocimiento</t>
        </is>
      </c>
      <c r="F73" s="2" t="inlineStr">
        <is>
          <t>Anexo 3</t>
        </is>
      </c>
      <c r="G73" s="2" t="inlineStr">
        <is>
          <t>2.2 Desarrollar el firmware y la plataforma base (gemelo digital y tablero)</t>
        </is>
      </c>
      <c r="H73" s="2" t="inlineStr">
        <is>
          <t>2.2, 3.4</t>
        </is>
      </c>
      <c r="I73" s="2" t="n">
        <v>2.5</v>
      </c>
      <c r="J73" s="2" t="inlineStr">
        <is>
          <t>persona-mes</t>
        </is>
      </c>
      <c r="K73" s="3" t="n">
        <v>20825000</v>
      </c>
      <c r="L73" s="3" t="n">
        <v>52062500</v>
      </c>
      <c r="M73" s="2" t="inlineStr">
        <is>
          <t>SGR, Asignación para la CTeI</t>
        </is>
      </c>
      <c r="N73" s="2" t="inlineStr">
        <is>
          <t>Universidad Santo Tomás (ejecutora)</t>
        </is>
      </c>
      <c r="O73" s="2" t="inlineStr">
        <is>
          <t>Ingenieros de software y nube</t>
        </is>
      </c>
      <c r="P73" s="2" t="inlineStr">
        <is>
          <t>Común a Manizales y Calarcá (sin localización en el Anexo 3)</t>
        </is>
      </c>
      <c r="Q73" s="2" t="inlineStr">
        <is>
          <t>M4–M22</t>
        </is>
      </c>
      <c r="R73" s="2" t="inlineStr">
        <is>
          <t>Tabla 30.3 (líneas del SGR); Tabla 15.2 (actividad 2.2); Tabla 28.3 (rubro)</t>
        </is>
      </c>
      <c r="S73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3" s="2" t="inlineStr">
        <is>
          <t>Presupuesto › rubro «Servicios tecnológicos y pruebas» › fuente «SGR»; Cronograma › actividad 2.2</t>
        </is>
      </c>
      <c r="U73" s="4" t="inlineStr">
        <is>
          <t>Cotización original del proveedor retirado; reunir dos cotizaciones nuevas</t>
        </is>
      </c>
    </row>
    <row r="74">
      <c r="A74" s="2" t="inlineStr">
        <is>
          <t>ST-20</t>
        </is>
      </c>
      <c r="B74" s="2" t="inlineStr">
        <is>
          <t>Servicios tecnológicos y pruebas</t>
        </is>
      </c>
      <c r="C74" s="2" t="inlineStr">
        <is>
          <t>Plataforma geoespacial del índice de polvo (servicio contratado) · Profesional de aseguramiento de calidad (QA)</t>
        </is>
      </c>
      <c r="D74" s="2" t="inlineStr">
        <is>
          <t>OE2. Disponibilidad de la red</t>
        </is>
      </c>
      <c r="E74" s="2" t="inlineStr">
        <is>
          <t>P6. Servicio de apoyo financiero para programas y proyectos de infraestructura científica y tecnológica; P8. Servicio de apropiación social del conocimiento</t>
        </is>
      </c>
      <c r="F74" s="2" t="inlineStr">
        <is>
          <t>Anexo 3</t>
        </is>
      </c>
      <c r="G74" s="2" t="inlineStr">
        <is>
          <t>2.2 Desarrollar el firmware y la plataforma base (gemelo digital y tablero)</t>
        </is>
      </c>
      <c r="H74" s="2" t="inlineStr">
        <is>
          <t>2.2, 3.2</t>
        </is>
      </c>
      <c r="I74" s="2" t="n">
        <v>2.5</v>
      </c>
      <c r="J74" s="2" t="inlineStr">
        <is>
          <t>persona-mes</t>
        </is>
      </c>
      <c r="K74" s="3" t="n">
        <v>16660000</v>
      </c>
      <c r="L74" s="3" t="n">
        <v>41650000</v>
      </c>
      <c r="M74" s="2" t="inlineStr">
        <is>
          <t>SGR, Asignación para la CTeI</t>
        </is>
      </c>
      <c r="N74" s="2" t="inlineStr">
        <is>
          <t>Universidad Santo Tomás (ejecutora)</t>
        </is>
      </c>
      <c r="O74" s="2" t="inlineStr">
        <is>
          <t>Ingenieros de software y nube</t>
        </is>
      </c>
      <c r="P74" s="2" t="inlineStr">
        <is>
          <t>Común a Manizales y Calarcá (sin localización en el Anexo 3)</t>
        </is>
      </c>
      <c r="Q74" s="2" t="inlineStr">
        <is>
          <t>M4–M22</t>
        </is>
      </c>
      <c r="R74" s="2" t="inlineStr">
        <is>
          <t>Tabla 30.3 (líneas del SGR); Tabla 15.2 (actividad 2.2); Tabla 28.3 (rubro)</t>
        </is>
      </c>
      <c r="S74" s="2" t="inlineStr">
        <is>
          <t>Cadena de valor › OE2 › P6. Servicio de apoyo financiero para programas y proyectos de infraestructura científica y tecnológica › Actividad 2.2 › insumo: Servicios técnicos (clasificación propuesta)</t>
        </is>
      </c>
      <c r="T74" s="2" t="inlineStr">
        <is>
          <t>Presupuesto › rubro «Servicios tecnológicos y pruebas» › fuente «SGR»; Cronograma › actividad 2.2</t>
        </is>
      </c>
      <c r="U74" s="4" t="inlineStr">
        <is>
          <t>Cotización original del proveedor retirado; reunir dos cotizaciones nuevas</t>
        </is>
      </c>
    </row>
    <row r="75">
      <c r="A75" s="2" t="inlineStr">
        <is>
          <t>MA-01</t>
        </is>
      </c>
      <c r="B75" s="2" t="inlineStr">
        <is>
          <t>Materiales, insumos y documentación</t>
        </is>
      </c>
      <c r="C75" s="2" t="inlineStr">
        <is>
          <t>Filtros de membrana PTFE para gravimetría</t>
        </is>
      </c>
      <c r="D75" s="2" t="inlineStr">
        <is>
          <t>OE1. Medición verificada</t>
        </is>
      </c>
      <c r="E75" s="2" t="inlineStr">
        <is>
          <t>P1. Servicio de apoyo para la generación de prototipos de materiales, productos o dispositivos</t>
        </is>
      </c>
      <c r="F75" s="2" t="inlineStr">
        <is>
          <t>Anexo 3</t>
        </is>
      </c>
      <c r="G75" s="2" t="inlineStr">
        <is>
          <t>1.3 Instalar el tramo 1, colocalizar y calibrar en el piloto</t>
        </is>
      </c>
      <c r="H75" s="2" t="inlineStr"/>
      <c r="I75" s="2" t="n">
        <v>1200</v>
      </c>
      <c r="J75" s="2" t="inlineStr">
        <is>
          <t>unidad</t>
        </is>
      </c>
      <c r="K75" s="3" t="n">
        <v>12000</v>
      </c>
      <c r="L75" s="3" t="n">
        <v>14400000</v>
      </c>
      <c r="M75" s="2" t="inlineStr">
        <is>
          <t>SGR, Asignación para la CTeI</t>
        </is>
      </c>
      <c r="N75" s="2" t="inlineStr">
        <is>
          <t>Universidad Santo Tomás (ejecutora)</t>
        </is>
      </c>
      <c r="O75" s="2" t="inlineStr">
        <is>
          <t>Técnicos de campo y especialista en metrología</t>
        </is>
      </c>
      <c r="P75" s="2" t="inlineStr">
        <is>
          <t>Común a Manizales y Calarcá (sin localización en el Anexo 3)</t>
        </is>
      </c>
      <c r="Q75" s="2" t="inlineStr">
        <is>
          <t>M6–M23</t>
        </is>
      </c>
      <c r="R75" s="2" t="inlineStr">
        <is>
          <t>Tabla 30.3 (líneas del SGR); Tabla 15.2 (actividad 1.3); Tabla 28.3 (rubro)</t>
        </is>
      </c>
      <c r="S75" s="2" t="inlineStr">
        <is>
          <t>Cadena de valor › OE1 › P1. Servicio de apoyo para la generación de prototipos de materiales, productos o dispositivos › Actividad 1.3 › insumo: Materiales e insumos (clasificación propuesta)</t>
        </is>
      </c>
      <c r="T75" s="2" t="inlineStr">
        <is>
          <t>Presupuesto › rubro «Materiales, insumos y documentación» › fuente «SGR»; Cronograma › actividad 1.3</t>
        </is>
      </c>
      <c r="U75" s="4" t="inlineStr">
        <is>
          <t>El Anexo 3 declara cotizaciones pendientes (TdR 12.2: al menos dos por rubro, no subsanable)</t>
        </is>
      </c>
    </row>
    <row r="76">
      <c r="A76" s="2" t="inlineStr">
        <is>
          <t>MA-02</t>
        </is>
      </c>
      <c r="B76" s="2" t="inlineStr">
        <is>
          <t>Materiales, insumos y documentación</t>
        </is>
      </c>
      <c r="C76" s="2" t="inlineStr">
        <is>
          <t>Polvo de ensayo normalizado y consumibles del banco de calibración</t>
        </is>
      </c>
      <c r="D76" s="2" t="inlineStr">
        <is>
          <t>OE1. Medición verificada</t>
        </is>
      </c>
      <c r="E76" s="2" t="inlineStr">
        <is>
          <t>P1. Servicio de apoyo para la generación de prototipos de materiales, productos o dispositivos</t>
        </is>
      </c>
      <c r="F76" s="2" t="inlineStr">
        <is>
          <t>Anexo 3</t>
        </is>
      </c>
      <c r="G76" s="2" t="inlineStr">
        <is>
          <t>1.2 Adquirir y caracterizar el lote 1 de nodos y las referencias</t>
        </is>
      </c>
      <c r="H76" s="2" t="inlineStr"/>
      <c r="I76" s="2" t="n">
        <v>15</v>
      </c>
      <c r="J76" s="2" t="inlineStr">
        <is>
          <t>lote</t>
        </is>
      </c>
      <c r="K76" s="3" t="n">
        <v>2800000</v>
      </c>
      <c r="L76" s="3" t="n">
        <v>42000000</v>
      </c>
      <c r="M76" s="2" t="inlineStr">
        <is>
          <t>SGR, Asignación para la CTeI</t>
        </is>
      </c>
      <c r="N76" s="2" t="inlineStr">
        <is>
          <t>Universidad Santo Tomás (ejecutora)</t>
        </is>
      </c>
      <c r="O76" s="2" t="inlineStr">
        <is>
          <t>Especialista en metrología y calibración</t>
        </is>
      </c>
      <c r="P76" s="2" t="inlineStr">
        <is>
          <t>Común a Manizales y Calarcá (sin localización en el Anexo 3)</t>
        </is>
      </c>
      <c r="Q76" s="2" t="inlineStr">
        <is>
          <t>M4–M10</t>
        </is>
      </c>
      <c r="R76" s="2" t="inlineStr">
        <is>
          <t>Tabla 30.3 (líneas del SGR); Tabla 15.2 (actividad 1.2); Tabla 28.3 (rubro)</t>
        </is>
      </c>
      <c r="S76" s="2" t="inlineStr">
        <is>
          <t>Cadena de valor › OE1 › P1. Servicio de apoyo para la generación de prototipos de materiales, productos o dispositivos › Actividad 1.2 › insumo: Materiales e insumos (clasificación propuesta)</t>
        </is>
      </c>
      <c r="T76" s="2" t="inlineStr">
        <is>
          <t>Presupuesto › rubro «Materiales, insumos y documentación» › fuente «SGR»; Cronograma › actividad 1.2</t>
        </is>
      </c>
      <c r="U76" s="4" t="inlineStr">
        <is>
          <t>El Anexo 3 declara cotizaciones pendientes (TdR 12.2: al menos dos por rubro, no subsanable)</t>
        </is>
      </c>
    </row>
    <row r="77">
      <c r="A77" s="2" t="inlineStr">
        <is>
          <t>MA-03</t>
        </is>
      </c>
      <c r="B77" s="2" t="inlineStr">
        <is>
          <t>Materiales, insumos y documentación</t>
        </is>
      </c>
      <c r="C77" s="2" t="inlineStr">
        <is>
          <t>Cerramiento NEMA 4X para nodos (sin mástil)</t>
        </is>
      </c>
      <c r="D77" s="2" t="inlineStr">
        <is>
          <t>OE1. Medición verificada</t>
        </is>
      </c>
      <c r="E77" s="2" t="inlineStr">
        <is>
          <t>P6. Servicio de apoyo financiero para programas y proyectos de infraestructura científica y tecnológica</t>
        </is>
      </c>
      <c r="F77" s="2" t="inlineStr">
        <is>
          <t>Anexo 3</t>
        </is>
      </c>
      <c r="G77" s="2" t="inlineStr">
        <is>
          <t>1.2 Adquirir y caracterizar el lote 1 de nodos y las referencias</t>
        </is>
      </c>
      <c r="H77" s="2" t="inlineStr"/>
      <c r="I77" s="2" t="n">
        <v>120</v>
      </c>
      <c r="J77" s="2" t="inlineStr">
        <is>
          <t>unidad</t>
        </is>
      </c>
      <c r="K77" s="3" t="n">
        <v>624179</v>
      </c>
      <c r="L77" s="3" t="n">
        <v>74901480</v>
      </c>
      <c r="M77" s="2" t="inlineStr">
        <is>
          <t>SGR, Asignación para la CTeI</t>
        </is>
      </c>
      <c r="N77" s="2" t="inlineStr">
        <is>
          <t>Universidad Santo Tomás (ejecutora)</t>
        </is>
      </c>
      <c r="O77" s="2" t="inlineStr">
        <is>
          <t>Especialista en metrología y calibración</t>
        </is>
      </c>
      <c r="P77" s="2" t="inlineStr">
        <is>
          <t>Común; despliegue propuesto de 50 nodos y 5 gateways por municipio (sin localización en el Anexo 3)</t>
        </is>
      </c>
      <c r="Q77" s="2" t="inlineStr">
        <is>
          <t>M4–M19</t>
        </is>
      </c>
      <c r="R77" s="2" t="inlineStr">
        <is>
          <t>Tabla 30.3 (líneas del SGR); Tabla 15.2 (actividad 1.2); Tabla 28.3 (rubro)</t>
        </is>
      </c>
      <c r="S77" s="2" t="inlineStr">
        <is>
          <t>Cadena de valor › OE1 › P6. Servicio de apoyo financiero para programas y proyectos de infraestructura científica y tecnológica › Actividad 1.2 › insumo: Materiales e insumos (clasificación propuesta)</t>
        </is>
      </c>
      <c r="T77" s="2" t="inlineStr">
        <is>
          <t>Presupuesto › rubro «Materiales, insumos y documentación» › fuente «SGR»; Cronograma › actividad 1.2</t>
        </is>
      </c>
      <c r="U77" s="4" t="inlineStr">
        <is>
          <t>El Anexo 3 declara cotizaciones pendientes (TdR 12.2: al menos dos por rubro, no subsanable)</t>
        </is>
      </c>
    </row>
    <row r="78">
      <c r="A78" s="2" t="inlineStr">
        <is>
          <t>MA-04</t>
        </is>
      </c>
      <c r="B78" s="2" t="inlineStr">
        <is>
          <t>Materiales, insumos y documentación</t>
        </is>
      </c>
      <c r="C78" s="2" t="inlineStr">
        <is>
          <t>Kits de papelería para talleres de co-diseño</t>
        </is>
      </c>
      <c r="D78" s="2" t="inlineStr">
        <is>
          <t>OE3. Uso institucional y custodia</t>
        </is>
      </c>
      <c r="E78" s="2" t="inlineStr">
        <is>
          <t>P8. Servicio de apropiación social del conocimiento</t>
        </is>
      </c>
      <c r="F78" s="2" t="inlineStr">
        <is>
          <t>Anexo 3</t>
        </is>
      </c>
      <c r="G78" s="2" t="inlineStr">
        <is>
          <t>3.1 Co-diseñar los umbrales y el protocolo de alerta con los consejos</t>
        </is>
      </c>
      <c r="H78" s="2" t="inlineStr"/>
      <c r="I78" s="2" t="n">
        <v>20</v>
      </c>
      <c r="J78" s="2" t="inlineStr">
        <is>
          <t>kit</t>
        </is>
      </c>
      <c r="K78" s="3" t="n">
        <v>1500000</v>
      </c>
      <c r="L78" s="3" t="n">
        <v>30000000</v>
      </c>
      <c r="M78" s="2" t="inlineStr">
        <is>
          <t>SGR, Asignación para la CTeI</t>
        </is>
      </c>
      <c r="N78" s="2" t="inlineStr">
        <is>
          <t>Avanciencia (ejecuta por contrato con la universidad)</t>
        </is>
      </c>
      <c r="O78" s="2" t="inlineStr">
        <is>
          <t>Coordinación de apropiación social (Avanciencia)</t>
        </is>
      </c>
      <c r="P78" s="2" t="inlineStr">
        <is>
          <t>Común a Manizales y Calarcá (sin localización en el Anexo 3)</t>
        </is>
      </c>
      <c r="Q78" s="2" t="inlineStr">
        <is>
          <t>M3–M9</t>
        </is>
      </c>
      <c r="R78" s="2" t="inlineStr">
        <is>
          <t>Tabla 30.3 (líneas del SGR); Tabla 15.2 (actividad 3.1); Tabla 28.3 (rubro); Tabla 19.4 (apropiación social)</t>
        </is>
      </c>
      <c r="S78" s="2" t="inlineStr">
        <is>
          <t>Cadena de valor › OE3 › P8. Servicio de apropiación social del conocimiento › Actividad 3.1 › insumo: Materiales e insumos (clasificación propuesta)</t>
        </is>
      </c>
      <c r="T78" s="2" t="inlineStr">
        <is>
          <t>Presupuesto › rubro «Materiales, insumos y documentación» › fuente «SGR»; Cronograma › actividad 3.1</t>
        </is>
      </c>
      <c r="U78" s="4" t="inlineStr">
        <is>
          <t>El Anexo 3 declara cotizaciones pendientes (TdR 12.2: al menos dos por rubro, no subsanable)</t>
        </is>
      </c>
    </row>
    <row r="79">
      <c r="A79" s="2" t="inlineStr">
        <is>
          <t>MA-05</t>
        </is>
      </c>
      <c r="B79" s="2" t="inlineStr">
        <is>
          <t>Materiales, insumos y documentación</t>
        </is>
      </c>
      <c r="C79" s="2" t="inlineStr">
        <is>
          <t>Elementos de protección personal (mascarillas N95)</t>
        </is>
      </c>
      <c r="D79" s="2" t="inlineStr">
        <is>
          <t>OE1. Medición verificada</t>
        </is>
      </c>
      <c r="E79" s="2" t="inlineStr">
        <is>
          <t>P1. Servicio de apoyo para la generación de prototipos de materiales, productos o dispositivos</t>
        </is>
      </c>
      <c r="F79" s="2" t="inlineStr">
        <is>
          <t>Anexo 3</t>
        </is>
      </c>
      <c r="G79" s="2" t="inlineStr">
        <is>
          <t>1.3 Instalar el tramo 1, colocalizar y calibrar en el piloto</t>
        </is>
      </c>
      <c r="H79" s="2" t="inlineStr"/>
      <c r="I79" s="2" t="n">
        <v>3000</v>
      </c>
      <c r="J79" s="2" t="inlineStr">
        <is>
          <t>unidad</t>
        </is>
      </c>
      <c r="K79" s="3" t="n">
        <v>1951</v>
      </c>
      <c r="L79" s="3" t="n">
        <v>5853000</v>
      </c>
      <c r="M79" s="2" t="inlineStr">
        <is>
          <t>SGR, Asignación para la CTeI</t>
        </is>
      </c>
      <c r="N79" s="2" t="inlineStr">
        <is>
          <t>Universidad Santo Tomás (ejecutora)</t>
        </is>
      </c>
      <c r="O79" s="2" t="inlineStr">
        <is>
          <t>Técnicos de campo y especialista en metrología</t>
        </is>
      </c>
      <c r="P79" s="2" t="inlineStr">
        <is>
          <t>Común a Manizales y Calarcá (sin localización en el Anexo 3)</t>
        </is>
      </c>
      <c r="Q79" s="2" t="inlineStr">
        <is>
          <t>M6–M19</t>
        </is>
      </c>
      <c r="R79" s="2" t="inlineStr">
        <is>
          <t>Tabla 30.3 (líneas del SGR); Tabla 15.2 (actividad 1.3); Tabla 28.3 (rubro)</t>
        </is>
      </c>
      <c r="S79" s="2" t="inlineStr">
        <is>
          <t>Cadena de valor › OE1 › P1. Servicio de apoyo para la generación de prototipos de materiales, productos o dispositivos › Actividad 1.3 › insumo: Materiales e insumos (clasificación propuesta)</t>
        </is>
      </c>
      <c r="T79" s="2" t="inlineStr">
        <is>
          <t>Presupuesto › rubro «Materiales, insumos y documentación» › fuente «SGR»; Cronograma › actividad 1.3</t>
        </is>
      </c>
      <c r="U79" s="4" t="inlineStr">
        <is>
          <t>El Anexo 3 declara cotizaciones pendientes (TdR 12.2: al menos dos por rubro, no subsanable)</t>
        </is>
      </c>
    </row>
    <row r="80">
      <c r="A80" s="2" t="inlineStr">
        <is>
          <t>MA-06</t>
        </is>
      </c>
      <c r="B80" s="2" t="inlineStr">
        <is>
          <t>Materiales, insumos y documentación</t>
        </is>
      </c>
      <c r="C80" s="2" t="inlineStr">
        <is>
          <t>Repuestos y consumibles de mantenimiento (baterías, cables, conectores)</t>
        </is>
      </c>
      <c r="D80" s="2" t="inlineStr">
        <is>
          <t>OE2. Disponibilidad de la red</t>
        </is>
      </c>
      <c r="E80" s="2" t="inlineStr">
        <is>
          <t>P6. Servicio de apoyo financiero para programas y proyectos de infraestructura científica y tecnológica</t>
        </is>
      </c>
      <c r="F80" s="2" t="inlineStr">
        <is>
          <t>Anexo 3</t>
        </is>
      </c>
      <c r="G80" s="2" t="inlineStr">
        <is>
          <t>2.3 Instalar el tramo 2</t>
        </is>
      </c>
      <c r="H80" s="2" t="inlineStr"/>
      <c r="I80" s="2" t="n">
        <v>1</v>
      </c>
      <c r="J80" s="2" t="inlineStr">
        <is>
          <t>lote</t>
        </is>
      </c>
      <c r="K80" s="3" t="n">
        <v>60000000</v>
      </c>
      <c r="L80" s="3" t="n">
        <v>60000000</v>
      </c>
      <c r="M80" s="2" t="inlineStr">
        <is>
          <t>SGR, Asignación para la CTeI</t>
        </is>
      </c>
      <c r="N80" s="2" t="inlineStr">
        <is>
          <t>Universidad Santo Tomás (ejecutora)</t>
        </is>
      </c>
      <c r="O80" s="2" t="inlineStr">
        <is>
          <t>Técnicos de campo</t>
        </is>
      </c>
      <c r="P80" s="2" t="inlineStr">
        <is>
          <t>Común a Manizales y Calarcá (sin localización en el Anexo 3)</t>
        </is>
      </c>
      <c r="Q80" s="2" t="inlineStr">
        <is>
          <t>M12–M19</t>
        </is>
      </c>
      <c r="R80" s="2" t="inlineStr">
        <is>
          <t>Tabla 30.3 (líneas del SGR); Tabla 15.2 (actividad 2.3); Tabla 28.3 (rubro)</t>
        </is>
      </c>
      <c r="S80" s="2" t="inlineStr">
        <is>
          <t>Cadena de valor › OE2 › P6. Servicio de apoyo financiero para programas y proyectos de infraestructura científica y tecnológica › Actividad 2.3 › insumo: Materiales e insumos (clasificación propuesta)</t>
        </is>
      </c>
      <c r="T80" s="2" t="inlineStr">
        <is>
          <t>Presupuesto › rubro «Materiales, insumos y documentación» › fuente «SGR»; Cronograma › actividad 2.3</t>
        </is>
      </c>
      <c r="U80" s="4" t="inlineStr">
        <is>
          <t>El Anexo 3 declara cotizaciones pendientes (TdR 12.2: al menos dos por rubro, no subsanable)</t>
        </is>
      </c>
    </row>
    <row r="81">
      <c r="A81" s="2" t="inlineStr">
        <is>
          <t>MA-07</t>
        </is>
      </c>
      <c r="B81" s="2" t="inlineStr">
        <is>
          <t>Materiales, insumos y documentación</t>
        </is>
      </c>
      <c r="C81" s="2" t="inlineStr">
        <is>
          <t>Consumibles y repuestos de las campañas de medición (filtros, baterías y verificaciones de campo)</t>
        </is>
      </c>
      <c r="D81" s="2" t="inlineStr">
        <is>
          <t>OE1. Medición verificada</t>
        </is>
      </c>
      <c r="E81" s="2" t="inlineStr">
        <is>
          <t>P1. Servicio de apoyo para la generación de prototipos de materiales, productos o dispositivos</t>
        </is>
      </c>
      <c r="F81" s="2" t="inlineStr">
        <is>
          <t>Anexo 3</t>
        </is>
      </c>
      <c r="G81" s="2" t="inlineStr">
        <is>
          <t>1.7 Validar el gemelo predictivo con demoliciones y remociones reales en los dos municipios</t>
        </is>
      </c>
      <c r="H81" s="2" t="inlineStr"/>
      <c r="I81" s="2" t="n">
        <v>1</v>
      </c>
      <c r="J81" s="2" t="inlineStr">
        <is>
          <t>lote</t>
        </is>
      </c>
      <c r="K81" s="3" t="n">
        <v>28000000</v>
      </c>
      <c r="L81" s="3" t="n">
        <v>28000000</v>
      </c>
      <c r="M81" s="2" t="inlineStr">
        <is>
          <t>SGR, Asignación para la CTeI</t>
        </is>
      </c>
      <c r="N81" s="2" t="inlineStr">
        <is>
          <t>Universidad Santo Tomás (ejecutora)</t>
        </is>
      </c>
      <c r="O81" s="2" t="inlineStr">
        <is>
          <t>Investigador líder en modelación</t>
        </is>
      </c>
      <c r="P81" s="2" t="inlineStr">
        <is>
          <t>Común a Manizales y Calarcá (sin localización en el Anexo 3)</t>
        </is>
      </c>
      <c r="Q81" s="2" t="inlineStr">
        <is>
          <t>M14–M23</t>
        </is>
      </c>
      <c r="R81" s="2" t="inlineStr">
        <is>
          <t>Tabla 30.3 (líneas del SGR); Tabla 15.2 (actividad 1.7); Tabla 28.3 (rubro)</t>
        </is>
      </c>
      <c r="S81" s="2" t="inlineStr">
        <is>
          <t>Cadena de valor › OE1 › P1. Servicio de apoyo para la generación de prototipos de materiales, productos o dispositivos › Actividad 1.7 › insumo: Materiales e insumos (clasificación propuesta)</t>
        </is>
      </c>
      <c r="T81" s="2" t="inlineStr">
        <is>
          <t>Presupuesto › rubro «Materiales, insumos y documentación» › fuente «SGR»; Cronograma › actividad 1.7</t>
        </is>
      </c>
      <c r="U81" s="4" t="inlineStr">
        <is>
          <t>El Anexo 3 declara cotizaciones pendientes (TdR 12.2: al menos dos por rubro, no subsanable)</t>
        </is>
      </c>
    </row>
    <row r="82">
      <c r="A82" s="2" t="inlineStr">
        <is>
          <t>PD-01</t>
        </is>
      </c>
      <c r="B82" s="2" t="inlineStr">
        <is>
          <t>Protección del conocimiento y divulgación</t>
        </is>
      </c>
      <c r="C82" s="2" t="inlineStr">
        <is>
          <t>Cartillas impresas del índice y del protocolo de alerta</t>
        </is>
      </c>
      <c r="D82" s="2" t="inlineStr">
        <is>
          <t>OE3. Uso institucional y custodia</t>
        </is>
      </c>
      <c r="E82" s="2" t="inlineStr">
        <is>
          <t>P8. Servicio de apropiación social del conocimiento</t>
        </is>
      </c>
      <c r="F82" s="2" t="inlineStr">
        <is>
          <t>Anexo 3</t>
        </is>
      </c>
      <c r="G82" s="2" t="inlineStr">
        <is>
          <t>3.2 Poner en uso el tablero con los consejos</t>
        </is>
      </c>
      <c r="H82" s="2" t="inlineStr"/>
      <c r="I82" s="2" t="n">
        <v>5000</v>
      </c>
      <c r="J82" s="2" t="inlineStr">
        <is>
          <t>unidad</t>
        </is>
      </c>
      <c r="K82" s="3" t="n">
        <v>8500</v>
      </c>
      <c r="L82" s="3" t="n">
        <v>42500000</v>
      </c>
      <c r="M82" s="2" t="inlineStr">
        <is>
          <t>SGR, Asignación para la CTeI</t>
        </is>
      </c>
      <c r="N82" s="2" t="inlineStr">
        <is>
          <t>Avanciencia (ejecuta por contrato con la universidad)</t>
        </is>
      </c>
      <c r="O82" s="2" t="inlineStr">
        <is>
          <t>Coordinación de apropiación social (Avanciencia)</t>
        </is>
      </c>
      <c r="P82" s="2" t="inlineStr">
        <is>
          <t>Común a Manizales y Calarcá (sin localización en el Anexo 3)</t>
        </is>
      </c>
      <c r="Q82" s="2" t="inlineStr">
        <is>
          <t>M12–M20</t>
        </is>
      </c>
      <c r="R82" s="2" t="inlineStr">
        <is>
          <t>Tabla 30.3 (líneas del SGR); Tabla 15.2 (actividad 3.2); Tabla 28.3 (rubro); Tabla 19.4 (apropiación social)</t>
        </is>
      </c>
      <c r="S82" s="2" t="inlineStr">
        <is>
          <t>Cadena de valor › OE3 › P8. Servicio de apropiación social del conocimiento › Actividad 3.2 › insumo: Servicios de propiedad intelectual y divulgación (clasificación propuesta)</t>
        </is>
      </c>
      <c r="T82" s="2" t="inlineStr">
        <is>
          <t>Presupuesto › rubro «Protección del conocimiento y divulgación» › fuente «SGR»; Cronograma › actividad 3.2</t>
        </is>
      </c>
      <c r="U82" s="4" t="inlineStr">
        <is>
          <t>El Anexo 3 declara cotizaciones pendientes (TdR 12.2: al menos dos por rubro, no subsanable)</t>
        </is>
      </c>
    </row>
    <row r="83">
      <c r="A83" s="2" t="inlineStr">
        <is>
          <t>PD-02</t>
        </is>
      </c>
      <c r="B83" s="2" t="inlineStr">
        <is>
          <t>Protección del conocimiento y divulgación</t>
        </is>
      </c>
      <c r="C83" s="2" t="inlineStr">
        <is>
          <t>Asesoría jurídica en propiedad intelectual y libertad de operación</t>
        </is>
      </c>
      <c r="D83" s="2" t="inlineStr">
        <is>
          <t>OE1. Medición verificada</t>
        </is>
      </c>
      <c r="E83" s="2" t="inlineStr">
        <is>
          <t>P7. Documentos de política: Documentos de planeación</t>
        </is>
      </c>
      <c r="F83" s="2" t="inlineStr">
        <is>
          <t>Anexo 3</t>
        </is>
      </c>
      <c r="G83" s="2" t="inlineStr">
        <is>
          <t>1.1 Seleccionar los sitios y diseñar la colocalización</t>
        </is>
      </c>
      <c r="H83" s="2" t="inlineStr"/>
      <c r="I83" s="2" t="n">
        <v>150</v>
      </c>
      <c r="J83" s="2" t="inlineStr">
        <is>
          <t>hora</t>
        </is>
      </c>
      <c r="K83" s="3" t="n">
        <v>714000</v>
      </c>
      <c r="L83" s="3" t="n">
        <v>107100000</v>
      </c>
      <c r="M83" s="2" t="inlineStr">
        <is>
          <t>SGR, Asignación para la CTeI</t>
        </is>
      </c>
      <c r="N83" s="2" t="inlineStr">
        <is>
          <t>Avanciencia (ejecuta por contrato con la universidad)</t>
        </is>
      </c>
      <c r="O83" s="2" t="inlineStr">
        <is>
          <t>Investigador principal</t>
        </is>
      </c>
      <c r="P83" s="2" t="inlineStr">
        <is>
          <t>Común a Manizales y Calarcá (sin localización en el Anexo 3)</t>
        </is>
      </c>
      <c r="Q83" s="2" t="inlineStr">
        <is>
          <t>M2–M4</t>
        </is>
      </c>
      <c r="R83" s="2" t="inlineStr">
        <is>
          <t>Tabla 30.3 (líneas del SGR); Tabla 15.2 (actividad 1.1); Tabla 28.3 (rubro); Tabla 18.5 (Plan de transferencia)</t>
        </is>
      </c>
      <c r="S83" s="2" t="inlineStr">
        <is>
          <t>Cadena de valor › OE1 › P7. Documentos de política: Documentos de planeación › Actividad 1.1 › insumo: Servicios de propiedad intelectual y divulgación (clasificación propuesta)</t>
        </is>
      </c>
      <c r="T83" s="2" t="inlineStr">
        <is>
          <t>Presupuesto › rubro «Protección del conocimiento y divulgación» › fuente «SGR»; Cronograma › actividad 1.1</t>
        </is>
      </c>
      <c r="U83" s="4" t="inlineStr">
        <is>
          <t>El Anexo 3 declara cotizaciones pendientes (TdR 12.2: al menos dos por rubro, no subsanable) | El Anexo 3 v6 programa la partida en la actividad 1.1 (meses 2 a 4); el Plan de transferencia ejecuta horas de asesoría hasta el mes 23: confirmar el perfil de pagos</t>
        </is>
      </c>
    </row>
    <row r="84">
      <c r="A84" s="2" t="inlineStr">
        <is>
          <t>PD-03</t>
        </is>
      </c>
      <c r="B84" s="2" t="inlineStr">
        <is>
          <t>Protección del conocimiento y divulgación</t>
        </is>
      </c>
      <c r="C84" s="2" t="inlineStr">
        <is>
          <t>Cargos de procesamiento de artículos de acceso abierto</t>
        </is>
      </c>
      <c r="D84" s="2" t="inlineStr">
        <is>
          <t>OE1. Medición verificada</t>
        </is>
      </c>
      <c r="E84" s="2" t="inlineStr">
        <is>
          <t>P2. Documentos de investigación</t>
        </is>
      </c>
      <c r="F84" s="2" t="inlineStr">
        <is>
          <t>Anexo 3</t>
        </is>
      </c>
      <c r="G84" s="2" t="inlineStr">
        <is>
          <t>1.6 Verificar el desempeño final y ejecutar el ensayo independiente</t>
        </is>
      </c>
      <c r="H84" s="2" t="inlineStr"/>
      <c r="I84" s="2" t="n">
        <v>2</v>
      </c>
      <c r="J84" s="2" t="inlineStr">
        <is>
          <t>artículo</t>
        </is>
      </c>
      <c r="K84" s="3" t="n">
        <v>12676743</v>
      </c>
      <c r="L84" s="3" t="n">
        <v>25353486</v>
      </c>
      <c r="M84" s="2" t="inlineStr">
        <is>
          <t>SGR, Asignación para la CTeI</t>
        </is>
      </c>
      <c r="N84" s="2" t="inlineStr">
        <is>
          <t>Universidad Santo Tomás (ejecutora)</t>
        </is>
      </c>
      <c r="O84" s="2" t="inlineStr">
        <is>
          <t>Especialista en metrología y evaluador externo</t>
        </is>
      </c>
      <c r="P84" s="2" t="inlineStr">
        <is>
          <t>Común a Manizales y Calarcá (sin localización en el Anexo 3)</t>
        </is>
      </c>
      <c r="Q84" s="2" t="inlineStr">
        <is>
          <t>M19–M23</t>
        </is>
      </c>
      <c r="R84" s="2" t="inlineStr">
        <is>
          <t>Tabla 30.3 (líneas del SGR); Tabla 15.2 (actividad 1.6); Tabla 28.3 (rubro)</t>
        </is>
      </c>
      <c r="S84" s="2" t="inlineStr">
        <is>
          <t>Cadena de valor › OE1 › P2. Documentos de investigación › Actividad 1.6 › insumo: Servicios de propiedad intelectual y divulgación (clasificación propuesta)</t>
        </is>
      </c>
      <c r="T84" s="2" t="inlineStr">
        <is>
          <t>Presupuesto › rubro «Protección del conocimiento y divulgación» › fuente «SGR»; Cronograma › actividad 1.6</t>
        </is>
      </c>
      <c r="U84" s="4" t="inlineStr">
        <is>
          <t>El Anexo 3 declara cotizaciones pendientes (TdR 12.2: al menos dos por rubro, no subsanable)</t>
        </is>
      </c>
    </row>
    <row r="85">
      <c r="A85" s="2" t="inlineStr">
        <is>
          <t>PD-04</t>
        </is>
      </c>
      <c r="B85" s="2" t="inlineStr">
        <is>
          <t>Protección del conocimiento y divulgación</t>
        </is>
      </c>
      <c r="C85" s="2" t="inlineStr">
        <is>
          <t>Registro ante la DNDA y asesoría de propiedad intelectual</t>
        </is>
      </c>
      <c r="D85" s="2" t="inlineStr">
        <is>
          <t>OE3. Uso institucional y custodia</t>
        </is>
      </c>
      <c r="E85" s="2" t="inlineStr">
        <is>
          <t>P7. Documentos de política: Documentos de planeación</t>
        </is>
      </c>
      <c r="F85" s="2" t="inlineStr">
        <is>
          <t>Anexo 3</t>
        </is>
      </c>
      <c r="G85" s="2" t="inlineStr">
        <is>
          <t>3.4 Transferir, cerrar y evaluar</t>
        </is>
      </c>
      <c r="H85" s="2" t="inlineStr"/>
      <c r="I85" s="2" t="n">
        <v>1</v>
      </c>
      <c r="J85" s="2" t="inlineStr">
        <is>
          <t>paquete</t>
        </is>
      </c>
      <c r="K85" s="3" t="n">
        <v>15000000</v>
      </c>
      <c r="L85" s="3" t="n">
        <v>15000000</v>
      </c>
      <c r="M85" s="2" t="inlineStr">
        <is>
          <t>SGR, Asignación para la CTeI</t>
        </is>
      </c>
      <c r="N85" s="2" t="inlineStr">
        <is>
          <t>Avanciencia (ejecuta por contrato con la universidad)</t>
        </is>
      </c>
      <c r="O85" s="2" t="inlineStr">
        <is>
          <t>Avanciencia, con la gerencia del proyecto</t>
        </is>
      </c>
      <c r="P85" s="2" t="inlineStr">
        <is>
          <t>Común a Manizales y Calarcá (sin localización en el Anexo 3)</t>
        </is>
      </c>
      <c r="Q85" s="2" t="inlineStr">
        <is>
          <t>M23–M24</t>
        </is>
      </c>
      <c r="R85" s="2" t="inlineStr">
        <is>
          <t>Tabla 30.3 (líneas del SGR); Tabla 15.2 (actividad 3.4); Tabla 28.3 (rubro); Tabla 18.5 (Plan de transferencia); Tabla 19.4 (apropiación social)</t>
        </is>
      </c>
      <c r="S85" s="2" t="inlineStr">
        <is>
          <t>Cadena de valor › OE3 › P7. Documentos de política: Documentos de planeación › Actividad 3.4 › insumo: Servicios de propiedad intelectual y divulgación (clasificación propuesta)</t>
        </is>
      </c>
      <c r="T85" s="2" t="inlineStr">
        <is>
          <t>Presupuesto › rubro «Protección del conocimiento y divulgación» › fuente «SGR»; Cronograma › actividad 3.4</t>
        </is>
      </c>
      <c r="U85" s="4" t="inlineStr">
        <is>
          <t>El Anexo 3 declara cotizaciones pendientes (TdR 12.2: al menos dos por rubro, no subsanable)</t>
        </is>
      </c>
    </row>
    <row r="86">
      <c r="A86" s="2" t="inlineStr">
        <is>
          <t>PD-05</t>
        </is>
      </c>
      <c r="B86" s="2" t="inlineStr">
        <is>
          <t>Protección del conocimiento y divulgación</t>
        </is>
      </c>
      <c r="C86" s="2" t="inlineStr">
        <is>
          <t>Publicaciones de divulgación y eventos de socialización</t>
        </is>
      </c>
      <c r="D86" s="2" t="inlineStr">
        <is>
          <t>OE3. Uso institucional y custodia</t>
        </is>
      </c>
      <c r="E86" s="2" t="inlineStr">
        <is>
          <t>P8. Servicio de apropiación social del conocimiento</t>
        </is>
      </c>
      <c r="F86" s="2" t="inlineStr">
        <is>
          <t>Anexo 3</t>
        </is>
      </c>
      <c r="G86" s="2" t="inlineStr">
        <is>
          <t>3.2 Poner en uso el tablero con los consejos</t>
        </is>
      </c>
      <c r="H86" s="2" t="inlineStr"/>
      <c r="I86" s="2" t="n">
        <v>1</v>
      </c>
      <c r="J86" s="2" t="inlineStr">
        <is>
          <t>paquete</t>
        </is>
      </c>
      <c r="K86" s="3" t="n">
        <v>60000000</v>
      </c>
      <c r="L86" s="3" t="n">
        <v>60000000</v>
      </c>
      <c r="M86" s="2" t="inlineStr">
        <is>
          <t>SGR, Asignación para la CTeI</t>
        </is>
      </c>
      <c r="N86" s="2" t="inlineStr">
        <is>
          <t>Avanciencia (ejecuta por contrato con la universidad)</t>
        </is>
      </c>
      <c r="O86" s="2" t="inlineStr">
        <is>
          <t>Coordinación de apropiación social (Avanciencia)</t>
        </is>
      </c>
      <c r="P86" s="2" t="inlineStr">
        <is>
          <t>Común a Manizales y Calarcá (sin localización en el Anexo 3)</t>
        </is>
      </c>
      <c r="Q86" s="2" t="inlineStr">
        <is>
          <t>M12–M24</t>
        </is>
      </c>
      <c r="R86" s="2" t="inlineStr">
        <is>
          <t>Tabla 30.3 (líneas del SGR); Tabla 15.2 (actividad 3.2); Tabla 28.3 (rubro); Tabla 19.4 (apropiación social)</t>
        </is>
      </c>
      <c r="S86" s="2" t="inlineStr">
        <is>
          <t>Cadena de valor › OE3 › P8. Servicio de apropiación social del conocimiento › Actividad 3.2 › insumo: Servicios de propiedad intelectual y divulgación (clasificación propuesta)</t>
        </is>
      </c>
      <c r="T86" s="2" t="inlineStr">
        <is>
          <t>Presupuesto › rubro «Protección del conocimiento y divulgación» › fuente «SGR»; Cronograma › actividad 3.2</t>
        </is>
      </c>
      <c r="U86" s="4" t="inlineStr">
        <is>
          <t>El Anexo 3 declara cotizaciones pendientes (TdR 12.2: al menos dos por rubro, no subsanable)</t>
        </is>
      </c>
    </row>
    <row r="87">
      <c r="A87" s="2" t="inlineStr">
        <is>
          <t>PD-06</t>
        </is>
      </c>
      <c r="B87" s="2" t="inlineStr">
        <is>
          <t>Protección del conocimiento y divulgación</t>
        </is>
      </c>
      <c r="C87" s="2" t="inlineStr">
        <is>
          <t>Registro del software y de los datos del modelo predictivo ante la DNDA</t>
        </is>
      </c>
      <c r="D87" s="2" t="inlineStr">
        <is>
          <t>OE3. Uso institucional y custodia</t>
        </is>
      </c>
      <c r="E87" s="2" t="inlineStr">
        <is>
          <t>P7. Documentos de política: Documentos de planeación</t>
        </is>
      </c>
      <c r="F87" s="2" t="inlineStr">
        <is>
          <t>Anexo 3</t>
        </is>
      </c>
      <c r="G87" s="2" t="inlineStr">
        <is>
          <t>3.5 Adoptar el protocolo de evaluación previa de demolición y transferir el laboratorio</t>
        </is>
      </c>
      <c r="H87" s="2" t="inlineStr"/>
      <c r="I87" s="2" t="n">
        <v>1</v>
      </c>
      <c r="J87" s="2" t="inlineStr">
        <is>
          <t>paquete</t>
        </is>
      </c>
      <c r="K87" s="3" t="n">
        <v>10000000</v>
      </c>
      <c r="L87" s="3" t="n">
        <v>10000000</v>
      </c>
      <c r="M87" s="2" t="inlineStr">
        <is>
          <t>SGR, Asignación para la CTeI</t>
        </is>
      </c>
      <c r="N87" s="2" t="inlineStr">
        <is>
          <t>Avanciencia (ejecuta por contrato con la universidad)</t>
        </is>
      </c>
      <c r="O87" s="2" t="inlineStr">
        <is>
          <t>Investigador líder en modelación</t>
        </is>
      </c>
      <c r="P87" s="2" t="inlineStr">
        <is>
          <t>Común a Manizales y Calarcá (sin localización en el Anexo 3)</t>
        </is>
      </c>
      <c r="Q87" s="2" t="inlineStr">
        <is>
          <t>M21–M24</t>
        </is>
      </c>
      <c r="R87" s="2" t="inlineStr">
        <is>
          <t>Tabla 30.3 (líneas del SGR); Tabla 15.2 (actividad 3.5); Tabla 28.3 (rubro); Tabla 18.5 (Plan de transferencia)</t>
        </is>
      </c>
      <c r="S87" s="2" t="inlineStr">
        <is>
          <t>Cadena de valor › OE3 › P7. Documentos de política: Documentos de planeación › Actividad 3.5 › insumo: Servicios de propiedad intelectual y divulgación (clasificación propuesta)</t>
        </is>
      </c>
      <c r="T87" s="2" t="inlineStr">
        <is>
          <t>Presupuesto › rubro «Protección del conocimiento y divulgación» › fuente «SGR»; Cronograma › actividad 3.5</t>
        </is>
      </c>
      <c r="U87" s="4" t="inlineStr">
        <is>
          <t>El Anexo 3 declara cotizaciones pendientes (TdR 12.2: al menos dos por rubro, no subsanable)</t>
        </is>
      </c>
    </row>
    <row r="88">
      <c r="A88" s="2" t="inlineStr">
        <is>
          <t>IN-01</t>
        </is>
      </c>
      <c r="B88" s="2" t="inlineStr">
        <is>
          <t>Infraestructura</t>
        </is>
      </c>
      <c r="C88" s="2" t="inlineStr">
        <is>
          <t>Instalación en sitio, mástiles y obra menor (100 nodos y 10 gateways)</t>
        </is>
      </c>
      <c r="D88" s="2" t="inlineStr">
        <is>
          <t>OE1. Medición verificada</t>
        </is>
      </c>
      <c r="E88" s="2" t="inlineStr">
        <is>
          <t>P6. Servicio de apoyo financiero para programas y proyectos de infraestructura científica y tecnológica</t>
        </is>
      </c>
      <c r="F88" s="2" t="inlineStr">
        <is>
          <t>Anexo 3</t>
        </is>
      </c>
      <c r="G88" s="2" t="inlineStr">
        <is>
          <t>1.3 Instalar el tramo 1, colocalizar y calibrar en el piloto</t>
        </is>
      </c>
      <c r="H88" s="2" t="inlineStr"/>
      <c r="I88" s="2" t="n">
        <v>110</v>
      </c>
      <c r="J88" s="2" t="inlineStr">
        <is>
          <t>sitio</t>
        </is>
      </c>
      <c r="K88" s="3" t="n">
        <v>1200000</v>
      </c>
      <c r="L88" s="3" t="n">
        <v>132000000</v>
      </c>
      <c r="M88" s="2" t="inlineStr">
        <is>
          <t>SGR, Asignación para la CTeI</t>
        </is>
      </c>
      <c r="N88" s="2" t="inlineStr">
        <is>
          <t>Universidad Santo Tomás (ejecutora)</t>
        </is>
      </c>
      <c r="O88" s="2" t="inlineStr">
        <is>
          <t>Técnicos de campo y especialista en metrología</t>
        </is>
      </c>
      <c r="P88" s="2" t="inlineStr">
        <is>
          <t>Común; despliegue propuesto de 50 nodos y 5 gateways por municipio (sin localización en el Anexo 3)</t>
        </is>
      </c>
      <c r="Q88" s="2" t="inlineStr">
        <is>
          <t>M6–M19</t>
        </is>
      </c>
      <c r="R88" s="2" t="inlineStr">
        <is>
          <t>Tabla 30.3 (líneas del SGR); Tabla 15.2 (actividad 1.3); Tabla 28.3 (rubro)</t>
        </is>
      </c>
      <c r="S88" s="2" t="inlineStr">
        <is>
          <t>Cadena de valor › OE1 › P6. Servicio de apoyo financiero para programas y proyectos de infraestructura científica y tecnológica › Actividad 1.3 › insumo: Obra menor (instalación) (clasificación propuesta)</t>
        </is>
      </c>
      <c r="T88" s="2" t="inlineStr">
        <is>
          <t>Presupuesto › rubro «Infraestructura» › fuente «SGR»; Cronograma › actividad 1.3</t>
        </is>
      </c>
      <c r="U88" s="4" t="inlineStr">
        <is>
          <t>El Anexo 3 declara cotizaciones pendientes (TdR 12.2: al menos dos por rubro, no subsanable)</t>
        </is>
      </c>
    </row>
    <row r="89">
      <c r="A89" s="2" t="inlineStr">
        <is>
          <t>VI-01</t>
        </is>
      </c>
      <c r="B89" s="2" t="inlineStr">
        <is>
          <t>Gastos de viaje</t>
        </is>
      </c>
      <c r="C89" s="2" t="inlineStr">
        <is>
          <t>Tiquetes aéreos nacionales (equipo de la universidad → Manizales y Calarcá)</t>
        </is>
      </c>
      <c r="D89" s="2" t="inlineStr">
        <is>
          <t>OE1. Medición verificada</t>
        </is>
      </c>
      <c r="E89" s="2" t="inlineStr">
        <is>
          <t>P6. Servicio de apoyo financiero para programas y proyectos de infraestructura científica y tecnológica</t>
        </is>
      </c>
      <c r="F89" s="2" t="inlineStr">
        <is>
          <t>Anexo 3</t>
        </is>
      </c>
      <c r="G89" s="2" t="inlineStr">
        <is>
          <t>1.3 Instalar el tramo 1, colocalizar y calibrar en el piloto</t>
        </is>
      </c>
      <c r="H89" s="2" t="inlineStr"/>
      <c r="I89" s="2" t="n">
        <v>60</v>
      </c>
      <c r="J89" s="2" t="inlineStr">
        <is>
          <t>trayecto</t>
        </is>
      </c>
      <c r="K89" s="3" t="n">
        <v>422350</v>
      </c>
      <c r="L89" s="3" t="n">
        <v>25341000</v>
      </c>
      <c r="M89" s="2" t="inlineStr">
        <is>
          <t>SGR, Asignación para la CTeI</t>
        </is>
      </c>
      <c r="N89" s="2" t="inlineStr">
        <is>
          <t>Universidad Santo Tomás (ejecutora)</t>
        </is>
      </c>
      <c r="O89" s="2" t="inlineStr">
        <is>
          <t>Técnicos de campo y especialista en metrología</t>
        </is>
      </c>
      <c r="P89" s="2" t="inlineStr">
        <is>
          <t>Común a Manizales y Calarcá (sin localización en el Anexo 3)</t>
        </is>
      </c>
      <c r="Q89" s="2" t="inlineStr">
        <is>
          <t>M3–M20</t>
        </is>
      </c>
      <c r="R89" s="2" t="inlineStr">
        <is>
          <t>Tabla 30.3 (líneas del SGR); Tabla 15.2 (actividad 1.3); Tabla 28.3 (rubro)</t>
        </is>
      </c>
      <c r="S89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89" s="2" t="inlineStr">
        <is>
          <t>Presupuesto › rubro «Gastos de viaje» › fuente «SGR»; Cronograma › actividad 1.3</t>
        </is>
      </c>
      <c r="U89" s="4" t="inlineStr">
        <is>
          <t>El Anexo 3 declara cotizaciones pendientes (TdR 12.2: al menos dos por rubro, no subsanable)</t>
        </is>
      </c>
    </row>
    <row r="90">
      <c r="A90" s="2" t="inlineStr">
        <is>
          <t>VI-02</t>
        </is>
      </c>
      <c r="B90" s="2" t="inlineStr">
        <is>
          <t>Gastos de viaje</t>
        </is>
      </c>
      <c r="C90" s="2" t="inlineStr">
        <is>
          <t>Viáticos de alojamiento y manutención</t>
        </is>
      </c>
      <c r="D90" s="2" t="inlineStr">
        <is>
          <t>OE1. Medición verificada</t>
        </is>
      </c>
      <c r="E90" s="2" t="inlineStr">
        <is>
          <t>P6. Servicio de apoyo financiero para programas y proyectos de infraestructura científica y tecnológica</t>
        </is>
      </c>
      <c r="F90" s="2" t="inlineStr">
        <is>
          <t>Anexo 3</t>
        </is>
      </c>
      <c r="G90" s="2" t="inlineStr">
        <is>
          <t>1.3 Instalar el tramo 1, colocalizar y calibrar en el piloto</t>
        </is>
      </c>
      <c r="H90" s="2" t="inlineStr"/>
      <c r="I90" s="2" t="n">
        <v>465</v>
      </c>
      <c r="J90" s="2" t="inlineStr">
        <is>
          <t>día-persona</t>
        </is>
      </c>
      <c r="K90" s="3" t="n">
        <v>434866</v>
      </c>
      <c r="L90" s="3" t="n">
        <v>202212690</v>
      </c>
      <c r="M90" s="2" t="inlineStr">
        <is>
          <t>SGR, Asignación para la CTeI</t>
        </is>
      </c>
      <c r="N90" s="2" t="inlineStr">
        <is>
          <t>Universidad Santo Tomás (ejecutora)</t>
        </is>
      </c>
      <c r="O90" s="2" t="inlineStr">
        <is>
          <t>Técnicos de campo y especialista en metrología</t>
        </is>
      </c>
      <c r="P90" s="2" t="inlineStr">
        <is>
          <t>Común a Manizales y Calarcá (sin localización en el Anexo 3)</t>
        </is>
      </c>
      <c r="Q90" s="2" t="inlineStr">
        <is>
          <t>M3–M20</t>
        </is>
      </c>
      <c r="R90" s="2" t="inlineStr">
        <is>
          <t>Tabla 30.3 (líneas del SGR); Tabla 15.2 (actividad 1.3); Tabla 28.3 (rubro)</t>
        </is>
      </c>
      <c r="S90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90" s="2" t="inlineStr">
        <is>
          <t>Presupuesto › rubro «Gastos de viaje» › fuente «SGR»; Cronograma › actividad 1.3</t>
        </is>
      </c>
      <c r="U90" s="4" t="inlineStr">
        <is>
          <t>El Anexo 3 declara cotizaciones pendientes (TdR 12.2: al menos dos por rubro, no subsanable)</t>
        </is>
      </c>
    </row>
    <row r="91">
      <c r="A91" s="2" t="inlineStr">
        <is>
          <t>VI-03</t>
        </is>
      </c>
      <c r="B91" s="2" t="inlineStr">
        <is>
          <t>Gastos de viaje</t>
        </is>
      </c>
      <c r="C91" s="2" t="inlineStr">
        <is>
          <t>Arrendamiento de vehículos 4x4 (servicio; no es adquisición)</t>
        </is>
      </c>
      <c r="D91" s="2" t="inlineStr">
        <is>
          <t>OE1. Medición verificada</t>
        </is>
      </c>
      <c r="E91" s="2" t="inlineStr">
        <is>
          <t>P6. Servicio de apoyo financiero para programas y proyectos de infraestructura científica y tecnológica</t>
        </is>
      </c>
      <c r="F91" s="2" t="inlineStr">
        <is>
          <t>Anexo 3</t>
        </is>
      </c>
      <c r="G91" s="2" t="inlineStr">
        <is>
          <t>1.3 Instalar el tramo 1, colocalizar y calibrar en el piloto</t>
        </is>
      </c>
      <c r="H91" s="2" t="inlineStr"/>
      <c r="I91" s="2" t="n">
        <v>195</v>
      </c>
      <c r="J91" s="2" t="inlineStr">
        <is>
          <t>día</t>
        </is>
      </c>
      <c r="K91" s="3" t="n">
        <v>450000</v>
      </c>
      <c r="L91" s="3" t="n">
        <v>87750000</v>
      </c>
      <c r="M91" s="2" t="inlineStr">
        <is>
          <t>SGR, Asignación para la CTeI</t>
        </is>
      </c>
      <c r="N91" s="2" t="inlineStr">
        <is>
          <t>Universidad Santo Tomás (ejecutora)</t>
        </is>
      </c>
      <c r="O91" s="2" t="inlineStr">
        <is>
          <t>Técnicos de campo y especialista en metrología</t>
        </is>
      </c>
      <c r="P91" s="2" t="inlineStr">
        <is>
          <t>Común a Manizales y Calarcá (sin localización en el Anexo 3)</t>
        </is>
      </c>
      <c r="Q91" s="2" t="inlineStr">
        <is>
          <t>M3–M20</t>
        </is>
      </c>
      <c r="R91" s="2" t="inlineStr">
        <is>
          <t>Tabla 30.3 (líneas del SGR); Tabla 15.2 (actividad 1.3); Tabla 28.3 (rubro)</t>
        </is>
      </c>
      <c r="S91" s="2" t="inlineStr">
        <is>
          <t>Cadena de valor › OE1 › P6. Servicio de apoyo financiero para programas y proyectos de infraestructura científica y tecnológica › Actividad 1.3 › insumo: Transporte y viáticos (clasificación propuesta)</t>
        </is>
      </c>
      <c r="T91" s="2" t="inlineStr">
        <is>
          <t>Presupuesto › rubro «Gastos de viaje» › fuente «SGR»; Cronograma › actividad 1.3</t>
        </is>
      </c>
      <c r="U91" s="4" t="inlineStr">
        <is>
          <t>El Anexo 3 declara cotizaciones pendientes (TdR 12.2: al menos dos por rubro, no subsanable)</t>
        </is>
      </c>
    </row>
    <row r="92">
      <c r="A92" s="2" t="inlineStr">
        <is>
          <t>VI-04</t>
        </is>
      </c>
      <c r="B92" s="2" t="inlineStr">
        <is>
          <t>Gastos de viaje</t>
        </is>
      </c>
      <c r="C92" s="2" t="inlineStr">
        <is>
          <t>Viaje internacional para divulgación científica</t>
        </is>
      </c>
      <c r="D92" s="2" t="inlineStr">
        <is>
          <t>OE3. Uso institucional y custodia</t>
        </is>
      </c>
      <c r="E92" s="2" t="inlineStr">
        <is>
          <t>P2. Documentos de investigación</t>
        </is>
      </c>
      <c r="F92" s="2" t="inlineStr">
        <is>
          <t>Anexo 3</t>
        </is>
      </c>
      <c r="G92" s="2" t="inlineStr">
        <is>
          <t>3.4 Transferir, cerrar y evaluar</t>
        </is>
      </c>
      <c r="H92" s="2" t="inlineStr"/>
      <c r="I92" s="2" t="n">
        <v>2</v>
      </c>
      <c r="J92" s="2" t="inlineStr">
        <is>
          <t>viaje</t>
        </is>
      </c>
      <c r="K92" s="3" t="n">
        <v>12000000</v>
      </c>
      <c r="L92" s="3" t="n">
        <v>24000000</v>
      </c>
      <c r="M92" s="2" t="inlineStr">
        <is>
          <t>SGR, Asignación para la CTeI</t>
        </is>
      </c>
      <c r="N92" s="2" t="inlineStr">
        <is>
          <t>Avanciencia (ejecuta por contrato con la universidad)</t>
        </is>
      </c>
      <c r="O92" s="2" t="inlineStr">
        <is>
          <t>Avanciencia, con la gerencia del proyecto</t>
        </is>
      </c>
      <c r="P92" s="2" t="inlineStr">
        <is>
          <t>Común a Manizales y Calarcá (sin localización en el Anexo 3)</t>
        </is>
      </c>
      <c r="Q92" s="2" t="inlineStr">
        <is>
          <t>M23–M24</t>
        </is>
      </c>
      <c r="R92" s="2" t="inlineStr">
        <is>
          <t>Tabla 30.3 (líneas del SGR); Tabla 15.2 (actividad 3.4); Tabla 28.3 (rubro); Tabla 19.4 (apropiación social)</t>
        </is>
      </c>
      <c r="S92" s="2" t="inlineStr">
        <is>
          <t>Cadena de valor › OE3 › P2. Documentos de investigación › Actividad 3.4 › insumo: Transporte y viáticos (clasificación propuesta)</t>
        </is>
      </c>
      <c r="T92" s="2" t="inlineStr">
        <is>
          <t>Presupuesto › rubro «Gastos de viaje» › fuente «SGR»; Cronograma › actividad 3.4</t>
        </is>
      </c>
      <c r="U92" s="4" t="inlineStr">
        <is>
          <t>El Anexo 3 declara cotizaciones pendientes (TdR 12.2: al menos dos por rubro, no subsanable)</t>
        </is>
      </c>
    </row>
    <row r="93">
      <c r="A93" s="2" t="inlineStr">
        <is>
          <t>VI-06</t>
        </is>
      </c>
      <c r="B93" s="2" t="inlineStr">
        <is>
          <t>Gastos de viaje</t>
        </is>
      </c>
      <c r="C93" s="2" t="inlineStr">
        <is>
          <t>Tiquetes aéreos nacionales de las campañas de demolición</t>
        </is>
      </c>
      <c r="D93" s="2" t="inlineStr">
        <is>
          <t>OE1. Medición verificada</t>
        </is>
      </c>
      <c r="E93" s="2" t="inlineStr">
        <is>
          <t>P1. Servicio de apoyo para la generación de prototipos de materiales, productos o dispositivos</t>
        </is>
      </c>
      <c r="F93" s="2" t="inlineStr">
        <is>
          <t>Anexo 3</t>
        </is>
      </c>
      <c r="G93" s="2" t="inlineStr">
        <is>
          <t>1.7 Validar el gemelo predictivo con demoliciones y remociones reales en los dos municipios</t>
        </is>
      </c>
      <c r="H93" s="2" t="inlineStr"/>
      <c r="I93" s="2" t="n">
        <v>40</v>
      </c>
      <c r="J93" s="2" t="inlineStr">
        <is>
          <t>trayecto</t>
        </is>
      </c>
      <c r="K93" s="3" t="n">
        <v>422350</v>
      </c>
      <c r="L93" s="3" t="n">
        <v>16894000</v>
      </c>
      <c r="M93" s="2" t="inlineStr">
        <is>
          <t>SGR, Asignación para la CTeI</t>
        </is>
      </c>
      <c r="N93" s="2" t="inlineStr">
        <is>
          <t>Universidad Santo Tomás (ejecutora)</t>
        </is>
      </c>
      <c r="O93" s="2" t="inlineStr">
        <is>
          <t>Investigador líder en modelación</t>
        </is>
      </c>
      <c r="P93" s="2" t="inlineStr">
        <is>
          <t>Común a Manizales y Calarcá (sin localización en el Anexo 3)</t>
        </is>
      </c>
      <c r="Q93" s="2" t="inlineStr">
        <is>
          <t>M14–M24</t>
        </is>
      </c>
      <c r="R93" s="2" t="inlineStr">
        <is>
          <t>Tabla 30.3 (líneas del SGR); Tabla 15.2 (actividad 1.7); Tabla 28.3 (rubro)</t>
        </is>
      </c>
      <c r="S93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3" s="2" t="inlineStr">
        <is>
          <t>Presupuesto › rubro «Gastos de viaje» › fuente «SGR»; Cronograma › actividad 1.7</t>
        </is>
      </c>
      <c r="U93" s="4" t="inlineStr">
        <is>
          <t>El Anexo 3 declara cotizaciones pendientes (TdR 12.2: al menos dos por rubro, no subsanable)</t>
        </is>
      </c>
    </row>
    <row r="94">
      <c r="A94" s="2" t="inlineStr">
        <is>
          <t>VI-07</t>
        </is>
      </c>
      <c r="B94" s="2" t="inlineStr">
        <is>
          <t>Gastos de viaje</t>
        </is>
      </c>
      <c r="C94" s="2" t="inlineStr">
        <is>
          <t>Viáticos de alojamiento y manutención de las campañas de demolición</t>
        </is>
      </c>
      <c r="D94" s="2" t="inlineStr">
        <is>
          <t>OE1. Medición verificada</t>
        </is>
      </c>
      <c r="E94" s="2" t="inlineStr">
        <is>
          <t>P1. Servicio de apoyo para la generación de prototipos de materiales, productos o dispositivos</t>
        </is>
      </c>
      <c r="F94" s="2" t="inlineStr">
        <is>
          <t>Anexo 3</t>
        </is>
      </c>
      <c r="G94" s="2" t="inlineStr">
        <is>
          <t>1.7 Validar el gemelo predictivo con demoliciones y remociones reales en los dos municipios</t>
        </is>
      </c>
      <c r="H94" s="2" t="inlineStr"/>
      <c r="I94" s="2" t="n">
        <v>160</v>
      </c>
      <c r="J94" s="2" t="inlineStr">
        <is>
          <t>día-persona</t>
        </is>
      </c>
      <c r="K94" s="3" t="n">
        <v>434866</v>
      </c>
      <c r="L94" s="3" t="n">
        <v>69578560</v>
      </c>
      <c r="M94" s="2" t="inlineStr">
        <is>
          <t>SGR, Asignación para la CTeI</t>
        </is>
      </c>
      <c r="N94" s="2" t="inlineStr">
        <is>
          <t>Universidad Santo Tomás (ejecutora)</t>
        </is>
      </c>
      <c r="O94" s="2" t="inlineStr">
        <is>
          <t>Investigador líder en modelación</t>
        </is>
      </c>
      <c r="P94" s="2" t="inlineStr">
        <is>
          <t>Común a Manizales y Calarcá (sin localización en el Anexo 3)</t>
        </is>
      </c>
      <c r="Q94" s="2" t="inlineStr">
        <is>
          <t>M14–M24</t>
        </is>
      </c>
      <c r="R94" s="2" t="inlineStr">
        <is>
          <t>Tabla 30.3 (líneas del SGR); Tabla 15.2 (actividad 1.7); Tabla 28.3 (rubro)</t>
        </is>
      </c>
      <c r="S94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4" s="2" t="inlineStr">
        <is>
          <t>Presupuesto › rubro «Gastos de viaje» › fuente «SGR»; Cronograma › actividad 1.7</t>
        </is>
      </c>
      <c r="U94" s="4" t="inlineStr">
        <is>
          <t>El Anexo 3 declara cotizaciones pendientes (TdR 12.2: al menos dos por rubro, no subsanable)</t>
        </is>
      </c>
    </row>
    <row r="95">
      <c r="A95" s="2" t="inlineStr">
        <is>
          <t>VI-08</t>
        </is>
      </c>
      <c r="B95" s="2" t="inlineStr">
        <is>
          <t>Gastos de viaje</t>
        </is>
      </c>
      <c r="C95" s="2" t="inlineStr">
        <is>
          <t>Arrendamiento de vehículos 4x4 de las campañas de demolición (servicio; no es adquisición)</t>
        </is>
      </c>
      <c r="D95" s="2" t="inlineStr">
        <is>
          <t>OE1. Medición verificada</t>
        </is>
      </c>
      <c r="E95" s="2" t="inlineStr">
        <is>
          <t>P1. Servicio de apoyo para la generación de prototipos de materiales, productos o dispositivos</t>
        </is>
      </c>
      <c r="F95" s="2" t="inlineStr">
        <is>
          <t>Anexo 3</t>
        </is>
      </c>
      <c r="G95" s="2" t="inlineStr">
        <is>
          <t>1.7 Validar el gemelo predictivo con demoliciones y remociones reales en los dos municipios</t>
        </is>
      </c>
      <c r="H95" s="2" t="inlineStr"/>
      <c r="I95" s="2" t="n">
        <v>70</v>
      </c>
      <c r="J95" s="2" t="inlineStr">
        <is>
          <t>día</t>
        </is>
      </c>
      <c r="K95" s="3" t="n">
        <v>450000</v>
      </c>
      <c r="L95" s="3" t="n">
        <v>31500000</v>
      </c>
      <c r="M95" s="2" t="inlineStr">
        <is>
          <t>SGR, Asignación para la CTeI</t>
        </is>
      </c>
      <c r="N95" s="2" t="inlineStr">
        <is>
          <t>Universidad Santo Tomás (ejecutora)</t>
        </is>
      </c>
      <c r="O95" s="2" t="inlineStr">
        <is>
          <t>Investigador líder en modelación</t>
        </is>
      </c>
      <c r="P95" s="2" t="inlineStr">
        <is>
          <t>Común a Manizales y Calarcá (sin localización en el Anexo 3)</t>
        </is>
      </c>
      <c r="Q95" s="2" t="inlineStr">
        <is>
          <t>M14–M24</t>
        </is>
      </c>
      <c r="R95" s="2" t="inlineStr">
        <is>
          <t>Tabla 30.3 (líneas del SGR); Tabla 15.2 (actividad 1.7); Tabla 28.3 (rubro)</t>
        </is>
      </c>
      <c r="S95" s="2" t="inlineStr">
        <is>
          <t>Cadena de valor › OE1 › P1. Servicio de apoyo para la generación de prototipos de materiales, productos o dispositivos › Actividad 1.7 › insumo: Transporte y viáticos (clasificación propuesta)</t>
        </is>
      </c>
      <c r="T95" s="2" t="inlineStr">
        <is>
          <t>Presupuesto › rubro «Gastos de viaje» › fuente «SGR»; Cronograma › actividad 1.7</t>
        </is>
      </c>
      <c r="U95" s="4" t="inlineStr">
        <is>
          <t>El Anexo 3 declara cotizaciones pendientes (TdR 12.2: al menos dos por rubro, no subsanable)</t>
        </is>
      </c>
    </row>
    <row r="96">
      <c r="A96" s="2" t="inlineStr">
        <is>
          <t>VI-05</t>
        </is>
      </c>
      <c r="B96" s="2" t="inlineStr">
        <is>
          <t>Gastos de viaje</t>
        </is>
      </c>
      <c r="C96" s="2" t="inlineStr">
        <is>
          <t>Logística y viáticos de los tramos 2 y 3 — aporte en efectivo de Gestión y Medio Ambiente</t>
        </is>
      </c>
      <c r="D96" s="2" t="inlineStr">
        <is>
          <t>OE2. Disponibilidad de la red</t>
        </is>
      </c>
      <c r="E96" s="2" t="inlineStr">
        <is>
          <t>P1. Servicio de apoyo para la generación de prototipos de materiales, productos o dispositivos; P6. Servicio de apoyo financiero para programas y proyectos de infraestructura científica y tecnológica</t>
        </is>
      </c>
      <c r="F96" s="2" t="inlineStr">
        <is>
          <t>Por actividad (Tabla 15.1)</t>
        </is>
      </c>
      <c r="G96" s="2" t="inlineStr">
        <is>
          <t>2.3 Instalar el tramo 2</t>
        </is>
      </c>
      <c r="H96" s="2" t="inlineStr">
        <is>
          <t>2.3, 2.4</t>
        </is>
      </c>
      <c r="I96" s="2" t="n">
        <v>1</v>
      </c>
      <c r="J96" s="2" t="inlineStr">
        <is>
          <t>aporte</t>
        </is>
      </c>
      <c r="K96" s="3" t="n">
        <v>150000000</v>
      </c>
      <c r="L96" s="3" t="n">
        <v>150000000</v>
      </c>
      <c r="M96" s="2" t="inlineStr">
        <is>
          <t>Contrapartida en efectivo</t>
        </is>
      </c>
      <c r="N96" s="2" t="inlineStr">
        <is>
          <t>Gestión y Medio Ambiente</t>
        </is>
      </c>
      <c r="O96" s="2" t="inlineStr">
        <is>
          <t>Técnicos de campo</t>
        </is>
      </c>
      <c r="P96" s="2" t="inlineStr">
        <is>
          <t>Común a Manizales y Calarcá (sin localización en el Anexo 3)</t>
        </is>
      </c>
      <c r="Q96" s="2" t="inlineStr">
        <is>
          <t>M12–M19</t>
        </is>
      </c>
      <c r="R96" s="2" t="inlineStr">
        <is>
          <t>Tablas 26.2 y 28.7 (contrapartida); Tabla 15.2 (actividad 2.3); Tabla 28.3 (rubro)</t>
        </is>
      </c>
      <c r="S96" s="2" t="inlineStr">
        <is>
          <t>Cadena de valor › OE2 › P1. Servicio de apoyo para la generación de prototipos de materiales, productos o dispositivos › Actividad 2.3 › insumo: Transporte y viáticos (clasificación propuesta)</t>
        </is>
      </c>
      <c r="T96" s="2" t="inlineStr">
        <is>
          <t>Presupuesto › rubro «Gastos de viaje» › fuente «Contrapartida Gestión y Medio Ambiente»; Cronograma › actividad 2.3</t>
        </is>
      </c>
      <c r="U96" s="4" t="inlineStr">
        <is>
          <t>El Anexo 3 v6 asigna la partida a la actividad 2.3; su concepto cubre los tramos 2 y 3 (actividades 2.3 y 2.4)</t>
        </is>
      </c>
    </row>
    <row r="97">
      <c r="A97" s="2" t="inlineStr">
        <is>
          <t>AD-01</t>
        </is>
      </c>
      <c r="B97" s="2" t="inlineStr">
        <is>
          <t>Administrativos</t>
        </is>
      </c>
      <c r="C97" s="2" t="inlineStr">
        <is>
          <t>Administración del proyecto (gastos administrativos y revisoría)</t>
        </is>
      </c>
      <c r="D97" s="2" t="inlineStr">
        <is>
          <t>OE1. Medición verificada</t>
        </is>
      </c>
      <c r="E97" s="2" t="inlineStr"/>
      <c r="F97" s="2" t="inlineStr">
        <is>
          <t>Por actividad (Tabla 15.1)</t>
        </is>
      </c>
      <c r="G97" s="2" t="inlineStr">
        <is>
          <t>1.8 Administración y apoyo a la supervisión (objetivo específico 1)</t>
        </is>
      </c>
      <c r="H97" s="2" t="inlineStr"/>
      <c r="I97" s="2" t="n">
        <v>24</v>
      </c>
      <c r="J97" s="2" t="inlineStr">
        <is>
          <t>mes</t>
        </is>
      </c>
      <c r="K97" s="3" t="n">
        <v>7000000</v>
      </c>
      <c r="L97" s="3" t="n">
        <v>168000000</v>
      </c>
      <c r="M97" s="2" t="inlineStr">
        <is>
          <t>SGR, Asignación para la CTeI</t>
        </is>
      </c>
      <c r="N97" s="2" t="inlineStr">
        <is>
          <t>Universidad Santo Tomás (ejecutora)</t>
        </is>
      </c>
      <c r="O97" s="2" t="inlineStr">
        <is>
          <t>Gerencia del proyecto</t>
        </is>
      </c>
      <c r="P97" s="2" t="inlineStr">
        <is>
          <t>Común a Manizales y Calarcá (sin localización en el Anexo 3)</t>
        </is>
      </c>
      <c r="Q97" s="2" t="inlineStr">
        <is>
          <t>M1–M24</t>
        </is>
      </c>
      <c r="R97" s="2" t="inlineStr">
        <is>
          <t>Tabla 30.3 (líneas del SGR); Tabla 15.2 (actividad 1.8); Tabla 28.3 (rubro)</t>
        </is>
      </c>
      <c r="S97" s="2" t="inlineStr">
        <is>
          <t>Cadena de valor › OE1 ›  › Actividad 1.8 › insumo: Gastos administrativos (clasificación propuesta)</t>
        </is>
      </c>
      <c r="T97" s="2" t="inlineStr">
        <is>
          <t>Presupuesto › rubro «Administrativos» › fuente «SGR»; Cronograma › actividad 1.8</t>
        </is>
      </c>
      <c r="U97" s="2" t="inlineStr"/>
    </row>
    <row r="98">
      <c r="A98" s="2" t="inlineStr">
        <is>
          <t>SE-01</t>
        </is>
      </c>
      <c r="B98" s="2" t="inlineStr">
        <is>
          <t>Seguimiento</t>
        </is>
      </c>
      <c r="C98" s="2" t="inlineStr">
        <is>
          <t>Apoyo a la supervisión y plataforma de seguimiento</t>
        </is>
      </c>
      <c r="D98" s="2" t="inlineStr">
        <is>
          <t>OE1. Medición verificada</t>
        </is>
      </c>
      <c r="E98" s="2" t="inlineStr"/>
      <c r="F98" s="2" t="inlineStr">
        <is>
          <t>Por actividad (Tabla 15.1)</t>
        </is>
      </c>
      <c r="G98" s="2" t="inlineStr">
        <is>
          <t>1.8 Administración y apoyo a la supervisión (objetivo específico 1)</t>
        </is>
      </c>
      <c r="H98" s="2" t="inlineStr"/>
      <c r="I98" s="2" t="n">
        <v>24</v>
      </c>
      <c r="J98" s="2" t="inlineStr">
        <is>
          <t>mes</t>
        </is>
      </c>
      <c r="K98" s="3" t="n">
        <v>8000000</v>
      </c>
      <c r="L98" s="3" t="n">
        <v>192000000</v>
      </c>
      <c r="M98" s="2" t="inlineStr">
        <is>
          <t>SGR, Asignación para la CTeI</t>
        </is>
      </c>
      <c r="N98" s="2" t="inlineStr">
        <is>
          <t>Universidad Santo Tomás (ejecutora)</t>
        </is>
      </c>
      <c r="O98" s="2" t="inlineStr">
        <is>
          <t>Gerencia del proyecto</t>
        </is>
      </c>
      <c r="P98" s="2" t="inlineStr">
        <is>
          <t>Común a Manizales y Calarcá (sin localización en el Anexo 3)</t>
        </is>
      </c>
      <c r="Q98" s="2" t="inlineStr">
        <is>
          <t>M1–M24</t>
        </is>
      </c>
      <c r="R98" s="2" t="inlineStr">
        <is>
          <t>Tabla 30.3 (líneas del SGR); Tabla 15.2 (actividad 1.8); Tabla 28.3 (rubro)</t>
        </is>
      </c>
      <c r="S98" s="2" t="inlineStr">
        <is>
          <t>Cadena de valor › OE1 ›  › Actividad 1.8 › insumo: Servicios de seguimiento (clasificación propuesta)</t>
        </is>
      </c>
      <c r="T98" s="2" t="inlineStr">
        <is>
          <t>Presupuesto › rubro «Seguimiento» › fuente «SGR»; Cronograma › actividad 1.8</t>
        </is>
      </c>
      <c r="U98" s="2" t="inlineStr"/>
    </row>
    <row r="100">
      <c r="A100" s="5" t="inlineStr">
        <is>
          <t>Total SGR</t>
        </is>
      </c>
      <c r="L100" s="6">
        <f>SUMIFS(L2:L98,M2:M98,"SGR*")</f>
        <v/>
      </c>
    </row>
    <row r="101">
      <c r="A101" s="5" t="inlineStr">
        <is>
          <t>Total contrapartida vigente</t>
        </is>
      </c>
      <c r="L101" s="6">
        <f>SUMIFS(L2:L98,M2:M98,"Contrapartida en especie")+SUMIFS(L2:L98,M2:M98,"Contrapartida en efectivo")</f>
        <v/>
      </c>
    </row>
    <row r="102">
      <c r="A102" s="5" t="inlineStr">
        <is>
          <t>Contrapartida sin aportante (excluida)</t>
        </is>
      </c>
      <c r="L102" s="6">
        <f>SUMIFS(L2:L98,M2:M98,"*sin aportante*")</f>
        <v/>
      </c>
    </row>
  </sheetData>
  <autoFilter ref="A1:U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50" customWidth="1" min="3" max="3"/>
    <col width="12" customWidth="1" min="4" max="4"/>
    <col width="17" customWidth="1" min="5" max="5"/>
    <col width="17" customWidth="1" min="6" max="6"/>
    <col width="9" customWidth="1" min="7" max="7"/>
    <col width="40" customWidth="1" min="8" max="8"/>
    <col width="18" customWidth="1" min="9" max="9"/>
    <col width="30" customWidth="1" min="10" max="10"/>
    <col width="26" customWidth="1" min="11" max="11"/>
    <col width="60" customWidth="1" min="12" max="12"/>
  </cols>
  <sheetData>
    <row r="1">
      <c r="A1" s="1" t="inlineStr">
        <is>
          <t>Actividad</t>
        </is>
      </c>
      <c r="B1" s="1" t="inlineStr">
        <is>
          <t>Objetivo</t>
        </is>
      </c>
      <c r="C1" s="1" t="inlineStr">
        <is>
          <t>Nombre</t>
        </is>
      </c>
      <c r="D1" s="1" t="inlineStr">
        <is>
          <t>Período</t>
        </is>
      </c>
      <c r="E1" s="1" t="inlineStr">
        <is>
          <t>SGR (COP)</t>
        </is>
      </c>
      <c r="F1" s="1" t="inlineStr">
        <is>
          <t>Contrapartida (COP)</t>
        </is>
      </c>
      <c r="G1" s="1" t="inlineStr">
        <is>
          <t>N.º de partidas</t>
        </is>
      </c>
      <c r="H1" s="1" t="inlineStr">
        <is>
          <t>Partidas</t>
        </is>
      </c>
      <c r="I1" s="1" t="inlineStr">
        <is>
          <t>Productos</t>
        </is>
      </c>
      <c r="J1" s="1" t="inlineStr">
        <is>
          <t>Responsable</t>
        </is>
      </c>
      <c r="K1" s="1" t="inlineStr">
        <is>
          <t>Estado</t>
        </is>
      </c>
      <c r="L1" s="1" t="inlineStr">
        <is>
          <t>Explicación</t>
        </is>
      </c>
    </row>
    <row r="2">
      <c r="A2" s="2" t="inlineStr">
        <is>
          <t>1.1</t>
        </is>
      </c>
      <c r="B2" s="2" t="inlineStr">
        <is>
          <t>OE1</t>
        </is>
      </c>
      <c r="C2" s="2" t="inlineStr">
        <is>
          <t>Seleccionar los sitios y diseñar la colocalización</t>
        </is>
      </c>
      <c r="D2" s="2" t="inlineStr">
        <is>
          <t>M2–M3</t>
        </is>
      </c>
      <c r="E2" s="3" t="n">
        <v>1293994984</v>
      </c>
      <c r="F2" s="3" t="n">
        <v>810000000</v>
      </c>
      <c r="G2" s="2" t="n">
        <v>14</v>
      </c>
      <c r="H2" s="2" t="inlineStr">
        <is>
          <t>TH-01, TH-02, TH-03, TH-04, TH-05, TH-09, TH-18, TH-22, EQ-12, EQ-13, EQ-14, EQ-15, EQ-16, PD-02</t>
        </is>
      </c>
      <c r="I2" s="2" t="inlineStr">
        <is>
          <t>P3; P5</t>
        </is>
      </c>
      <c r="J2" s="2" t="inlineStr">
        <is>
          <t>Investigador principal</t>
        </is>
      </c>
      <c r="K2" s="2" t="inlineStr">
        <is>
          <t>Con financiación directa</t>
        </is>
      </c>
      <c r="L2" s="2" t="inlineStr"/>
    </row>
    <row r="3">
      <c r="A3" s="2" t="inlineStr">
        <is>
          <t>1.2</t>
        </is>
      </c>
      <c r="B3" s="2" t="inlineStr">
        <is>
          <t>OE1</t>
        </is>
      </c>
      <c r="C3" s="2" t="inlineStr">
        <is>
          <t>Adquirir y caracterizar el lote 1 de nodos y las referencias</t>
        </is>
      </c>
      <c r="D3" s="2" t="inlineStr">
        <is>
          <t>M4–M6</t>
        </is>
      </c>
      <c r="E3" s="3" t="n">
        <v>4501878497</v>
      </c>
      <c r="F3" s="3" t="n">
        <v>0</v>
      </c>
      <c r="G3" s="2" t="n">
        <v>9</v>
      </c>
      <c r="H3" s="2" t="inlineStr">
        <is>
          <t>EQ-01, EQ-02, EQ-03, EQ-04, EQ-05, EQ-07, EQ-23, MA-02, MA-03</t>
        </is>
      </c>
      <c r="I3" s="2" t="inlineStr">
        <is>
          <t>P1; P3; P5</t>
        </is>
      </c>
      <c r="J3" s="2" t="inlineStr">
        <is>
          <t>Especialista en metrología y calibración</t>
        </is>
      </c>
      <c r="K3" s="2" t="inlineStr">
        <is>
          <t>Con financiación directa</t>
        </is>
      </c>
      <c r="L3" s="2" t="inlineStr"/>
    </row>
    <row r="4">
      <c r="A4" s="2" t="inlineStr">
        <is>
          <t>1.3</t>
        </is>
      </c>
      <c r="B4" s="2" t="inlineStr">
        <is>
          <t>OE1</t>
        </is>
      </c>
      <c r="C4" s="2" t="inlineStr">
        <is>
          <t>Instalar el tramo 1, colocalizar y calibrar en el piloto</t>
        </is>
      </c>
      <c r="D4" s="2" t="inlineStr">
        <is>
          <t>M6–M10</t>
        </is>
      </c>
      <c r="E4" s="3" t="n">
        <v>695116690</v>
      </c>
      <c r="F4" s="3" t="n">
        <v>0</v>
      </c>
      <c r="G4" s="2" t="n">
        <v>11</v>
      </c>
      <c r="H4" s="2" t="inlineStr">
        <is>
          <t>EQ-06, EQ-09, ST-01, ST-02, ST-07, MA-01, MA-05, IN-01, VI-01, VI-02, VI-03</t>
        </is>
      </c>
      <c r="I4" s="2" t="inlineStr">
        <is>
          <t>P1; P3; P4; P5</t>
        </is>
      </c>
      <c r="J4" s="2" t="inlineStr">
        <is>
          <t>Técnicos de campo y especialista en metrología</t>
        </is>
      </c>
      <c r="K4" s="2" t="inlineStr">
        <is>
          <t>Con financiación directa</t>
        </is>
      </c>
      <c r="L4" s="2" t="inlineStr"/>
    </row>
    <row r="5">
      <c r="A5" s="2" t="inlineStr">
        <is>
          <t>1.4</t>
        </is>
      </c>
      <c r="B5" s="2" t="inlineStr">
        <is>
          <t>OE1</t>
        </is>
      </c>
      <c r="C5" s="2" t="inlineStr">
        <is>
          <t>Entrenar y validar el modelo de corrección y decidir en la compuerta C1</t>
        </is>
      </c>
      <c r="D5" s="2" t="inlineStr">
        <is>
          <t>M10–M12</t>
        </is>
      </c>
      <c r="E5" s="3" t="n">
        <v>170000000</v>
      </c>
      <c r="F5" s="3" t="n">
        <v>0</v>
      </c>
      <c r="G5" s="2" t="n">
        <v>2</v>
      </c>
      <c r="H5" s="2" t="inlineStr">
        <is>
          <t>EQ-08, ST-05</t>
        </is>
      </c>
      <c r="I5" s="2" t="inlineStr">
        <is>
          <t>P1; P3; P4; P5</t>
        </is>
      </c>
      <c r="J5" s="2" t="inlineStr">
        <is>
          <t>Analista de datos espaciales e ingenieros de software</t>
        </is>
      </c>
      <c r="K5" s="2" t="inlineStr">
        <is>
          <t>Con financiación directa</t>
        </is>
      </c>
      <c r="L5" s="2" t="inlineStr"/>
    </row>
    <row r="6">
      <c r="A6" s="4" t="inlineStr">
        <is>
          <t>1.5</t>
        </is>
      </c>
      <c r="B6" s="4" t="inlineStr">
        <is>
          <t>OE1</t>
        </is>
      </c>
      <c r="C6" s="4" t="inlineStr">
        <is>
          <t>Reentrenar y verificar por municipio el tramo 2 y decidir en la compuerta C2</t>
        </is>
      </c>
      <c r="D6" s="4" t="inlineStr">
        <is>
          <t>M15–M17</t>
        </is>
      </c>
      <c r="E6" s="7" t="n">
        <v>0</v>
      </c>
      <c r="F6" s="7" t="n">
        <v>0</v>
      </c>
      <c r="G6" s="4" t="n">
        <v>0</v>
      </c>
      <c r="H6" s="4" t="inlineStr"/>
      <c r="I6" s="4" t="inlineStr">
        <is>
          <t>P1; P3; P5</t>
        </is>
      </c>
      <c r="J6" s="4" t="inlineStr">
        <is>
          <t>Especialista en metrología</t>
        </is>
      </c>
      <c r="K6" s="4" t="inlineStr">
        <is>
          <t>Sin financiación directa en el Anexo 3</t>
        </is>
      </c>
      <c r="L6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7">
      <c r="A7" s="2" t="inlineStr">
        <is>
          <t>1.6</t>
        </is>
      </c>
      <c r="B7" s="2" t="inlineStr">
        <is>
          <t>OE1</t>
        </is>
      </c>
      <c r="C7" s="2" t="inlineStr">
        <is>
          <t>Verificar el desempeño final y ejecutar el ensayo independiente</t>
        </is>
      </c>
      <c r="D7" s="2" t="inlineStr">
        <is>
          <t>M19–M23</t>
        </is>
      </c>
      <c r="E7" s="3" t="n">
        <v>115353486</v>
      </c>
      <c r="F7" s="3" t="n">
        <v>0</v>
      </c>
      <c r="G7" s="2" t="n">
        <v>2</v>
      </c>
      <c r="H7" s="2" t="inlineStr">
        <is>
          <t>ST-06, PD-03</t>
        </is>
      </c>
      <c r="I7" s="2" t="inlineStr">
        <is>
          <t>P1; P2; P3; P4; P5</t>
        </is>
      </c>
      <c r="J7" s="2" t="inlineStr">
        <is>
          <t>Especialista en metrología y evaluador externo</t>
        </is>
      </c>
      <c r="K7" s="2" t="inlineStr">
        <is>
          <t>Con financiación directa</t>
        </is>
      </c>
      <c r="L7" s="2" t="inlineStr"/>
    </row>
    <row r="8">
      <c r="A8" s="2" t="inlineStr">
        <is>
          <t>1.7</t>
        </is>
      </c>
      <c r="B8" s="2" t="inlineStr">
        <is>
          <t>OE1</t>
        </is>
      </c>
      <c r="C8" s="2" t="inlineStr">
        <is>
          <t>Validar el gemelo predictivo con demoliciones y remociones reales en los dos municipios</t>
        </is>
      </c>
      <c r="D8" s="2" t="inlineStr">
        <is>
          <t>M14–M23</t>
        </is>
      </c>
      <c r="E8" s="3" t="n">
        <v>422938560</v>
      </c>
      <c r="F8" s="3" t="n">
        <v>0</v>
      </c>
      <c r="G8" s="2" t="n">
        <v>7</v>
      </c>
      <c r="H8" s="2" t="inlineStr">
        <is>
          <t>ST-08, ST-10, ST-17, MA-07, VI-06, VI-07, VI-08</t>
        </is>
      </c>
      <c r="I8" s="2" t="inlineStr">
        <is>
          <t>P1</t>
        </is>
      </c>
      <c r="J8" s="2" t="inlineStr">
        <is>
          <t>Investigador líder en modelación</t>
        </is>
      </c>
      <c r="K8" s="2" t="inlineStr">
        <is>
          <t>Con financiación directa</t>
        </is>
      </c>
      <c r="L8" s="2" t="inlineStr"/>
    </row>
    <row r="9">
      <c r="A9" s="2" t="inlineStr">
        <is>
          <t>1.8</t>
        </is>
      </c>
      <c r="B9" s="2" t="inlineStr">
        <is>
          <t>OE1</t>
        </is>
      </c>
      <c r="C9" s="2" t="inlineStr">
        <is>
          <t>Administración y apoyo a la supervisión (objetivo específico 1)</t>
        </is>
      </c>
      <c r="D9" s="2" t="inlineStr">
        <is>
          <t>M1–M24</t>
        </is>
      </c>
      <c r="E9" s="3" t="n">
        <v>607786331</v>
      </c>
      <c r="F9" s="3" t="n">
        <v>350000000</v>
      </c>
      <c r="G9" s="2" t="n">
        <v>4</v>
      </c>
      <c r="H9" s="2" t="inlineStr">
        <is>
          <t>TH-08, TH-17, AD-01, SE-01</t>
        </is>
      </c>
      <c r="I9" s="2" t="inlineStr"/>
      <c r="J9" s="2" t="inlineStr">
        <is>
          <t>Gerencia del proyecto</t>
        </is>
      </c>
      <c r="K9" s="2" t="inlineStr">
        <is>
          <t>Con financiación directa</t>
        </is>
      </c>
      <c r="L9" s="2" t="inlineStr"/>
    </row>
    <row r="10">
      <c r="A10" s="2" t="inlineStr">
        <is>
          <t>2.1</t>
        </is>
      </c>
      <c r="B10" s="2" t="inlineStr">
        <is>
          <t>OE2</t>
        </is>
      </c>
      <c r="C10" s="2" t="inlineStr">
        <is>
          <t>Diseñar la arquitectura de enlace y energía</t>
        </is>
      </c>
      <c r="D10" s="2" t="inlineStr">
        <is>
          <t>M2–M4</t>
        </is>
      </c>
      <c r="E10" s="3" t="n">
        <v>2477547499</v>
      </c>
      <c r="F10" s="3" t="n">
        <v>0</v>
      </c>
      <c r="G10" s="2" t="n">
        <v>7</v>
      </c>
      <c r="H10" s="2" t="inlineStr">
        <is>
          <t>TH-06, TH-10, TH-11, TH-12, TH-14, ST-04, ST-13</t>
        </is>
      </c>
      <c r="I10" s="2" t="inlineStr">
        <is>
          <t>P6</t>
        </is>
      </c>
      <c r="J10" s="2" t="inlineStr">
        <is>
          <t>Ingeniero de firmware y energía</t>
        </is>
      </c>
      <c r="K10" s="2" t="inlineStr">
        <is>
          <t>Con financiación directa</t>
        </is>
      </c>
      <c r="L10" s="2" t="inlineStr"/>
    </row>
    <row r="11">
      <c r="A11" s="2" t="inlineStr">
        <is>
          <t>2.2</t>
        </is>
      </c>
      <c r="B11" s="2" t="inlineStr">
        <is>
          <t>OE2</t>
        </is>
      </c>
      <c r="C11" s="2" t="inlineStr">
        <is>
          <t>Desarrollar el firmware y la plataforma base (gemelo digital y tablero)</t>
        </is>
      </c>
      <c r="D11" s="2" t="inlineStr">
        <is>
          <t>M4–M6</t>
        </is>
      </c>
      <c r="E11" s="3" t="n">
        <v>786037500</v>
      </c>
      <c r="F11" s="3" t="n">
        <v>0</v>
      </c>
      <c r="G11" s="2" t="n">
        <v>9</v>
      </c>
      <c r="H11" s="2" t="inlineStr">
        <is>
          <t>EQ-10, EQ-11, ST-03, ST-12, ST-14, ST-15, ST-16, ST-19, ST-20</t>
        </is>
      </c>
      <c r="I11" s="2" t="inlineStr">
        <is>
          <t>P6</t>
        </is>
      </c>
      <c r="J11" s="2" t="inlineStr">
        <is>
          <t>Ingenieros de software y nube</t>
        </is>
      </c>
      <c r="K11" s="2" t="inlineStr">
        <is>
          <t>Con financiación directa</t>
        </is>
      </c>
      <c r="L11" s="2" t="inlineStr"/>
    </row>
    <row r="12">
      <c r="A12" s="2" t="inlineStr">
        <is>
          <t>2.3</t>
        </is>
      </c>
      <c r="B12" s="2" t="inlineStr">
        <is>
          <t>OE2</t>
        </is>
      </c>
      <c r="C12" s="2" t="inlineStr">
        <is>
          <t>Instalar el tramo 2</t>
        </is>
      </c>
      <c r="D12" s="2" t="inlineStr">
        <is>
          <t>M12–M15</t>
        </is>
      </c>
      <c r="E12" s="3" t="n">
        <v>60000000</v>
      </c>
      <c r="F12" s="3" t="n">
        <v>150000000</v>
      </c>
      <c r="G12" s="2" t="n">
        <v>2</v>
      </c>
      <c r="H12" s="2" t="inlineStr">
        <is>
          <t>MA-06, VI-05</t>
        </is>
      </c>
      <c r="I12" s="2" t="inlineStr">
        <is>
          <t>P1; P6</t>
        </is>
      </c>
      <c r="J12" s="2" t="inlineStr">
        <is>
          <t>Técnicos de campo</t>
        </is>
      </c>
      <c r="K12" s="2" t="inlineStr">
        <is>
          <t>Con financiación directa</t>
        </is>
      </c>
      <c r="L12" s="2" t="inlineStr"/>
    </row>
    <row r="13">
      <c r="A13" s="4" t="inlineStr">
        <is>
          <t>2.4</t>
        </is>
      </c>
      <c r="B13" s="4" t="inlineStr">
        <is>
          <t>OE2</t>
        </is>
      </c>
      <c r="C13" s="4" t="inlineStr">
        <is>
          <t>Instalar el tramo 3</t>
        </is>
      </c>
      <c r="D13" s="4" t="inlineStr">
        <is>
          <t>M17–M19</t>
        </is>
      </c>
      <c r="E13" s="7" t="n">
        <v>0</v>
      </c>
      <c r="F13" s="7" t="n">
        <v>0</v>
      </c>
      <c r="G13" s="4" t="n">
        <v>0</v>
      </c>
      <c r="H13" s="4" t="inlineStr"/>
      <c r="I13" s="4" t="inlineStr">
        <is>
          <t>P1; P6</t>
        </is>
      </c>
      <c r="J13" s="4" t="inlineStr">
        <is>
          <t>Técnicos de campo</t>
        </is>
      </c>
      <c r="K13" s="4" t="inlineStr">
        <is>
          <t>Sin financiación directa en el Anexo 3</t>
        </is>
      </c>
      <c r="L13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4">
      <c r="A14" s="2" t="inlineStr">
        <is>
          <t>2.5</t>
        </is>
      </c>
      <c r="B14" s="2" t="inlineStr">
        <is>
          <t>OE2</t>
        </is>
      </c>
      <c r="C14" s="2" t="inlineStr">
        <is>
          <t>Diseñar el laboratorio de modelación y el inventario de emisión de demolición</t>
        </is>
      </c>
      <c r="D14" s="2" t="inlineStr">
        <is>
          <t>M2–M6</t>
        </is>
      </c>
      <c r="E14" s="3" t="n">
        <v>497045281</v>
      </c>
      <c r="F14" s="3" t="n">
        <v>144000000</v>
      </c>
      <c r="G14" s="2" t="n">
        <v>5</v>
      </c>
      <c r="H14" s="2" t="inlineStr">
        <is>
          <t>TH-23, TH-25, EQ-22, ST-09, ST-11</t>
        </is>
      </c>
      <c r="I14" s="2" t="inlineStr">
        <is>
          <t>P6</t>
        </is>
      </c>
      <c r="J14" s="2" t="inlineStr">
        <is>
          <t>Investigador líder en modelación</t>
        </is>
      </c>
      <c r="K14" s="2" t="inlineStr">
        <is>
          <t>Con financiación directa</t>
        </is>
      </c>
      <c r="L14" s="2" t="inlineStr"/>
    </row>
    <row r="15">
      <c r="A15" s="2" t="inlineStr">
        <is>
          <t>2.6</t>
        </is>
      </c>
      <c r="B15" s="2" t="inlineStr">
        <is>
          <t>OE2</t>
        </is>
      </c>
      <c r="C15" s="2" t="inlineStr">
        <is>
          <t>Dotar el laboratorio y montar la cadena de modelación</t>
        </is>
      </c>
      <c r="D15" s="2" t="inlineStr">
        <is>
          <t>M7–M11</t>
        </is>
      </c>
      <c r="E15" s="3" t="n">
        <v>799515515</v>
      </c>
      <c r="F15" s="3" t="n">
        <v>0</v>
      </c>
      <c r="G15" s="2" t="n">
        <v>6</v>
      </c>
      <c r="H15" s="2" t="inlineStr">
        <is>
          <t>TH-24, EQ-17, EQ-18, EQ-19, EQ-20, EQ-21</t>
        </is>
      </c>
      <c r="I15" s="2" t="inlineStr">
        <is>
          <t>P6</t>
        </is>
      </c>
      <c r="J15" s="2" t="inlineStr">
        <is>
          <t>Investigador líder en modelación</t>
        </is>
      </c>
      <c r="K15" s="2" t="inlineStr">
        <is>
          <t>Con financiación directa</t>
        </is>
      </c>
      <c r="L15" s="2" t="inlineStr"/>
    </row>
    <row r="16">
      <c r="A16" s="4" t="inlineStr">
        <is>
          <t>2.7</t>
        </is>
      </c>
      <c r="B16" s="4" t="inlineStr">
        <is>
          <t>OE2</t>
        </is>
      </c>
      <c r="C16" s="4" t="inlineStr">
        <is>
          <t>Construir y calibrar el gemelo predictivo de demolición</t>
        </is>
      </c>
      <c r="D16" s="4" t="inlineStr">
        <is>
          <t>M11–M17</t>
        </is>
      </c>
      <c r="E16" s="7" t="n">
        <v>0</v>
      </c>
      <c r="F16" s="7" t="n">
        <v>0</v>
      </c>
      <c r="G16" s="4" t="n">
        <v>0</v>
      </c>
      <c r="H16" s="4" t="inlineStr"/>
      <c r="I16" s="4" t="inlineStr">
        <is>
          <t>P1</t>
        </is>
      </c>
      <c r="J16" s="4" t="inlineStr">
        <is>
          <t>Investigador líder en modelación</t>
        </is>
      </c>
      <c r="K16" s="4" t="inlineStr">
        <is>
          <t>Sin financiación directa en el Anexo 3</t>
        </is>
      </c>
      <c r="L16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7">
      <c r="A17" s="4" t="inlineStr">
        <is>
          <t>2.8</t>
        </is>
      </c>
      <c r="B17" s="4" t="inlineStr">
        <is>
          <t>OE2</t>
        </is>
      </c>
      <c r="C17" s="4" t="inlineStr">
        <is>
          <t>Administración y apoyo a la supervisión (objetivo específico 2)</t>
        </is>
      </c>
      <c r="D17" s="4" t="inlineStr">
        <is>
          <t>M1–M24</t>
        </is>
      </c>
      <c r="E17" s="7" t="n">
        <v>0</v>
      </c>
      <c r="F17" s="7" t="n">
        <v>0</v>
      </c>
      <c r="G17" s="4" t="n">
        <v>0</v>
      </c>
      <c r="H17" s="4" t="inlineStr"/>
      <c r="I17" s="4" t="inlineStr"/>
      <c r="J17" s="4" t="inlineStr">
        <is>
          <t>Gerencia del proyecto</t>
        </is>
      </c>
      <c r="K17" s="4" t="inlineStr">
        <is>
          <t>Sin financiación directa en el Anexo 3</t>
        </is>
      </c>
      <c r="L17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18">
      <c r="A18" s="2" t="inlineStr">
        <is>
          <t>3.1</t>
        </is>
      </c>
      <c r="B18" s="2" t="inlineStr">
        <is>
          <t>OE3</t>
        </is>
      </c>
      <c r="C18" s="2" t="inlineStr">
        <is>
          <t>Co-diseñar los umbrales y el protocolo de alerta con los consejos</t>
        </is>
      </c>
      <c r="D18" s="2" t="inlineStr">
        <is>
          <t>M3–M9</t>
        </is>
      </c>
      <c r="E18" s="3" t="n">
        <v>1150690872</v>
      </c>
      <c r="F18" s="3" t="n">
        <v>320000000</v>
      </c>
      <c r="G18" s="2" t="n">
        <v>11</v>
      </c>
      <c r="H18" s="2" t="inlineStr">
        <is>
          <t>TH-07, TH-13, TH-15, TH-16, TH-19, TH-20, TH-21, CA-02, CA-05, ST-18, MA-04</t>
        </is>
      </c>
      <c r="I18" s="2" t="inlineStr">
        <is>
          <t>P7; P8</t>
        </is>
      </c>
      <c r="J18" s="2" t="inlineStr">
        <is>
          <t>Coordinación de apropiación social (Avanciencia)</t>
        </is>
      </c>
      <c r="K18" s="2" t="inlineStr">
        <is>
          <t>Con financiación directa</t>
        </is>
      </c>
      <c r="L18" s="2" t="inlineStr"/>
    </row>
    <row r="19">
      <c r="A19" s="2" t="inlineStr">
        <is>
          <t>3.2</t>
        </is>
      </c>
      <c r="B19" s="2" t="inlineStr">
        <is>
          <t>OE3</t>
        </is>
      </c>
      <c r="C19" s="2" t="inlineStr">
        <is>
          <t>Poner en uso el tablero con los consejos</t>
        </is>
      </c>
      <c r="D19" s="2" t="inlineStr">
        <is>
          <t>M12–M15</t>
        </is>
      </c>
      <c r="E19" s="3" t="n">
        <v>174500000</v>
      </c>
      <c r="F19" s="3" t="n">
        <v>0</v>
      </c>
      <c r="G19" s="2" t="n">
        <v>3</v>
      </c>
      <c r="H19" s="2" t="inlineStr">
        <is>
          <t>CA-03, PD-01, PD-05</t>
        </is>
      </c>
      <c r="I19" s="2" t="inlineStr">
        <is>
          <t>P8; P9</t>
        </is>
      </c>
      <c r="J19" s="2" t="inlineStr">
        <is>
          <t>Coordinación de apropiación social (Avanciencia)</t>
        </is>
      </c>
      <c r="K19" s="2" t="inlineStr">
        <is>
          <t>Con financiación directa</t>
        </is>
      </c>
      <c r="L19" s="2" t="inlineStr"/>
    </row>
    <row r="20">
      <c r="A20" s="2" t="inlineStr">
        <is>
          <t>3.3</t>
        </is>
      </c>
      <c r="B20" s="2" t="inlineStr">
        <is>
          <t>OE3</t>
        </is>
      </c>
      <c r="C20" s="2" t="inlineStr">
        <is>
          <t>Formar custodios y firmar los convenios por tramo</t>
        </is>
      </c>
      <c r="D20" s="2" t="inlineStr">
        <is>
          <t>M17–M20</t>
        </is>
      </c>
      <c r="E20" s="3" t="n">
        <v>150000000</v>
      </c>
      <c r="F20" s="3" t="n">
        <v>0</v>
      </c>
      <c r="G20" s="2" t="n">
        <v>1</v>
      </c>
      <c r="H20" s="2" t="inlineStr">
        <is>
          <t>CA-01</t>
        </is>
      </c>
      <c r="I20" s="2" t="inlineStr">
        <is>
          <t>P7; P8; P9</t>
        </is>
      </c>
      <c r="J20" s="2" t="inlineStr">
        <is>
          <t>Profesional de convenios y custodia (Avanciencia)</t>
        </is>
      </c>
      <c r="K20" s="2" t="inlineStr">
        <is>
          <t>Con financiación directa</t>
        </is>
      </c>
      <c r="L20" s="2" t="inlineStr"/>
    </row>
    <row r="21">
      <c r="A21" s="2" t="inlineStr">
        <is>
          <t>3.4</t>
        </is>
      </c>
      <c r="B21" s="2" t="inlineStr">
        <is>
          <t>OE3</t>
        </is>
      </c>
      <c r="C21" s="2" t="inlineStr">
        <is>
          <t>Transferir, cerrar y evaluar</t>
        </is>
      </c>
      <c r="D21" s="2" t="inlineStr">
        <is>
          <t>M23–M24</t>
        </is>
      </c>
      <c r="E21" s="3" t="n">
        <v>39000000</v>
      </c>
      <c r="F21" s="3" t="n">
        <v>0</v>
      </c>
      <c r="G21" s="2" t="n">
        <v>2</v>
      </c>
      <c r="H21" s="2" t="inlineStr">
        <is>
          <t>PD-04, VI-04</t>
        </is>
      </c>
      <c r="I21" s="2" t="inlineStr">
        <is>
          <t>P2; P7; P8; P9</t>
        </is>
      </c>
      <c r="J21" s="2" t="inlineStr">
        <is>
          <t>Avanciencia, con la gerencia del proyecto</t>
        </is>
      </c>
      <c r="K21" s="2" t="inlineStr">
        <is>
          <t>Con financiación directa</t>
        </is>
      </c>
      <c r="L21" s="2" t="inlineStr"/>
    </row>
    <row r="22">
      <c r="A22" s="2" t="inlineStr">
        <is>
          <t>3.5</t>
        </is>
      </c>
      <c r="B22" s="2" t="inlineStr">
        <is>
          <t>OE3</t>
        </is>
      </c>
      <c r="C22" s="2" t="inlineStr">
        <is>
          <t>Adoptar el protocolo de evaluación previa de demolición y transferir el laboratorio</t>
        </is>
      </c>
      <c r="D22" s="2" t="inlineStr">
        <is>
          <t>M21–M24</t>
        </is>
      </c>
      <c r="E22" s="3" t="n">
        <v>58000000</v>
      </c>
      <c r="F22" s="3" t="n">
        <v>0</v>
      </c>
      <c r="G22" s="2" t="n">
        <v>2</v>
      </c>
      <c r="H22" s="2" t="inlineStr">
        <is>
          <t>CA-04, PD-06</t>
        </is>
      </c>
      <c r="I22" s="2" t="inlineStr">
        <is>
          <t>P7</t>
        </is>
      </c>
      <c r="J22" s="2" t="inlineStr">
        <is>
          <t>Investigador líder en modelación</t>
        </is>
      </c>
      <c r="K22" s="2" t="inlineStr">
        <is>
          <t>Con financiación directa</t>
        </is>
      </c>
      <c r="L22" s="2" t="inlineStr"/>
    </row>
    <row r="23">
      <c r="A23" s="4" t="inlineStr">
        <is>
          <t>3.6</t>
        </is>
      </c>
      <c r="B23" s="4" t="inlineStr">
        <is>
          <t>OE3</t>
        </is>
      </c>
      <c r="C23" s="4" t="inlineStr">
        <is>
          <t>Administración y apoyo a la supervisión (objetivo específico 3)</t>
        </is>
      </c>
      <c r="D23" s="4" t="inlineStr">
        <is>
          <t>M1–M24</t>
        </is>
      </c>
      <c r="E23" s="7" t="n">
        <v>0</v>
      </c>
      <c r="F23" s="7" t="n">
        <v>0</v>
      </c>
      <c r="G23" s="4" t="n">
        <v>0</v>
      </c>
      <c r="H23" s="4" t="inlineStr"/>
      <c r="I23" s="4" t="inlineStr"/>
      <c r="J23" s="4" t="inlineStr">
        <is>
          <t>Gerencia del proyecto</t>
        </is>
      </c>
      <c r="K23" s="4" t="inlineStr">
        <is>
          <t>Sin financiación directa en el Anexo 3</t>
        </is>
      </c>
      <c r="L23" s="4" t="inlineStr">
        <is>
          <t>Se ejecuta con talento humano y servicios asignados a otras actividades del mismo objetivo; el cronograma financiero del Anexo 3 asigna cada partida completa a su actividad principal</t>
        </is>
      </c>
    </row>
    <row r="24">
      <c r="A24" t="inlineStr">
        <is>
          <t>Total</t>
        </is>
      </c>
      <c r="E24" s="8">
        <f>SUM(E2:E23)</f>
        <v/>
      </c>
      <c r="F24" s="8">
        <f>SUM(F2:F23)</f>
        <v/>
      </c>
    </row>
  </sheetData>
  <autoFilter ref="A1:L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4" customWidth="1" min="2" max="2"/>
    <col width="60" customWidth="1" min="3" max="3"/>
    <col width="60" customWidth="1" min="4" max="4"/>
  </cols>
  <sheetData>
    <row r="1">
      <c r="A1" s="1" t="inlineStr">
        <is>
          <t>Alerta</t>
        </is>
      </c>
      <c r="B1" s="1" t="inlineStr">
        <is>
          <t>Partidas o valor</t>
        </is>
      </c>
      <c r="C1" s="1" t="inlineStr">
        <is>
          <t>Causa</t>
        </is>
      </c>
      <c r="D1" s="1" t="inlineStr">
        <is>
          <t>Acción</t>
        </is>
      </c>
    </row>
    <row r="2">
      <c r="A2" s="2" t="inlineStr">
        <is>
          <t>Partidas sin actividad</t>
        </is>
      </c>
      <c r="B2" s="2" t="inlineStr">
        <is>
          <t>Ninguna</t>
        </is>
      </c>
      <c r="C2" s="2" t="inlineStr">
        <is>
          <t>Todas las partidas del Anexo 3 v6 tienen actividad principal en el cronograma financiero</t>
        </is>
      </c>
      <c r="D2" s="2" t="inlineStr">
        <is>
          <t>Sin acción</t>
        </is>
      </c>
    </row>
    <row r="3">
      <c r="A3" s="2" t="inlineStr">
        <is>
          <t>Actividades sin financiación directa</t>
        </is>
      </c>
      <c r="B3" s="2" t="inlineStr">
        <is>
          <t>1.5, 2.4, 2.7, 2.8, 3.6</t>
        </is>
      </c>
      <c r="C3" s="2" t="inlineStr">
        <is>
          <t>El cronograma financiero asigna cada partida completa a una sola actividad</t>
        </is>
      </c>
      <c r="D3" s="2" t="inlineStr">
        <is>
          <t>Mantener y explicar (nota de las tablas 15.2 y 28.3) o repartir partidas en el Anexo 3 v6</t>
        </is>
      </c>
    </row>
    <row r="4">
      <c r="A4" s="2" t="inlineStr">
        <is>
          <t>Partidas sin aportante</t>
        </is>
      </c>
      <c r="B4" s="2" t="inlineStr">
        <is>
          <t>Ninguna</t>
        </is>
      </c>
      <c r="C4" s="2" t="inlineStr">
        <is>
          <t>EQ-13 y VI-05 pasan a Gestión y Medio Ambiente, integrante de la alianza en el Anexo 3 v6</t>
        </is>
      </c>
      <c r="D4" s="2" t="inlineStr">
        <is>
          <t>Certificar los aportes</t>
        </is>
      </c>
    </row>
    <row r="5">
      <c r="A5" s="2" t="inlineStr">
        <is>
          <t>Contrapartida en efectivo</t>
        </is>
      </c>
      <c r="B5" s="2" t="inlineStr">
        <is>
          <t>$ 150.000.000</t>
        </is>
      </c>
      <c r="C5" s="2" t="inlineStr">
        <is>
          <t>El criterio 7 otorga dos puntos con efectivo ≥ 1 % del SGR (139.994.053 COP); VI-05 lo cumple con 1,07 %</t>
        </is>
      </c>
      <c r="D5" s="2" t="inlineStr">
        <is>
          <t>Certificación del representante legal de Gestión y Medio Ambiente</t>
        </is>
      </c>
    </row>
    <row r="6">
      <c r="A6" s="2" t="inlineStr">
        <is>
          <t>Cotizaciones</t>
        </is>
      </c>
      <c r="B6" s="2" t="inlineStr">
        <is>
          <t>65 partidas con cotización pendiente</t>
        </is>
      </c>
      <c r="C6" s="2" t="inlineStr">
        <is>
          <t>TdR 12.2: dos cotizaciones por rubro; su falta no se subsana</t>
        </is>
      </c>
      <c r="D6" s="2" t="inlineStr">
        <is>
          <t>Reunir antes del cierre; prioridad ST-12 a ST-20, EQ-18 a EQ-21, EQ-23</t>
        </is>
      </c>
    </row>
    <row r="7">
      <c r="A7" s="2" t="inlineStr">
        <is>
          <t>Período de PD-02</t>
        </is>
      </c>
      <c r="B7" s="2" t="inlineStr">
        <is>
          <t>Actividad 1.1, M2–M4</t>
        </is>
      </c>
      <c r="C7" s="2" t="inlineStr">
        <is>
          <t>La consulta de libertad de operación precede a la compra del lote 1, pero el Plan de transferencia programa asesoría hasta el mes 23</t>
        </is>
      </c>
      <c r="D7" s="2" t="inlineStr">
        <is>
          <t>Confirmar si el contrato se paga en M2–M4 con entregas posteriores o extender el perfil de pagos</t>
        </is>
      </c>
    </row>
    <row r="8">
      <c r="A8" s="2" t="inlineStr">
        <is>
          <t>Importación</t>
        </is>
      </c>
      <c r="B8" s="2" t="inlineStr">
        <is>
          <t>Sin partida</t>
        </is>
      </c>
      <c r="C8" s="2" t="inlineStr">
        <is>
          <t>El Anexo 2 supone entrega en Colombia incluida en el precio cotizado</t>
        </is>
      </c>
      <c r="D8" s="2" t="inlineStr">
        <is>
          <t>Confirmar en cada cotización</t>
        </is>
      </c>
    </row>
    <row r="9">
      <c r="A9" s="2" t="inlineStr">
        <is>
          <t>Sede del laboratorio</t>
        </is>
      </c>
      <c r="B9" s="2" t="inlineStr">
        <is>
          <t>EQ-22, EQ-12</t>
        </is>
      </c>
      <c r="C9" s="2" t="inlineStr">
        <is>
          <t>Los equipos solo se financian en municipios afectados; la universidad no tiene sede en Manizales ni en Calarcá</t>
        </is>
      </c>
      <c r="D9" s="2" t="inlineStr">
        <is>
          <t>Definir el espacio en Manizales o Calarcá</t>
        </is>
      </c>
    </row>
    <row r="10">
      <c r="A10" s="2" t="inlineStr">
        <is>
          <t>Plan de sostenibilidad</t>
        </is>
      </c>
      <c r="B10" s="2" t="inlineStr">
        <is>
          <t>SIG a 1.005.925 COP/usuario-mes</t>
        </is>
      </c>
      <c r="C10" s="2" t="inlineStr">
        <is>
          <t>El Anexo 3 usa 995.103 COP/usuario-mes en EQ-14</t>
        </is>
      </c>
      <c r="D10" s="2" t="inlineStr">
        <is>
          <t>Unificar el precio unitario en el plan</t>
        </is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30" customWidth="1" min="4" max="4"/>
  </cols>
  <sheetData>
    <row r="1">
      <c r="A1" s="1" t="inlineStr">
        <is>
          <t>Concepto</t>
        </is>
      </c>
      <c r="B1" s="1" t="inlineStr">
        <is>
          <t>Matriz (COP)</t>
        </is>
      </c>
      <c r="C1" s="1" t="inlineStr">
        <is>
          <t>Anexo 2 (COP)</t>
        </is>
      </c>
      <c r="D1" s="1" t="inlineStr">
        <is>
          <t>Resultado</t>
        </is>
      </c>
    </row>
    <row r="2">
      <c r="A2" s="2" t="inlineStr">
        <is>
          <t>SGR (suma de partidas)</t>
        </is>
      </c>
      <c r="B2" s="3" t="n">
        <v>13999405215</v>
      </c>
      <c r="C2" s="3" t="n">
        <v>13999405215</v>
      </c>
      <c r="D2" s="2" t="inlineStr">
        <is>
          <t>Cuadra</t>
        </is>
      </c>
    </row>
    <row r="3">
      <c r="A3" s="2" t="inlineStr">
        <is>
          <t>Contrapartida vigente</t>
        </is>
      </c>
      <c r="B3" s="3" t="n">
        <v>1774000000</v>
      </c>
      <c r="C3" s="3" t="n">
        <v>1774000000</v>
      </c>
      <c r="D3" s="2" t="inlineStr">
        <is>
          <t>Cuadra</t>
        </is>
      </c>
    </row>
    <row r="4">
      <c r="A4" s="2" t="inlineStr">
        <is>
          <t>Total del proyecto</t>
        </is>
      </c>
      <c r="B4" s="3" t="n">
        <v>15773405215</v>
      </c>
      <c r="C4" s="3" t="n">
        <v>15773405215</v>
      </c>
      <c r="D4" s="2" t="inlineStr">
        <is>
          <t>Cuadra</t>
        </is>
      </c>
    </row>
    <row r="5">
      <c r="A5" s="2" t="inlineStr">
        <is>
          <t>OE1: SGR</t>
        </is>
      </c>
      <c r="B5" s="3" t="n">
        <v>7807068548</v>
      </c>
      <c r="C5" s="3" t="n">
        <v>7807068548</v>
      </c>
      <c r="D5" s="2" t="inlineStr">
        <is>
          <t>Cuadra</t>
        </is>
      </c>
    </row>
    <row r="6">
      <c r="A6" s="2" t="inlineStr">
        <is>
          <t>OE2: SGR</t>
        </is>
      </c>
      <c r="B6" s="3" t="n">
        <v>4620145795</v>
      </c>
      <c r="C6" s="3" t="n">
        <v>4620145795</v>
      </c>
      <c r="D6" s="2" t="inlineStr">
        <is>
          <t>Cuadra</t>
        </is>
      </c>
    </row>
    <row r="7">
      <c r="A7" s="2" t="inlineStr">
        <is>
          <t>OE3: SGR</t>
        </is>
      </c>
      <c r="B7" s="3" t="n">
        <v>1572190872</v>
      </c>
      <c r="C7" s="3" t="n">
        <v>1572190872</v>
      </c>
      <c r="D7" s="2" t="inlineStr">
        <is>
          <t>Cuadra</t>
        </is>
      </c>
    </row>
    <row r="8">
      <c r="A8" s="2" t="inlineStr">
        <is>
          <t>Semestre 1: SGR</t>
        </is>
      </c>
      <c r="B8" s="3" t="n">
        <v>4889945246</v>
      </c>
      <c r="C8" s="3" t="n"/>
      <c r="D8" s="2" t="inlineStr">
        <is>
          <t>Cronograma financiero del Anexo 3</t>
        </is>
      </c>
    </row>
    <row r="9">
      <c r="A9" s="2" t="inlineStr">
        <is>
          <t>Semestre 2: SGR</t>
        </is>
      </c>
      <c r="B9" s="3" t="n">
        <v>2730844007</v>
      </c>
      <c r="C9" s="3" t="n"/>
      <c r="D9" s="2" t="inlineStr">
        <is>
          <t>Cronograma financiero del Anexo 3</t>
        </is>
      </c>
    </row>
    <row r="10">
      <c r="A10" s="2" t="inlineStr">
        <is>
          <t>Semestre 3: SGR</t>
        </is>
      </c>
      <c r="B10" s="3" t="n">
        <v>4012077426</v>
      </c>
      <c r="C10" s="3" t="n"/>
      <c r="D10" s="2" t="inlineStr">
        <is>
          <t>Cronograma financiero del Anexo 3</t>
        </is>
      </c>
    </row>
    <row r="11">
      <c r="A11" s="2" t="inlineStr">
        <is>
          <t>Semestre 4: SGR</t>
        </is>
      </c>
      <c r="B11" s="3" t="n">
        <v>2366538536</v>
      </c>
      <c r="C11" s="3" t="n"/>
      <c r="D11" s="2" t="inlineStr">
        <is>
          <t>Cronograma financiero del Anexo 3</t>
        </is>
      </c>
    </row>
    <row r="12">
      <c r="A12" s="2" t="inlineStr">
        <is>
          <t>Rubro Talento Humano</t>
        </is>
      </c>
      <c r="B12" s="3" t="n">
        <v>5256515630</v>
      </c>
      <c r="C12" s="3" t="n"/>
      <c r="D12" s="2" t="inlineStr">
        <is>
          <t>37.5 % del SGR</t>
        </is>
      </c>
    </row>
    <row r="13">
      <c r="A13" s="2" t="inlineStr">
        <is>
          <t>Rubro Equipos y software</t>
        </is>
      </c>
      <c r="B13" s="3" t="n">
        <v>5464885709</v>
      </c>
      <c r="C13" s="3" t="n"/>
      <c r="D13" s="2" t="inlineStr">
        <is>
          <t>39.0 % del SGR</t>
        </is>
      </c>
    </row>
    <row r="14">
      <c r="A14" s="2" t="inlineStr">
        <is>
          <t>Rubro Capacitación y eventos</t>
        </is>
      </c>
      <c r="B14" s="3" t="n">
        <v>416968410</v>
      </c>
      <c r="C14" s="3" t="n"/>
      <c r="D14" s="2" t="inlineStr">
        <is>
          <t>3.0 % del SGR</t>
        </is>
      </c>
    </row>
    <row r="15">
      <c r="A15" s="2" t="inlineStr">
        <is>
          <t>Rubro Servicios tecnológicos y pruebas</t>
        </is>
      </c>
      <c r="B15" s="3" t="n">
        <v>1396651250</v>
      </c>
      <c r="C15" s="3" t="n"/>
      <c r="D15" s="2" t="inlineStr">
        <is>
          <t>10.0 % del SGR</t>
        </is>
      </c>
    </row>
    <row r="16">
      <c r="A16" s="2" t="inlineStr">
        <is>
          <t>Rubro Materiales, insumos y documentación</t>
        </is>
      </c>
      <c r="B16" s="3" t="n">
        <v>255154480</v>
      </c>
      <c r="C16" s="3" t="n"/>
      <c r="D16" s="2" t="inlineStr">
        <is>
          <t>1.8 % del SGR</t>
        </is>
      </c>
    </row>
    <row r="17">
      <c r="A17" s="2" t="inlineStr">
        <is>
          <t>Rubro Protección del conocimiento y divulgación</t>
        </is>
      </c>
      <c r="B17" s="3" t="n">
        <v>259953486</v>
      </c>
      <c r="C17" s="3" t="n"/>
      <c r="D17" s="2" t="inlineStr">
        <is>
          <t>1.9 % del SGR</t>
        </is>
      </c>
    </row>
    <row r="18">
      <c r="A18" s="2" t="inlineStr">
        <is>
          <t>Rubro Gastos de viaje</t>
        </is>
      </c>
      <c r="B18" s="3" t="n">
        <v>457276250</v>
      </c>
      <c r="C18" s="3" t="n"/>
      <c r="D18" s="2" t="inlineStr">
        <is>
          <t>3.3 % del SGR</t>
        </is>
      </c>
    </row>
    <row r="19">
      <c r="A19" s="2" t="inlineStr">
        <is>
          <t>Rubro Infraestructura</t>
        </is>
      </c>
      <c r="B19" s="3" t="n">
        <v>132000000</v>
      </c>
      <c r="C19" s="3" t="n"/>
      <c r="D19" s="2" t="inlineStr">
        <is>
          <t>0.9 % del SGR</t>
        </is>
      </c>
    </row>
    <row r="20">
      <c r="A20" s="2" t="inlineStr">
        <is>
          <t>Rubro Administrativos</t>
        </is>
      </c>
      <c r="B20" s="3" t="n">
        <v>168000000</v>
      </c>
      <c r="C20" s="3" t="n"/>
      <c r="D20" s="2" t="inlineStr">
        <is>
          <t>1.2 % del SGR</t>
        </is>
      </c>
    </row>
    <row r="21">
      <c r="A21" s="2" t="inlineStr">
        <is>
          <t>Rubro Seguimiento</t>
        </is>
      </c>
      <c r="B21" s="3" t="n">
        <v>192000000</v>
      </c>
      <c r="C21" s="3" t="n"/>
      <c r="D21" s="2" t="inlineStr">
        <is>
          <t>1.4 % del SGR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34" customWidth="1" min="4" max="4"/>
  </cols>
  <sheetData>
    <row r="1">
      <c r="A1" s="1" t="inlineStr">
        <is>
          <t>Secciones</t>
        </is>
      </c>
      <c r="B1" s="1" t="inlineStr">
        <is>
          <t>Tema</t>
        </is>
      </c>
      <c r="C1" s="1" t="inlineStr">
        <is>
          <t>Cambio</t>
        </is>
      </c>
      <c r="D1" s="1" t="inlineStr">
        <is>
          <t>Origen</t>
        </is>
      </c>
    </row>
    <row r="2">
      <c r="A2" s="2" t="inlineStr">
        <is>
          <t>1, 8, 11</t>
        </is>
      </c>
      <c r="B2" s="2" t="inlineStr">
        <is>
          <t>Localización y población</t>
        </is>
      </c>
      <c r="C2" s="2" t="inlineStr">
        <is>
          <t>Manizales (Caldas) y Calarcá (Quindío); cuatro consejos; población objetivo de cerca de 40 personas de consejos</t>
        </is>
      </c>
      <c r="D2" s="2" t="inlineStr">
        <is>
          <t>Cambio de territorio aprobado</t>
        </is>
      </c>
    </row>
    <row r="3">
      <c r="A3" s="2" t="inlineStr">
        <is>
          <t>2</t>
        </is>
      </c>
      <c r="B3" s="2" t="inlineStr">
        <is>
          <t>Resumen</t>
        </is>
      </c>
      <c r="C3" s="2" t="inlineStr">
        <is>
          <t>Puntos clave, resumen gráfico (Figura 2.1) y resumen</t>
        </is>
      </c>
      <c r="D3" s="2" t="inlineStr">
        <is>
          <t>Solicitud de la alianza</t>
        </is>
      </c>
    </row>
    <row r="4">
      <c r="A4" s="2" t="inlineStr">
        <is>
          <t>5 y 12</t>
        </is>
      </c>
      <c r="B4" s="2" t="inlineStr">
        <is>
          <t>Árboles</t>
        </is>
      </c>
      <c r="C4" s="2" t="inlineStr">
        <is>
          <t>Árbol de problemas y de objetivos en tabla con el esquema de la plantilla y una columna por objetivo; se conserva la figura</t>
        </is>
      </c>
      <c r="D4" s="2" t="inlineStr">
        <is>
          <t>Plantilla del Anexo 2</t>
        </is>
      </c>
    </row>
    <row r="5">
      <c r="A5" s="2" t="inlineStr">
        <is>
          <t>7, 13 y 14</t>
        </is>
      </c>
      <c r="B5" s="2" t="inlineStr">
        <is>
          <t>Alcance y metodología</t>
        </is>
      </c>
      <c r="C5" s="2" t="inlineStr">
        <is>
          <t>Conjunto de referencia rotativo (beta, óptico y gravimétrico) con intercambio en la semana 8; partición por municipio; nueva simulación de 1.000 campañas</t>
        </is>
      </c>
      <c r="D5" s="2" t="inlineStr">
        <is>
          <t>Anexo 3 v6 (EQ-03) y justificación técnica</t>
        </is>
      </c>
    </row>
    <row r="6">
      <c r="A6" s="2" t="inlineStr">
        <is>
          <t>7, 14 y 28</t>
        </is>
      </c>
      <c r="B6" s="2" t="inlineStr">
        <is>
          <t>Ampliaciones</t>
        </is>
      </c>
      <c r="C6" s="2" t="inlineStr">
        <is>
          <t>Plataforma geoespacial contratada (ST-12 a ST-20), sistema de geociencias (EQ-14 a EQ-16), cámara climática (EQ-23), estudio de cobertura por municipio (ST-04)</t>
        </is>
      </c>
      <c r="D6" s="2" t="inlineStr">
        <is>
          <t>Anexo 3 v6</t>
        </is>
      </c>
    </row>
    <row r="7">
      <c r="A7" s="2" t="inlineStr">
        <is>
          <t>10, 14, 18, 19, 26</t>
        </is>
      </c>
      <c r="B7" s="2" t="inlineStr">
        <is>
          <t>Alianza y responsabilidades</t>
        </is>
      </c>
      <c r="C7" s="2" t="inlineStr">
        <is>
          <t>Cinco integrantes: Universidad Santo Tomás, municipios de Manizales y de Calarcá, Avanciencia (ejecuta la ASC y la transferencia) y Gestión y Medio Ambiente (aliado del sector productivo)</t>
        </is>
      </c>
      <c r="D7" s="2" t="inlineStr">
        <is>
          <t>Anexo 3 v6</t>
        </is>
      </c>
    </row>
    <row r="8">
      <c r="A8" s="2" t="inlineStr">
        <is>
          <t>15 y 28</t>
        </is>
      </c>
      <c r="B8" s="2" t="inlineStr">
        <is>
          <t>Presupuesto</t>
        </is>
      </c>
      <c r="C8" s="2" t="inlineStr">
        <is>
          <t>Valores por actividad, objetivo, rubro, municipio y semestre del Anexo 3 v6; contrapartida de 1.774.000.000 COP con 150.000.000 COP en efectivo</t>
        </is>
      </c>
      <c r="D8" s="2" t="inlineStr">
        <is>
          <t>Anexo 3 v6</t>
        </is>
      </c>
    </row>
    <row r="9">
      <c r="A9" s="2" t="inlineStr">
        <is>
          <t>16</t>
        </is>
      </c>
      <c r="B9" s="2" t="inlineStr">
        <is>
          <t>Sostenibilidad</t>
        </is>
      </c>
      <c r="C9" s="2" t="inlineStr">
        <is>
          <t>Custodios de la nueva alianza; costo recurrente con licencias (265.716.408 COP por año) conciliado con el plan de sostenibilidad</t>
        </is>
      </c>
      <c r="D9" s="2" t="inlineStr">
        <is>
          <t>Anexo 3 v6 y plan 10.16</t>
        </is>
      </c>
    </row>
    <row r="10">
      <c r="A10" s="2" t="inlineStr">
        <is>
          <t>17, 20, 24</t>
        </is>
      </c>
      <c r="B10" s="2" t="inlineStr">
        <is>
          <t>Metas e indicadores</t>
        </is>
      </c>
      <c r="C10" s="2" t="inlineStr">
        <is>
          <t>R3 con cuatro consejos; R7 con tres evaluaciones por municipio; productos con territorio y responsables nuevos</t>
        </is>
      </c>
      <c r="D10" s="2" t="inlineStr">
        <is>
          <t>Cambio de territorio</t>
        </is>
      </c>
    </row>
    <row r="11">
      <c r="A11" s="2" t="inlineStr">
        <is>
          <t>21 y 22</t>
        </is>
      </c>
      <c r="B11" s="2" t="inlineStr">
        <is>
          <t>Cronograma y riesgos</t>
        </is>
      </c>
      <c r="C11" s="2" t="inlineStr">
        <is>
          <t>Cronograma financiero del Anexo 3; riesgos de importación y de entrega ajustados</t>
        </is>
      </c>
      <c r="D11" s="2" t="inlineStr">
        <is>
          <t>Anexo 3 v6</t>
        </is>
      </c>
    </row>
    <row r="12">
      <c r="A12" s="2" t="inlineStr">
        <is>
          <t>27</t>
        </is>
      </c>
      <c r="B12" s="2" t="inlineStr">
        <is>
          <t>Permisos</t>
        </is>
      </c>
      <c r="C12" s="2" t="inlineStr">
        <is>
          <t>Importación a cargo del proveedor; responsables territoriales por municipio</t>
        </is>
      </c>
      <c r="D12" s="2" t="inlineStr">
        <is>
          <t>Anexo 3 v6 sin partida de importación</t>
        </is>
      </c>
    </row>
    <row r="13">
      <c r="A13" s="2" t="inlineStr">
        <is>
          <t>30</t>
        </is>
      </c>
      <c r="B13" s="2" t="inlineStr">
        <is>
          <t>Anexos</t>
        </is>
      </c>
      <c r="C13" s="2" t="inlineStr">
        <is>
          <t>Requisitos de Avanciencia (10.12 o 10.13 y 10.14) y soportes por municipio</t>
        </is>
      </c>
      <c r="D13" s="2" t="inlineStr">
        <is>
          <t>Cambio de alianza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2026-10-30T18:16:42Z</dcterms:created>
  <dcterms:modified xmlns:dcterms="http://purl.org/dc/terms/" xmlns:xsi="http://www.w3.org/2001/XMLSchema-instance" xsi:type="dcterms:W3CDTF">2026-10-30T18:16:42Z</dcterms:modified>
</cp:coreProperties>
</file>